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16380" windowHeight="8190" tabRatio="649" firstSheet="2" activeTab="10"/>
  </bookViews>
  <sheets>
    <sheet name="symptom weights" sheetId="1" r:id="rId1"/>
    <sheet name="symptom factors" sheetId="2" r:id="rId2"/>
    <sheet name="remedies_names" sheetId="5" r:id="rId3"/>
    <sheet name="remedy_factors" sheetId="7" r:id="rId4"/>
    <sheet name="symptom factor js" sheetId="3" r:id="rId5"/>
    <sheet name="symptom_weights_js" sheetId="4" r:id="rId6"/>
    <sheet name="remedies_names.js" sheetId="6" r:id="rId7"/>
    <sheet name="remedy_factors.js" sheetId="8" r:id="rId8"/>
    <sheet name="demo symptoms" sheetId="9" r:id="rId9"/>
    <sheet name="demo_symptoms.js" sheetId="10" r:id="rId10"/>
    <sheet name="reply" sheetId="11" r:id="rId11"/>
  </sheets>
  <functionGroups/>
  <calcPr calcId="124519" iterateDelta="1E-4"/>
</workbook>
</file>

<file path=xl/calcChain.xml><?xml version="1.0" encoding="utf-8"?>
<calcChain xmlns="http://schemas.openxmlformats.org/spreadsheetml/2006/main">
  <c r="A15" i="11"/>
  <c r="B15" s="1"/>
  <c r="C15" s="1"/>
  <c r="A16"/>
  <c r="B16" s="1"/>
  <c r="C16" s="1"/>
  <c r="A17"/>
  <c r="B17" s="1"/>
  <c r="C17" s="1"/>
  <c r="A18"/>
  <c r="B18" s="1"/>
  <c r="C18" s="1"/>
  <c r="A19"/>
  <c r="B19" s="1"/>
  <c r="C19" s="1"/>
  <c r="A20"/>
  <c r="B20" s="1"/>
  <c r="C20" s="1"/>
  <c r="A21"/>
  <c r="B21" s="1"/>
  <c r="C21" s="1"/>
  <c r="A22"/>
  <c r="B22" s="1"/>
  <c r="C22" s="1"/>
  <c r="A23"/>
  <c r="B23" s="1"/>
  <c r="C23" s="1"/>
  <c r="A24"/>
  <c r="B24" s="1"/>
  <c r="C24" s="1"/>
  <c r="A25"/>
  <c r="B25"/>
  <c r="C25" s="1"/>
  <c r="A26"/>
  <c r="B26" s="1"/>
  <c r="C26" s="1"/>
  <c r="A27"/>
  <c r="B27" s="1"/>
  <c r="C27" s="1"/>
  <c r="A28"/>
  <c r="B28" s="1"/>
  <c r="C28" s="1"/>
  <c r="A29"/>
  <c r="B29"/>
  <c r="C29"/>
  <c r="A30"/>
  <c r="B30" s="1"/>
  <c r="C30" s="1"/>
  <c r="A31"/>
  <c r="B31" s="1"/>
  <c r="C31" s="1"/>
  <c r="A32"/>
  <c r="B32"/>
  <c r="C32" s="1"/>
  <c r="A33"/>
  <c r="B33" s="1"/>
  <c r="C33" s="1"/>
  <c r="A34"/>
  <c r="B34" s="1"/>
  <c r="C34" s="1"/>
  <c r="A35"/>
  <c r="B35" s="1"/>
  <c r="C35" s="1"/>
  <c r="A36"/>
  <c r="B36" s="1"/>
  <c r="C36" s="1"/>
  <c r="A37"/>
  <c r="B37" s="1"/>
  <c r="C37" s="1"/>
  <c r="A38"/>
  <c r="B38" s="1"/>
  <c r="C38" s="1"/>
  <c r="A39"/>
  <c r="B39" s="1"/>
  <c r="C39" s="1"/>
  <c r="A40"/>
  <c r="B40" s="1"/>
  <c r="C40" s="1"/>
  <c r="A41"/>
  <c r="B41"/>
  <c r="C41" s="1"/>
  <c r="A42"/>
  <c r="B42" s="1"/>
  <c r="C42" s="1"/>
  <c r="A43"/>
  <c r="B43" s="1"/>
  <c r="C43" s="1"/>
  <c r="A44"/>
  <c r="B44" s="1"/>
  <c r="C44" s="1"/>
  <c r="A45"/>
  <c r="B45"/>
  <c r="C45"/>
  <c r="A46"/>
  <c r="B46" s="1"/>
  <c r="C46" s="1"/>
  <c r="A47"/>
  <c r="B47" s="1"/>
  <c r="C47" s="1"/>
  <c r="A48"/>
  <c r="B48"/>
  <c r="C48" s="1"/>
  <c r="A49"/>
  <c r="B49" s="1"/>
  <c r="C49" s="1"/>
  <c r="A50"/>
  <c r="B50" s="1"/>
  <c r="C50" s="1"/>
  <c r="A51"/>
  <c r="B51" s="1"/>
  <c r="C51" s="1"/>
  <c r="A52"/>
  <c r="B52" s="1"/>
  <c r="C52" s="1"/>
  <c r="A53"/>
  <c r="B53" s="1"/>
  <c r="C53" s="1"/>
  <c r="A54"/>
  <c r="B54" s="1"/>
  <c r="C54" s="1"/>
  <c r="A55"/>
  <c r="B55" s="1"/>
  <c r="C55" s="1"/>
  <c r="A56"/>
  <c r="B56" s="1"/>
  <c r="C56" s="1"/>
  <c r="A57"/>
  <c r="B57"/>
  <c r="C57" s="1"/>
  <c r="A58"/>
  <c r="B58" s="1"/>
  <c r="C58" s="1"/>
  <c r="A59"/>
  <c r="B59" s="1"/>
  <c r="C59" s="1"/>
  <c r="A60"/>
  <c r="B60" s="1"/>
  <c r="C60" s="1"/>
  <c r="A61"/>
  <c r="B61"/>
  <c r="C61"/>
  <c r="A62"/>
  <c r="B62" s="1"/>
  <c r="C62" s="1"/>
  <c r="A63"/>
  <c r="B63" s="1"/>
  <c r="C63" s="1"/>
  <c r="A64"/>
  <c r="B64"/>
  <c r="C64" s="1"/>
  <c r="A65"/>
  <c r="B65" s="1"/>
  <c r="C65" s="1"/>
  <c r="A66"/>
  <c r="B66" s="1"/>
  <c r="C66" s="1"/>
  <c r="A67"/>
  <c r="B67" s="1"/>
  <c r="C67" s="1"/>
  <c r="A68"/>
  <c r="B68" s="1"/>
  <c r="C68" s="1"/>
  <c r="A69"/>
  <c r="B69" s="1"/>
  <c r="C69" s="1"/>
  <c r="A70"/>
  <c r="B70" s="1"/>
  <c r="C70" s="1"/>
  <c r="A71"/>
  <c r="B71" s="1"/>
  <c r="C71" s="1"/>
  <c r="A72"/>
  <c r="B72" s="1"/>
  <c r="C72" s="1"/>
  <c r="A73"/>
  <c r="B73"/>
  <c r="C73" s="1"/>
  <c r="A74"/>
  <c r="B74" s="1"/>
  <c r="C74" s="1"/>
  <c r="A75"/>
  <c r="B75" s="1"/>
  <c r="C75" s="1"/>
  <c r="A76"/>
  <c r="B76" s="1"/>
  <c r="C76" s="1"/>
  <c r="A77"/>
  <c r="B77"/>
  <c r="C77"/>
  <c r="A78"/>
  <c r="B78" s="1"/>
  <c r="C78" s="1"/>
  <c r="A79"/>
  <c r="B79" s="1"/>
  <c r="C79" s="1"/>
  <c r="A80"/>
  <c r="B80"/>
  <c r="C80" s="1"/>
  <c r="A81"/>
  <c r="B81" s="1"/>
  <c r="C81" s="1"/>
  <c r="A82"/>
  <c r="B82" s="1"/>
  <c r="C82" s="1"/>
  <c r="A83"/>
  <c r="B83" s="1"/>
  <c r="C83" s="1"/>
  <c r="A84"/>
  <c r="B84" s="1"/>
  <c r="C84" s="1"/>
  <c r="A85"/>
  <c r="B85" s="1"/>
  <c r="C85" s="1"/>
  <c r="A86"/>
  <c r="B86" s="1"/>
  <c r="C86" s="1"/>
  <c r="A87"/>
  <c r="B87" s="1"/>
  <c r="C87" s="1"/>
  <c r="A88"/>
  <c r="B88" s="1"/>
  <c r="C88" s="1"/>
  <c r="A89"/>
  <c r="B89"/>
  <c r="C89" s="1"/>
  <c r="A90"/>
  <c r="B90" s="1"/>
  <c r="C90" s="1"/>
  <c r="A91"/>
  <c r="B91" s="1"/>
  <c r="C91" s="1"/>
  <c r="A92"/>
  <c r="B92" s="1"/>
  <c r="C92" s="1"/>
  <c r="A93"/>
  <c r="B93"/>
  <c r="C93"/>
  <c r="A94"/>
  <c r="B94" s="1"/>
  <c r="C94" s="1"/>
  <c r="A95"/>
  <c r="B95" s="1"/>
  <c r="C95" s="1"/>
  <c r="A96"/>
  <c r="B96"/>
  <c r="C96" s="1"/>
  <c r="A97"/>
  <c r="B97" s="1"/>
  <c r="C97" s="1"/>
  <c r="A98"/>
  <c r="B98" s="1"/>
  <c r="C98" s="1"/>
  <c r="A99"/>
  <c r="B99" s="1"/>
  <c r="C99" s="1"/>
  <c r="A100"/>
  <c r="B100" s="1"/>
  <c r="C100" s="1"/>
  <c r="A101"/>
  <c r="B101" s="1"/>
  <c r="C101" s="1"/>
  <c r="A102"/>
  <c r="B102" s="1"/>
  <c r="C102" s="1"/>
  <c r="A103"/>
  <c r="B103" s="1"/>
  <c r="C103" s="1"/>
  <c r="A104"/>
  <c r="B104" s="1"/>
  <c r="C104" s="1"/>
  <c r="A105"/>
  <c r="B105"/>
  <c r="C105" s="1"/>
  <c r="A106"/>
  <c r="B106" s="1"/>
  <c r="C106" s="1"/>
  <c r="A107"/>
  <c r="B107" s="1"/>
  <c r="C107" s="1"/>
  <c r="A108"/>
  <c r="B108" s="1"/>
  <c r="C108" s="1"/>
  <c r="A109"/>
  <c r="B109"/>
  <c r="C109"/>
  <c r="A110"/>
  <c r="B110" s="1"/>
  <c r="C110" s="1"/>
  <c r="A111"/>
  <c r="B111" s="1"/>
  <c r="C111" s="1"/>
  <c r="A112"/>
  <c r="B112"/>
  <c r="C112" s="1"/>
  <c r="A113"/>
  <c r="B113" s="1"/>
  <c r="C113" s="1"/>
  <c r="A114"/>
  <c r="B114" s="1"/>
  <c r="C114" s="1"/>
  <c r="A115"/>
  <c r="B115" s="1"/>
  <c r="C115" s="1"/>
  <c r="A116"/>
  <c r="B116"/>
  <c r="C116" s="1"/>
  <c r="A117"/>
  <c r="B117" s="1"/>
  <c r="C117" s="1"/>
  <c r="A118"/>
  <c r="B118" s="1"/>
  <c r="C118" s="1"/>
  <c r="A119"/>
  <c r="B119" s="1"/>
  <c r="C119" s="1"/>
  <c r="A120"/>
  <c r="B120" s="1"/>
  <c r="C120" s="1"/>
  <c r="A121"/>
  <c r="B121"/>
  <c r="C121" s="1"/>
  <c r="A122"/>
  <c r="B122" s="1"/>
  <c r="C122" s="1"/>
  <c r="A123"/>
  <c r="B123" s="1"/>
  <c r="C123" s="1"/>
  <c r="A124"/>
  <c r="B124" s="1"/>
  <c r="C124" s="1"/>
  <c r="A125"/>
  <c r="B125"/>
  <c r="C125"/>
  <c r="A126"/>
  <c r="B126" s="1"/>
  <c r="C126" s="1"/>
  <c r="A127"/>
  <c r="B127" s="1"/>
  <c r="C127" s="1"/>
  <c r="A128"/>
  <c r="B128"/>
  <c r="C128" s="1"/>
  <c r="A129"/>
  <c r="B129" s="1"/>
  <c r="C129" s="1"/>
  <c r="A130"/>
  <c r="B130" s="1"/>
  <c r="C130" s="1"/>
  <c r="A131"/>
  <c r="B131" s="1"/>
  <c r="C131" s="1"/>
  <c r="A132"/>
  <c r="B132"/>
  <c r="C132" s="1"/>
  <c r="A133"/>
  <c r="B133" s="1"/>
  <c r="C133" s="1"/>
  <c r="A134"/>
  <c r="B134" s="1"/>
  <c r="C134" s="1"/>
  <c r="A135"/>
  <c r="B135" s="1"/>
  <c r="C135" s="1"/>
  <c r="A136"/>
  <c r="B136" s="1"/>
  <c r="C136" s="1"/>
  <c r="A137"/>
  <c r="B137"/>
  <c r="C137" s="1"/>
  <c r="A138"/>
  <c r="B138" s="1"/>
  <c r="C138" s="1"/>
  <c r="A139"/>
  <c r="B139" s="1"/>
  <c r="C139" s="1"/>
  <c r="A140"/>
  <c r="B140" s="1"/>
  <c r="C140" s="1"/>
  <c r="A141"/>
  <c r="B141"/>
  <c r="C141"/>
  <c r="A142"/>
  <c r="B142" s="1"/>
  <c r="C142" s="1"/>
  <c r="A143"/>
  <c r="B143" s="1"/>
  <c r="C143" s="1"/>
  <c r="A144"/>
  <c r="B144"/>
  <c r="C144" s="1"/>
  <c r="A145"/>
  <c r="B145" s="1"/>
  <c r="C145" s="1"/>
  <c r="A146"/>
  <c r="B146" s="1"/>
  <c r="C146" s="1"/>
  <c r="A147"/>
  <c r="B147" s="1"/>
  <c r="C147" s="1"/>
  <c r="A148"/>
  <c r="B148"/>
  <c r="C148" s="1"/>
  <c r="A149"/>
  <c r="B149" s="1"/>
  <c r="C149" s="1"/>
  <c r="A150"/>
  <c r="B150" s="1"/>
  <c r="C150" s="1"/>
  <c r="A151"/>
  <c r="B151" s="1"/>
  <c r="C151" s="1"/>
  <c r="A152"/>
  <c r="B152" s="1"/>
  <c r="C152" s="1"/>
  <c r="A153"/>
  <c r="B153"/>
  <c r="C153" s="1"/>
  <c r="A154"/>
  <c r="B154" s="1"/>
  <c r="C154" s="1"/>
  <c r="A155"/>
  <c r="B155" s="1"/>
  <c r="C155" s="1"/>
  <c r="A156"/>
  <c r="B156" s="1"/>
  <c r="C156" s="1"/>
  <c r="A157"/>
  <c r="B157"/>
  <c r="C157"/>
  <c r="A158"/>
  <c r="B158" s="1"/>
  <c r="C158" s="1"/>
  <c r="A159"/>
  <c r="B159" s="1"/>
  <c r="C159" s="1"/>
  <c r="A160"/>
  <c r="B160"/>
  <c r="C160" s="1"/>
  <c r="A161"/>
  <c r="B161" s="1"/>
  <c r="C161" s="1"/>
  <c r="A162"/>
  <c r="B162" s="1"/>
  <c r="C162" s="1"/>
  <c r="A163"/>
  <c r="B163" s="1"/>
  <c r="C163" s="1"/>
  <c r="A164"/>
  <c r="B164"/>
  <c r="C164" s="1"/>
  <c r="A165"/>
  <c r="B165" s="1"/>
  <c r="C165" s="1"/>
  <c r="A166"/>
  <c r="B166" s="1"/>
  <c r="C166" s="1"/>
  <c r="A167"/>
  <c r="B167" s="1"/>
  <c r="C167" s="1"/>
  <c r="A168"/>
  <c r="B168" s="1"/>
  <c r="C168" s="1"/>
  <c r="A169"/>
  <c r="B169"/>
  <c r="C169" s="1"/>
  <c r="A170"/>
  <c r="B170" s="1"/>
  <c r="C170" s="1"/>
  <c r="A171"/>
  <c r="B171" s="1"/>
  <c r="C171" s="1"/>
  <c r="A172"/>
  <c r="B172" s="1"/>
  <c r="C172" s="1"/>
  <c r="A173"/>
  <c r="B173"/>
  <c r="C173"/>
  <c r="A174"/>
  <c r="B174" s="1"/>
  <c r="C174" s="1"/>
  <c r="A175"/>
  <c r="B175" s="1"/>
  <c r="C175" s="1"/>
  <c r="A176"/>
  <c r="B176"/>
  <c r="C176" s="1"/>
  <c r="A177"/>
  <c r="B177" s="1"/>
  <c r="C177" s="1"/>
  <c r="A178"/>
  <c r="B178" s="1"/>
  <c r="C178" s="1"/>
  <c r="A179"/>
  <c r="B179" s="1"/>
  <c r="C179" s="1"/>
  <c r="A180"/>
  <c r="B180"/>
  <c r="C180" s="1"/>
  <c r="A181"/>
  <c r="B181" s="1"/>
  <c r="C181" s="1"/>
  <c r="A182"/>
  <c r="B182" s="1"/>
  <c r="C182" s="1"/>
  <c r="A183"/>
  <c r="B183" s="1"/>
  <c r="C183" s="1"/>
  <c r="A184"/>
  <c r="B184" s="1"/>
  <c r="C184" s="1"/>
  <c r="A185"/>
  <c r="B185"/>
  <c r="C185" s="1"/>
  <c r="A186"/>
  <c r="B186" s="1"/>
  <c r="C186" s="1"/>
  <c r="A187"/>
  <c r="B187" s="1"/>
  <c r="C187" s="1"/>
  <c r="A188"/>
  <c r="B188" s="1"/>
  <c r="C188" s="1"/>
  <c r="A189"/>
  <c r="B189"/>
  <c r="C189"/>
  <c r="A190"/>
  <c r="B190" s="1"/>
  <c r="C190" s="1"/>
  <c r="A191"/>
  <c r="B191" s="1"/>
  <c r="C191" s="1"/>
  <c r="A192"/>
  <c r="B192"/>
  <c r="C192" s="1"/>
  <c r="A193"/>
  <c r="B193" s="1"/>
  <c r="C193" s="1"/>
  <c r="A194"/>
  <c r="B194" s="1"/>
  <c r="C194" s="1"/>
  <c r="A195"/>
  <c r="B195" s="1"/>
  <c r="C195" s="1"/>
  <c r="A196"/>
  <c r="B196"/>
  <c r="C196" s="1"/>
  <c r="A197"/>
  <c r="B197" s="1"/>
  <c r="C197" s="1"/>
  <c r="A198"/>
  <c r="B198" s="1"/>
  <c r="C198" s="1"/>
  <c r="A199"/>
  <c r="B199" s="1"/>
  <c r="C199" s="1"/>
  <c r="A200"/>
  <c r="B200" s="1"/>
  <c r="C200" s="1"/>
  <c r="A201"/>
  <c r="B201"/>
  <c r="C201" s="1"/>
  <c r="A202"/>
  <c r="B202" s="1"/>
  <c r="C202" s="1"/>
  <c r="A203"/>
  <c r="B203" s="1"/>
  <c r="C203" s="1"/>
  <c r="A204"/>
  <c r="B204" s="1"/>
  <c r="C204" s="1"/>
  <c r="A205"/>
  <c r="B205"/>
  <c r="C205"/>
  <c r="A206"/>
  <c r="B206" s="1"/>
  <c r="C206" s="1"/>
  <c r="A207"/>
  <c r="B207" s="1"/>
  <c r="C207" s="1"/>
  <c r="A208"/>
  <c r="B208"/>
  <c r="C208" s="1"/>
  <c r="A209"/>
  <c r="B209" s="1"/>
  <c r="C209" s="1"/>
  <c r="A210"/>
  <c r="B210" s="1"/>
  <c r="C210" s="1"/>
  <c r="A211"/>
  <c r="B211" s="1"/>
  <c r="C211" s="1"/>
  <c r="A212"/>
  <c r="B212"/>
  <c r="C212" s="1"/>
  <c r="A213"/>
  <c r="B213" s="1"/>
  <c r="C213" s="1"/>
  <c r="A214"/>
  <c r="B214" s="1"/>
  <c r="C214" s="1"/>
  <c r="A215"/>
  <c r="B215" s="1"/>
  <c r="C215" s="1"/>
  <c r="A216"/>
  <c r="B216" s="1"/>
  <c r="C216" s="1"/>
  <c r="A217"/>
  <c r="B217"/>
  <c r="C217" s="1"/>
  <c r="A218"/>
  <c r="B218" s="1"/>
  <c r="C218" s="1"/>
  <c r="A219"/>
  <c r="B219" s="1"/>
  <c r="C219" s="1"/>
  <c r="A220"/>
  <c r="B220" s="1"/>
  <c r="C220" s="1"/>
  <c r="A221"/>
  <c r="B221"/>
  <c r="C221"/>
  <c r="A222"/>
  <c r="B222" s="1"/>
  <c r="C222" s="1"/>
  <c r="A223"/>
  <c r="B223" s="1"/>
  <c r="C223" s="1"/>
  <c r="A224"/>
  <c r="B224"/>
  <c r="C224" s="1"/>
  <c r="A225"/>
  <c r="B225" s="1"/>
  <c r="C225" s="1"/>
  <c r="A226"/>
  <c r="B226" s="1"/>
  <c r="C226" s="1"/>
  <c r="A227"/>
  <c r="B227" s="1"/>
  <c r="C227" s="1"/>
  <c r="A228"/>
  <c r="B228"/>
  <c r="C228" s="1"/>
  <c r="A229"/>
  <c r="B229" s="1"/>
  <c r="C229" s="1"/>
  <c r="A230"/>
  <c r="B230" s="1"/>
  <c r="C230" s="1"/>
  <c r="A231"/>
  <c r="B231" s="1"/>
  <c r="C231" s="1"/>
  <c r="A232"/>
  <c r="B232" s="1"/>
  <c r="C232" s="1"/>
  <c r="A233"/>
  <c r="B233"/>
  <c r="C233" s="1"/>
  <c r="A234"/>
  <c r="B234" s="1"/>
  <c r="C234" s="1"/>
  <c r="A235"/>
  <c r="B235" s="1"/>
  <c r="C235" s="1"/>
  <c r="A236"/>
  <c r="B236" s="1"/>
  <c r="C236" s="1"/>
  <c r="A237"/>
  <c r="B237"/>
  <c r="C237"/>
  <c r="A238"/>
  <c r="B238" s="1"/>
  <c r="C238" s="1"/>
  <c r="A239"/>
  <c r="B239" s="1"/>
  <c r="C239" s="1"/>
  <c r="A240"/>
  <c r="B240"/>
  <c r="C240" s="1"/>
  <c r="A241"/>
  <c r="B241" s="1"/>
  <c r="C241" s="1"/>
  <c r="A242"/>
  <c r="B242" s="1"/>
  <c r="C242" s="1"/>
  <c r="A243"/>
  <c r="B243" s="1"/>
  <c r="C243" s="1"/>
  <c r="A244"/>
  <c r="B244"/>
  <c r="C244" s="1"/>
  <c r="A245"/>
  <c r="B245" s="1"/>
  <c r="C245" s="1"/>
  <c r="A246"/>
  <c r="B246" s="1"/>
  <c r="C246" s="1"/>
  <c r="A247"/>
  <c r="B247" s="1"/>
  <c r="C247" s="1"/>
  <c r="A248"/>
  <c r="B248"/>
  <c r="C248" s="1"/>
  <c r="A249"/>
  <c r="B249" s="1"/>
  <c r="C249" s="1"/>
  <c r="A250"/>
  <c r="B250" s="1"/>
  <c r="C250" s="1"/>
  <c r="A251"/>
  <c r="B251" s="1"/>
  <c r="C251" s="1"/>
  <c r="A252"/>
  <c r="B252"/>
  <c r="C252"/>
  <c r="A253"/>
  <c r="B253" s="1"/>
  <c r="C253" s="1"/>
  <c r="A254"/>
  <c r="B254" s="1"/>
  <c r="C254" s="1"/>
  <c r="A255"/>
  <c r="B255" s="1"/>
  <c r="C255" s="1"/>
  <c r="A256"/>
  <c r="B256"/>
  <c r="C256"/>
  <c r="A257"/>
  <c r="B257" s="1"/>
  <c r="C257" s="1"/>
  <c r="A258"/>
  <c r="B258" s="1"/>
  <c r="C258" s="1"/>
  <c r="A259"/>
  <c r="B259" s="1"/>
  <c r="C259" s="1"/>
  <c r="A260"/>
  <c r="B260"/>
  <c r="C260" s="1"/>
  <c r="A261"/>
  <c r="B261" s="1"/>
  <c r="C261" s="1"/>
  <c r="A262"/>
  <c r="B262" s="1"/>
  <c r="C262" s="1"/>
  <c r="A263"/>
  <c r="B263" s="1"/>
  <c r="C263" s="1"/>
  <c r="A264"/>
  <c r="B264"/>
  <c r="C264" s="1"/>
  <c r="A265"/>
  <c r="B265" s="1"/>
  <c r="C265" s="1"/>
  <c r="A266"/>
  <c r="B266" s="1"/>
  <c r="C266" s="1"/>
  <c r="A267"/>
  <c r="B267" s="1"/>
  <c r="C267" s="1"/>
  <c r="A268"/>
  <c r="B268"/>
  <c r="C268"/>
  <c r="A269"/>
  <c r="B269" s="1"/>
  <c r="C269" s="1"/>
  <c r="A270"/>
  <c r="B270" s="1"/>
  <c r="C270" s="1"/>
  <c r="A271"/>
  <c r="B271" s="1"/>
  <c r="C271" s="1"/>
  <c r="A272"/>
  <c r="B272"/>
  <c r="C272"/>
  <c r="A273"/>
  <c r="B273" s="1"/>
  <c r="C273" s="1"/>
  <c r="A274"/>
  <c r="B274" s="1"/>
  <c r="C274" s="1"/>
  <c r="A275"/>
  <c r="B275" s="1"/>
  <c r="C275" s="1"/>
  <c r="A276"/>
  <c r="B276"/>
  <c r="C276" s="1"/>
  <c r="A277"/>
  <c r="B277" s="1"/>
  <c r="C277" s="1"/>
  <c r="A278"/>
  <c r="B278" s="1"/>
  <c r="C278" s="1"/>
  <c r="A279"/>
  <c r="B279" s="1"/>
  <c r="C279" s="1"/>
  <c r="A280"/>
  <c r="B280"/>
  <c r="C280" s="1"/>
  <c r="C5"/>
  <c r="C8"/>
  <c r="C13"/>
  <c r="A4"/>
  <c r="B4" s="1"/>
  <c r="C4" s="1"/>
  <c r="A5"/>
  <c r="B5" s="1"/>
  <c r="A6"/>
  <c r="B6"/>
  <c r="C6" s="1"/>
  <c r="A7"/>
  <c r="B7" s="1"/>
  <c r="C7" s="1"/>
  <c r="A8"/>
  <c r="B8"/>
  <c r="A9"/>
  <c r="B9" s="1"/>
  <c r="C9" s="1"/>
  <c r="A10"/>
  <c r="B10" s="1"/>
  <c r="C10" s="1"/>
  <c r="A11"/>
  <c r="B11" s="1"/>
  <c r="C11" s="1"/>
  <c r="A12"/>
  <c r="B12" s="1"/>
  <c r="C12" s="1"/>
  <c r="A13"/>
  <c r="B13" s="1"/>
  <c r="A14"/>
  <c r="B14"/>
  <c r="C14" s="1"/>
  <c r="B3"/>
  <c r="C3" s="1"/>
  <c r="A3"/>
  <c r="A3" i="10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"/>
  <c r="A3" i="6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2"/>
  <c r="A45" i="8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2"/>
  <c r="A557" i="4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" i="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2"/>
</calcChain>
</file>

<file path=xl/sharedStrings.xml><?xml version="1.0" encoding="utf-8"?>
<sst xmlns="http://schemas.openxmlformats.org/spreadsheetml/2006/main" count="817" uniqueCount="813">
  <si>
    <t>var symptom_weights = [</t>
  </si>
  <si>
    <t>];</t>
  </si>
  <si>
    <t>278 Symtoms (x2 because each symptom has positive and negative factor) are mapped to the 38 factors</t>
  </si>
  <si>
    <t>R001</t>
  </si>
  <si>
    <t>R002</t>
  </si>
  <si>
    <t>R003</t>
  </si>
  <si>
    <t>R004</t>
  </si>
  <si>
    <t>R005</t>
  </si>
  <si>
    <t>R006</t>
  </si>
  <si>
    <t>R007</t>
  </si>
  <si>
    <t>R008</t>
  </si>
  <si>
    <t>R009</t>
  </si>
  <si>
    <t>R010</t>
  </si>
  <si>
    <t>R011</t>
  </si>
  <si>
    <t>R012</t>
  </si>
  <si>
    <t>R013</t>
  </si>
  <si>
    <t>R014</t>
  </si>
  <si>
    <t>R015</t>
  </si>
  <si>
    <t>R016</t>
  </si>
  <si>
    <t>R017</t>
  </si>
  <si>
    <t>R018</t>
  </si>
  <si>
    <t>R019</t>
  </si>
  <si>
    <t>R020</t>
  </si>
  <si>
    <t>R021</t>
  </si>
  <si>
    <t>R022</t>
  </si>
  <si>
    <t>R023</t>
  </si>
  <si>
    <t>R024</t>
  </si>
  <si>
    <t>R025</t>
  </si>
  <si>
    <t>R026</t>
  </si>
  <si>
    <t>R027</t>
  </si>
  <si>
    <t>R028</t>
  </si>
  <si>
    <t>R029</t>
  </si>
  <si>
    <t>R030</t>
  </si>
  <si>
    <t>R031</t>
  </si>
  <si>
    <t>R032</t>
  </si>
  <si>
    <t>R033</t>
  </si>
  <si>
    <t>R034</t>
  </si>
  <si>
    <t>R035</t>
  </si>
  <si>
    <t>R036</t>
  </si>
  <si>
    <t>R037</t>
  </si>
  <si>
    <t>R038</t>
  </si>
  <si>
    <t>R039</t>
  </si>
  <si>
    <t>R040</t>
  </si>
  <si>
    <t>R041</t>
  </si>
  <si>
    <t>R042</t>
  </si>
  <si>
    <t>R043</t>
  </si>
  <si>
    <t>R044</t>
  </si>
  <si>
    <t>R045</t>
  </si>
  <si>
    <t>R046</t>
  </si>
  <si>
    <t>R047</t>
  </si>
  <si>
    <t>R048</t>
  </si>
  <si>
    <t>R049</t>
  </si>
  <si>
    <t>R050</t>
  </si>
  <si>
    <t>R051</t>
  </si>
  <si>
    <t>R052</t>
  </si>
  <si>
    <t>R053</t>
  </si>
  <si>
    <t>R054</t>
  </si>
  <si>
    <t>R055</t>
  </si>
  <si>
    <t>R056</t>
  </si>
  <si>
    <t>R057</t>
  </si>
  <si>
    <t>R058</t>
  </si>
  <si>
    <t>R059</t>
  </si>
  <si>
    <t>R060</t>
  </si>
  <si>
    <t>R061</t>
  </si>
  <si>
    <t>R062</t>
  </si>
  <si>
    <t>R063</t>
  </si>
  <si>
    <t>R064</t>
  </si>
  <si>
    <t>R065</t>
  </si>
  <si>
    <t>R066</t>
  </si>
  <si>
    <t>R067</t>
  </si>
  <si>
    <t>R068</t>
  </si>
  <si>
    <t>R069</t>
  </si>
  <si>
    <t>R070</t>
  </si>
  <si>
    <t>R071</t>
  </si>
  <si>
    <t>R072</t>
  </si>
  <si>
    <t>R073</t>
  </si>
  <si>
    <t>R074</t>
  </si>
  <si>
    <t>R075</t>
  </si>
  <si>
    <t>R076</t>
  </si>
  <si>
    <t>R077</t>
  </si>
  <si>
    <t>R078</t>
  </si>
  <si>
    <t>R079</t>
  </si>
  <si>
    <t>R080</t>
  </si>
  <si>
    <t>R081</t>
  </si>
  <si>
    <t>R082</t>
  </si>
  <si>
    <t>R083</t>
  </si>
  <si>
    <t>R084</t>
  </si>
  <si>
    <t>R085</t>
  </si>
  <si>
    <t>R086</t>
  </si>
  <si>
    <t>R087</t>
  </si>
  <si>
    <t>R088</t>
  </si>
  <si>
    <t>R089</t>
  </si>
  <si>
    <t>R090</t>
  </si>
  <si>
    <t>R091</t>
  </si>
  <si>
    <t>R092</t>
  </si>
  <si>
    <t>R093</t>
  </si>
  <si>
    <t>R094</t>
  </si>
  <si>
    <t>R095</t>
  </si>
  <si>
    <t>R096</t>
  </si>
  <si>
    <t>R097</t>
  </si>
  <si>
    <t>R098</t>
  </si>
  <si>
    <t>R099</t>
  </si>
  <si>
    <t>R100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</si>
  <si>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</si>
  <si>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</si>
  <si>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</si>
  <si>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</si>
  <si>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</si>
  <si>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</si>
  <si>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</si>
  <si>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</si>
  <si>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</si>
  <si>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</si>
  <si>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</si>
  <si>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</si>
  <si>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R113</t>
  </si>
  <si>
    <t>R114</t>
  </si>
  <si>
    <t>R115</t>
  </si>
  <si>
    <t>R116</t>
  </si>
  <si>
    <t>R117</t>
  </si>
  <si>
    <t>R118</t>
  </si>
  <si>
    <t>R119</t>
  </si>
  <si>
    <t>R120</t>
  </si>
  <si>
    <t>R121</t>
  </si>
  <si>
    <t>R122</t>
  </si>
  <si>
    <t>R123</t>
  </si>
  <si>
    <t>R124</t>
  </si>
  <si>
    <t>R125</t>
  </si>
  <si>
    <t>R126</t>
  </si>
  <si>
    <t>R127</t>
  </si>
  <si>
    <t>R128</t>
  </si>
  <si>
    <t>R129</t>
  </si>
  <si>
    <t>R130</t>
  </si>
  <si>
    <t>R131</t>
  </si>
  <si>
    <t>R132</t>
  </si>
  <si>
    <t>R133</t>
  </si>
  <si>
    <t>R134</t>
  </si>
  <si>
    <t>R135</t>
  </si>
  <si>
    <t>R136</t>
  </si>
  <si>
    <t>R137</t>
  </si>
  <si>
    <t>R138</t>
  </si>
  <si>
    <t>R139</t>
  </si>
  <si>
    <t>R140</t>
  </si>
  <si>
    <t>R141</t>
  </si>
  <si>
    <t>R142</t>
  </si>
  <si>
    <t>R143</t>
  </si>
  <si>
    <t>R144</t>
  </si>
  <si>
    <t>R145</t>
  </si>
  <si>
    <t>R146</t>
  </si>
  <si>
    <t>R147</t>
  </si>
  <si>
    <t>R148</t>
  </si>
  <si>
    <t>R149</t>
  </si>
  <si>
    <t>R150</t>
  </si>
  <si>
    <t>R151</t>
  </si>
  <si>
    <t>R152</t>
  </si>
  <si>
    <t>R153</t>
  </si>
  <si>
    <t>R154</t>
  </si>
  <si>
    <t>R155</t>
  </si>
  <si>
    <t>R156</t>
  </si>
  <si>
    <t>R157</t>
  </si>
  <si>
    <t>R158</t>
  </si>
  <si>
    <t>R159</t>
  </si>
  <si>
    <t>R160</t>
  </si>
  <si>
    <t>R161</t>
  </si>
  <si>
    <t>R162</t>
  </si>
  <si>
    <t>R163</t>
  </si>
  <si>
    <t>R164</t>
  </si>
  <si>
    <t>R165</t>
  </si>
  <si>
    <t>R166</t>
  </si>
  <si>
    <t>R167</t>
  </si>
  <si>
    <t>R168</t>
  </si>
  <si>
    <t>R169</t>
  </si>
  <si>
    <t>R170</t>
  </si>
  <si>
    <t>R171</t>
  </si>
  <si>
    <t>R172</t>
  </si>
  <si>
    <t>R173</t>
  </si>
  <si>
    <t>R174</t>
  </si>
  <si>
    <t>R175</t>
  </si>
  <si>
    <t>R176</t>
  </si>
  <si>
    <t>R177</t>
  </si>
  <si>
    <t>R178</t>
  </si>
  <si>
    <t>R179</t>
  </si>
  <si>
    <t>R180</t>
  </si>
  <si>
    <t>R181</t>
  </si>
  <si>
    <t>R182</t>
  </si>
  <si>
    <t>R183</t>
  </si>
  <si>
    <t>R184</t>
  </si>
  <si>
    <t>R185</t>
  </si>
  <si>
    <t>R186</t>
  </si>
  <si>
    <t>R187</t>
  </si>
  <si>
    <t>R188</t>
  </si>
  <si>
    <t>R189</t>
  </si>
  <si>
    <t>R190</t>
  </si>
  <si>
    <t>R191</t>
  </si>
  <si>
    <t>R192</t>
  </si>
  <si>
    <t>R193</t>
  </si>
  <si>
    <t>R194</t>
  </si>
  <si>
    <t>R195</t>
  </si>
  <si>
    <t>R196</t>
  </si>
  <si>
    <t>R197</t>
  </si>
  <si>
    <t>R198</t>
  </si>
  <si>
    <t>R199</t>
  </si>
  <si>
    <t>R200</t>
  </si>
  <si>
    <t>R201</t>
  </si>
  <si>
    <t>R202</t>
  </si>
  <si>
    <t>R203</t>
  </si>
  <si>
    <t>R204</t>
  </si>
  <si>
    <t>R205</t>
  </si>
  <si>
    <t>R206</t>
  </si>
  <si>
    <t>R207</t>
  </si>
  <si>
    <t>R208</t>
  </si>
  <si>
    <t>R209</t>
  </si>
  <si>
    <t>R210</t>
  </si>
  <si>
    <t>R211</t>
  </si>
  <si>
    <t>R212</t>
  </si>
  <si>
    <t>R213</t>
  </si>
  <si>
    <t>R214</t>
  </si>
  <si>
    <t>R215</t>
  </si>
  <si>
    <t>R216</t>
  </si>
  <si>
    <t>R217</t>
  </si>
  <si>
    <t>R218</t>
  </si>
  <si>
    <t>R219</t>
  </si>
  <si>
    <t>R220</t>
  </si>
  <si>
    <t>R221</t>
  </si>
  <si>
    <t>R222</t>
  </si>
  <si>
    <t>R223</t>
  </si>
  <si>
    <t>R224</t>
  </si>
  <si>
    <t>R225</t>
  </si>
  <si>
    <t>R226</t>
  </si>
  <si>
    <t>R227</t>
  </si>
  <si>
    <t>R228</t>
  </si>
  <si>
    <t>R229</t>
  </si>
  <si>
    <t>R230</t>
  </si>
  <si>
    <t>R231</t>
  </si>
  <si>
    <t>R232</t>
  </si>
  <si>
    <t>R233</t>
  </si>
  <si>
    <t>R234</t>
  </si>
  <si>
    <t>R235</t>
  </si>
  <si>
    <t>R236</t>
  </si>
  <si>
    <t>R237</t>
  </si>
  <si>
    <t>R238</t>
  </si>
  <si>
    <t>R239</t>
  </si>
  <si>
    <t>R240</t>
  </si>
  <si>
    <t>R241</t>
  </si>
  <si>
    <t>R242</t>
  </si>
  <si>
    <t>R243</t>
  </si>
  <si>
    <t>R244</t>
  </si>
  <si>
    <t>R245</t>
  </si>
  <si>
    <t>R246</t>
  </si>
  <si>
    <t>R247</t>
  </si>
  <si>
    <t>R248</t>
  </si>
  <si>
    <t>R249</t>
  </si>
  <si>
    <t>R250</t>
  </si>
  <si>
    <t>R251</t>
  </si>
  <si>
    <t>R252</t>
  </si>
  <si>
    <t>R253</t>
  </si>
  <si>
    <t>R254</t>
  </si>
  <si>
    <t>R255</t>
  </si>
  <si>
    <t>R256</t>
  </si>
  <si>
    <t>R257</t>
  </si>
  <si>
    <t>R258</t>
  </si>
  <si>
    <t>R259</t>
  </si>
  <si>
    <t>R260</t>
  </si>
  <si>
    <t>R261</t>
  </si>
  <si>
    <t>R262</t>
  </si>
  <si>
    <t>R263</t>
  </si>
  <si>
    <t>R264</t>
  </si>
  <si>
    <t>R265</t>
  </si>
  <si>
    <t>R266</t>
  </si>
  <si>
    <t>R267</t>
  </si>
  <si>
    <t>R268</t>
  </si>
  <si>
    <t>R269</t>
  </si>
  <si>
    <t>R270</t>
  </si>
  <si>
    <t>R271</t>
  </si>
  <si>
    <t>R272</t>
  </si>
  <si>
    <t>R273</t>
  </si>
  <si>
    <t>R274</t>
  </si>
  <si>
    <t>R275</t>
  </si>
  <si>
    <t>R276</t>
  </si>
  <si>
    <t>R277</t>
  </si>
  <si>
    <t>R278</t>
  </si>
  <si>
    <t>R279</t>
  </si>
  <si>
    <t>R280</t>
  </si>
  <si>
    <t>R281</t>
  </si>
  <si>
    <t>R282</t>
  </si>
  <si>
    <t>R283</t>
  </si>
  <si>
    <t>R284</t>
  </si>
  <si>
    <t>R285</t>
  </si>
  <si>
    <t>R286</t>
  </si>
  <si>
    <t>R287</t>
  </si>
  <si>
    <t>R288</t>
  </si>
  <si>
    <t>R289</t>
  </si>
  <si>
    <t>R290</t>
  </si>
  <si>
    <t>R291</t>
  </si>
  <si>
    <t>R292</t>
  </si>
  <si>
    <t>R293</t>
  </si>
  <si>
    <t>R294</t>
  </si>
  <si>
    <t>R295</t>
  </si>
  <si>
    <t>R296</t>
  </si>
  <si>
    <t>R297</t>
  </si>
  <si>
    <t>R298</t>
  </si>
  <si>
    <t>R299</t>
  </si>
  <si>
    <t>R300</t>
  </si>
  <si>
    <t>R301</t>
  </si>
  <si>
    <t>R302</t>
  </si>
  <si>
    <t>R303</t>
  </si>
  <si>
    <t>R304</t>
  </si>
  <si>
    <t>R305</t>
  </si>
  <si>
    <t>R306</t>
  </si>
  <si>
    <t>R307</t>
  </si>
  <si>
    <t>R308</t>
  </si>
  <si>
    <t>R309</t>
  </si>
  <si>
    <t>R310</t>
  </si>
  <si>
    <t>R311</t>
  </si>
  <si>
    <t>R312</t>
  </si>
  <si>
    <t>R313</t>
  </si>
  <si>
    <t>R314</t>
  </si>
  <si>
    <t>R315</t>
  </si>
  <si>
    <t>R316</t>
  </si>
  <si>
    <t>R317</t>
  </si>
  <si>
    <t>R318</t>
  </si>
  <si>
    <t>R319</t>
  </si>
  <si>
    <t>R320</t>
  </si>
  <si>
    <t>R321</t>
  </si>
  <si>
    <t>R322</t>
  </si>
  <si>
    <t>R323</t>
  </si>
  <si>
    <t>R324</t>
  </si>
  <si>
    <t>R325</t>
  </si>
  <si>
    <t>R326</t>
  </si>
  <si>
    <t>R327</t>
  </si>
  <si>
    <t>R328</t>
  </si>
  <si>
    <t>R329</t>
  </si>
  <si>
    <t>R330</t>
  </si>
  <si>
    <t>R331</t>
  </si>
  <si>
    <t>R332</t>
  </si>
  <si>
    <t>R333</t>
  </si>
  <si>
    <t>R334</t>
  </si>
  <si>
    <t>R335</t>
  </si>
  <si>
    <t>R336</t>
  </si>
  <si>
    <t>R337</t>
  </si>
  <si>
    <t>R338</t>
  </si>
  <si>
    <t>R339</t>
  </si>
  <si>
    <t>R340</t>
  </si>
  <si>
    <t>R341</t>
  </si>
  <si>
    <t>R342</t>
  </si>
  <si>
    <t>R343</t>
  </si>
  <si>
    <t>R344</t>
  </si>
  <si>
    <t>R345</t>
  </si>
  <si>
    <t>R346</t>
  </si>
  <si>
    <t>R347</t>
  </si>
  <si>
    <t>R348</t>
  </si>
  <si>
    <t>R349</t>
  </si>
  <si>
    <t>R350</t>
  </si>
  <si>
    <t>R351</t>
  </si>
  <si>
    <t>R352</t>
  </si>
  <si>
    <t>R353</t>
  </si>
  <si>
    <t>R354</t>
  </si>
  <si>
    <t>R355</t>
  </si>
  <si>
    <t>R356</t>
  </si>
  <si>
    <t>R357</t>
  </si>
  <si>
    <t>R358</t>
  </si>
  <si>
    <t>R359</t>
  </si>
  <si>
    <t>R360</t>
  </si>
  <si>
    <t>R361</t>
  </si>
  <si>
    <t>R362</t>
  </si>
  <si>
    <t>R363</t>
  </si>
  <si>
    <t>R364</t>
  </si>
  <si>
    <t>R365</t>
  </si>
  <si>
    <t>R366</t>
  </si>
  <si>
    <t>R367</t>
  </si>
  <si>
    <t>R368</t>
  </si>
  <si>
    <t>R369</t>
  </si>
  <si>
    <t>R370</t>
  </si>
  <si>
    <t>R371</t>
  </si>
  <si>
    <t>R372</t>
  </si>
  <si>
    <t>R373</t>
  </si>
  <si>
    <t>R374</t>
  </si>
  <si>
    <t>R375</t>
  </si>
  <si>
    <t>R376</t>
  </si>
  <si>
    <t>R377</t>
  </si>
  <si>
    <t>R378</t>
  </si>
  <si>
    <t>R379</t>
  </si>
  <si>
    <t>R380</t>
  </si>
  <si>
    <t>R381</t>
  </si>
  <si>
    <t>R382</t>
  </si>
  <si>
    <t>R383</t>
  </si>
  <si>
    <t>R384</t>
  </si>
  <si>
    <t>R385</t>
  </si>
  <si>
    <t>R386</t>
  </si>
  <si>
    <t>R387</t>
  </si>
  <si>
    <t>R388</t>
  </si>
  <si>
    <t>R389</t>
  </si>
  <si>
    <t>R390</t>
  </si>
  <si>
    <t>R391</t>
  </si>
  <si>
    <t>R392</t>
  </si>
  <si>
    <t>R393</t>
  </si>
  <si>
    <t>R394</t>
  </si>
  <si>
    <t>R395</t>
  </si>
  <si>
    <t>R396</t>
  </si>
  <si>
    <t>R397</t>
  </si>
  <si>
    <t>R398</t>
  </si>
  <si>
    <t>A.D.N. (D.N.A.)</t>
  </si>
  <si>
    <t>A.R.N  (R.N.A.)</t>
  </si>
  <si>
    <t>Abrotanum</t>
  </si>
  <si>
    <t>Aceticum Acidum</t>
  </si>
  <si>
    <t>Achillea Millefolium</t>
  </si>
  <si>
    <t>Aconitum Napellus</t>
  </si>
  <si>
    <t>Actaea Racemosa</t>
  </si>
  <si>
    <t>Actaea Spicata</t>
  </si>
  <si>
    <t>Aesculus Hippocasta.</t>
  </si>
  <si>
    <t>Aethusa Cynapium</t>
  </si>
  <si>
    <t>Agaricus Muscarius</t>
  </si>
  <si>
    <t>Agnus Castus</t>
  </si>
  <si>
    <t>Ailanthus Glandulosa</t>
  </si>
  <si>
    <t>Allium Cepa</t>
  </si>
  <si>
    <t>Allium Sativum</t>
  </si>
  <si>
    <t>Aloe (Aloes Du Cap)</t>
  </si>
  <si>
    <t>Alumen Crudum</t>
  </si>
  <si>
    <t>Alumina (Diaspore)</t>
  </si>
  <si>
    <t>Ambra Grisea</t>
  </si>
  <si>
    <t>Ammoniacum (Gummi)</t>
  </si>
  <si>
    <t>Ammonium Bromatum</t>
  </si>
  <si>
    <t>Ammonium Carbonicum</t>
  </si>
  <si>
    <t>Ammonium Muriaticum</t>
  </si>
  <si>
    <t>Amygdalus Com. Amara</t>
  </si>
  <si>
    <t>Amylium Nitrosum</t>
  </si>
  <si>
    <t>Anacardium Orientale</t>
  </si>
  <si>
    <t>Anagallis Arvensis</t>
  </si>
  <si>
    <t>Anantherum Muricatum</t>
  </si>
  <si>
    <t>Angustura Vera</t>
  </si>
  <si>
    <t>Anthracinum</t>
  </si>
  <si>
    <t>Anthrakokali</t>
  </si>
  <si>
    <t>Antimonium Crudum</t>
  </si>
  <si>
    <t>Antimonium Tartaric.</t>
  </si>
  <si>
    <t>Apis Mellifica</t>
  </si>
  <si>
    <t>Apocynum Cannabinum</t>
  </si>
  <si>
    <t>Aranea Diadema</t>
  </si>
  <si>
    <t>Argentum Metallicum</t>
  </si>
  <si>
    <t>Argentum Nitricum</t>
  </si>
  <si>
    <t>Arnica Montana</t>
  </si>
  <si>
    <t>Arsenicum Album</t>
  </si>
  <si>
    <t>Arsenicum Hydrogeno.</t>
  </si>
  <si>
    <t>Arsenicum Iodatum</t>
  </si>
  <si>
    <t>Arsenicum Metallicum</t>
  </si>
  <si>
    <t>Arsenicum Sul. Flav.</t>
  </si>
  <si>
    <t>Arsenicum Sul. Rubr.</t>
  </si>
  <si>
    <t>Artemisia Vulgaris</t>
  </si>
  <si>
    <t>Arum Dracunculus</t>
  </si>
  <si>
    <t>Arum Maculatum</t>
  </si>
  <si>
    <t>Arum Triphyllum</t>
  </si>
  <si>
    <t>Arundo Mauritanica</t>
  </si>
  <si>
    <t>Asa Foetida</t>
  </si>
  <si>
    <t>Asarum Europaeum</t>
  </si>
  <si>
    <t>Asclepias Cornuti</t>
  </si>
  <si>
    <t>Asclepias Tuberosa</t>
  </si>
  <si>
    <t>Asimina Triloba</t>
  </si>
  <si>
    <t>Asparagus Officinal.</t>
  </si>
  <si>
    <t>Astacus Fluviatilis</t>
  </si>
  <si>
    <t>Asterias Rubens</t>
  </si>
  <si>
    <t>Atropinum</t>
  </si>
  <si>
    <t>Atropinum Sulfuricum</t>
  </si>
  <si>
    <t>Aurum Metallicum</t>
  </si>
  <si>
    <t>Aurum Muriat. Natro.</t>
  </si>
  <si>
    <t>Aurum Muriaticum</t>
  </si>
  <si>
    <t>Badiaga</t>
  </si>
  <si>
    <t>Baptisia Tinctoria</t>
  </si>
  <si>
    <t>Baryta Carbonica</t>
  </si>
  <si>
    <t>Baryta Muriatica</t>
  </si>
  <si>
    <t>Belladonna</t>
  </si>
  <si>
    <t>Benzoicum Acidum</t>
  </si>
  <si>
    <t>Berberis Vulgaris</t>
  </si>
  <si>
    <t>Bismuthum Oxydatum</t>
  </si>
  <si>
    <t>Borax    (Na2 B4 O7)</t>
  </si>
  <si>
    <t>Bovista</t>
  </si>
  <si>
    <t>Brachyglottis Repens</t>
  </si>
  <si>
    <t>Bromum</t>
  </si>
  <si>
    <t>Brucella Melitensis</t>
  </si>
  <si>
    <t>Bryonia Alba</t>
  </si>
  <si>
    <t>Cactus Grandiflorus</t>
  </si>
  <si>
    <t>Cadmium Sulfuratum</t>
  </si>
  <si>
    <t>Cahinca</t>
  </si>
  <si>
    <t>Caladium Seguinum</t>
  </si>
  <si>
    <t>Calcarea Arsenicica</t>
  </si>
  <si>
    <t>Calcarea Carbonica</t>
  </si>
  <si>
    <t>Calcarea Fluorica</t>
  </si>
  <si>
    <t>Calcarea Iodata</t>
  </si>
  <si>
    <t>Calcarea Phosphorica</t>
  </si>
  <si>
    <t>Calcarea Sulfurica</t>
  </si>
  <si>
    <t>Calendula Officinal.</t>
  </si>
  <si>
    <t>Camphora Officinalis</t>
  </si>
  <si>
    <t>Cannabis Indica</t>
  </si>
  <si>
    <t>Cannabis Sativa</t>
  </si>
  <si>
    <t>Cantharis</t>
  </si>
  <si>
    <t>Capsicum Annuum</t>
  </si>
  <si>
    <t>Carbo Animalis</t>
  </si>
  <si>
    <t>Carbo Vegetabilis</t>
  </si>
  <si>
    <t>Carbolicum Acidum</t>
  </si>
  <si>
    <t>Carboneum Sulfuratum</t>
  </si>
  <si>
    <t>Carcinosinum</t>
  </si>
  <si>
    <t>Carduus Marianus</t>
  </si>
  <si>
    <t>Castor Equi</t>
  </si>
  <si>
    <t>Castoreum</t>
  </si>
  <si>
    <t>Caulophyllum</t>
  </si>
  <si>
    <t>Causticum</t>
  </si>
  <si>
    <t>Cedron</t>
  </si>
  <si>
    <t>Chamomilla Vulgaris</t>
  </si>
  <si>
    <t>Chelidonium Majus</t>
  </si>
  <si>
    <t>Chenopodii Glauci A.</t>
  </si>
  <si>
    <t>Chenopodium Anthelm.</t>
  </si>
  <si>
    <t>Chimaphila Umbellata</t>
  </si>
  <si>
    <t>China (/China Rubra)</t>
  </si>
  <si>
    <t>Chininum Arsenicosum</t>
  </si>
  <si>
    <t>Chininum Sulfuricum</t>
  </si>
  <si>
    <t>Chloralum (Chloral)</t>
  </si>
  <si>
    <t>Chloramphenicolum</t>
  </si>
  <si>
    <t>Chloroformium</t>
  </si>
  <si>
    <t>Chlorpromazine</t>
  </si>
  <si>
    <t>Chlorum (Chlore)</t>
  </si>
  <si>
    <t>Chromicum Acidum</t>
  </si>
  <si>
    <t>Cicuta Virosa</t>
  </si>
  <si>
    <t>Cimex Lectularius</t>
  </si>
  <si>
    <t>Cina</t>
  </si>
  <si>
    <t>Cinnabaris</t>
  </si>
  <si>
    <t>Cinnamomum Zeylanic.</t>
  </si>
  <si>
    <t>Cistus Canadensis</t>
  </si>
  <si>
    <t>Citrus Limonum</t>
  </si>
  <si>
    <t>Clematis Erecta</t>
  </si>
  <si>
    <t>Cobaltum Metallicum</t>
  </si>
  <si>
    <t>Cobaltum Nitricum</t>
  </si>
  <si>
    <t>Coca (Erythroxylon)</t>
  </si>
  <si>
    <t>Coccinella Septemp.</t>
  </si>
  <si>
    <t>Cocculus Indicus</t>
  </si>
  <si>
    <t>Coccus Cacti</t>
  </si>
  <si>
    <t>Cochlearia Armoracia</t>
  </si>
  <si>
    <t>Coffea Cruda</t>
  </si>
  <si>
    <t>Coffea Tosta</t>
  </si>
  <si>
    <t>Colchicum Autumnale</t>
  </si>
  <si>
    <t>Colibacillinum</t>
  </si>
  <si>
    <t>Collinsonia Canaden.</t>
  </si>
  <si>
    <t>Colocynthis</t>
  </si>
  <si>
    <t>Comocladia Dentata</t>
  </si>
  <si>
    <t>Condurango</t>
  </si>
  <si>
    <t>Conium Maculatum</t>
  </si>
  <si>
    <t>Copaiva Officinalis</t>
  </si>
  <si>
    <t>Corallium Rubrum</t>
  </si>
  <si>
    <t>Cornus(Circin./Flor)</t>
  </si>
  <si>
    <t>Cortisone</t>
  </si>
  <si>
    <t>Cresolum</t>
  </si>
  <si>
    <t>Crocus Sativus</t>
  </si>
  <si>
    <t>Crotalus Horridus</t>
  </si>
  <si>
    <t>Croton Tiglium</t>
  </si>
  <si>
    <t>Cubeba Officinalis</t>
  </si>
  <si>
    <t>Cuprum Aceticum</t>
  </si>
  <si>
    <t>Cuprum Arsenicosum</t>
  </si>
  <si>
    <t>Cuprum Metallicum</t>
  </si>
  <si>
    <t>Cuprum Sulfuricum</t>
  </si>
  <si>
    <t>Curare</t>
  </si>
  <si>
    <t>Cyclamen Europaeum</t>
  </si>
  <si>
    <t>Daphne Indica</t>
  </si>
  <si>
    <t>Digitalis Purpurea</t>
  </si>
  <si>
    <t>Dioscorea Villosa</t>
  </si>
  <si>
    <t>Diphterotoxinum</t>
  </si>
  <si>
    <t>Dolichos Pruriens</t>
  </si>
  <si>
    <t>Doryphora Decemline.</t>
  </si>
  <si>
    <t>Drosera Rotundifolia</t>
  </si>
  <si>
    <t>Dulcamara</t>
  </si>
  <si>
    <t>Eberthinum</t>
  </si>
  <si>
    <t>Elaps Corallinus</t>
  </si>
  <si>
    <t>Elaterium</t>
  </si>
  <si>
    <t>Erigeron Canadensis</t>
  </si>
  <si>
    <t>Eryngium Aquaticum</t>
  </si>
  <si>
    <t>Eucalyptus Globulus</t>
  </si>
  <si>
    <t>Eugenia Jambosa</t>
  </si>
  <si>
    <t>Eupatorium Perfolia.</t>
  </si>
  <si>
    <t>Eupatorium Purpureum</t>
  </si>
  <si>
    <t>Euphorbia Resinifera</t>
  </si>
  <si>
    <t>Euphrasia Officinal.</t>
  </si>
  <si>
    <t>Ferrum Iodatum</t>
  </si>
  <si>
    <t>Ferrum Metallicum</t>
  </si>
  <si>
    <t>Ferrum Muriaticum</t>
  </si>
  <si>
    <t>Ferrum Phosphoricum</t>
  </si>
  <si>
    <t>Ferrum Sulfuricum</t>
  </si>
  <si>
    <t>Fluoricum Acidum</t>
  </si>
  <si>
    <t>Formica Rufa</t>
  </si>
  <si>
    <t>Gambogia</t>
  </si>
  <si>
    <t>Gelsemium Sempervir.</t>
  </si>
  <si>
    <t>Glonoinum (Trinitr.)</t>
  </si>
  <si>
    <t>Gossypium Herbaceum</t>
  </si>
  <si>
    <t>Graphites</t>
  </si>
  <si>
    <t>Gratiola Officinalis</t>
  </si>
  <si>
    <t>Guaiacum</t>
  </si>
  <si>
    <t>Guarea Trichiloides</t>
  </si>
  <si>
    <t>Gymnocladus Canaden.</t>
  </si>
  <si>
    <t>Haloperidol</t>
  </si>
  <si>
    <t>Hamamelis Virginica</t>
  </si>
  <si>
    <t>Hedera Helix(Lierre)</t>
  </si>
  <si>
    <t>Hekla Lava</t>
  </si>
  <si>
    <t>Helleborus Niger</t>
  </si>
  <si>
    <t>Helonias Dioica</t>
  </si>
  <si>
    <t>Hepar Sulfuris</t>
  </si>
  <si>
    <t>Hippomanes</t>
  </si>
  <si>
    <t>Histaminum Muriatic.</t>
  </si>
  <si>
    <t>Hydrastis Canadensis</t>
  </si>
  <si>
    <t>Hydrocotyle Asiatica</t>
  </si>
  <si>
    <t>Hydrocyanicum Acidum</t>
  </si>
  <si>
    <t>Hydrophobinum(Lyss.)</t>
  </si>
  <si>
    <t>Hyosciamus Niger</t>
  </si>
  <si>
    <t>Hypericum Perforatum</t>
  </si>
  <si>
    <t>Iberis Amara</t>
  </si>
  <si>
    <t>Ignatia Amara</t>
  </si>
  <si>
    <t>Indigo</t>
  </si>
  <si>
    <t>Indium Metallicum</t>
  </si>
  <si>
    <t>Influenzinum</t>
  </si>
  <si>
    <t>Inula Helenium</t>
  </si>
  <si>
    <t>Iodoformium</t>
  </si>
  <si>
    <t>Iodum</t>
  </si>
  <si>
    <t>Ipeca</t>
  </si>
  <si>
    <t>Iris Versicolor</t>
  </si>
  <si>
    <t>Jaborandi</t>
  </si>
  <si>
    <t>Jacaranda Caroba</t>
  </si>
  <si>
    <t>Jatropha Curcas</t>
  </si>
  <si>
    <t>Juglans (Cin./Regia)</t>
  </si>
  <si>
    <t>Kalium Arsenicosum</t>
  </si>
  <si>
    <t>Kalium Bichromicum</t>
  </si>
  <si>
    <t>Kalium Bromatum</t>
  </si>
  <si>
    <t>Kalium Carbonicum</t>
  </si>
  <si>
    <t>Kalium Chloricum</t>
  </si>
  <si>
    <t>Kalium Iodatum</t>
  </si>
  <si>
    <t>Kalium Muriaticum</t>
  </si>
  <si>
    <t>Kalium Nitricum</t>
  </si>
  <si>
    <t>Kalium Phosphoricum</t>
  </si>
  <si>
    <t>Kalium Sulfuricum</t>
  </si>
  <si>
    <t>Kalmia Latifolia</t>
  </si>
  <si>
    <t>Kreosotum</t>
  </si>
  <si>
    <t>Lac Caninum</t>
  </si>
  <si>
    <t>Lac Defloratum</t>
  </si>
  <si>
    <t>Lachesis Mutus</t>
  </si>
  <si>
    <t>Lachnanthes Tinctor.</t>
  </si>
  <si>
    <t>Lacticum Acidum</t>
  </si>
  <si>
    <t>Lactuca Virosa</t>
  </si>
  <si>
    <t>Laurocerasus</t>
  </si>
  <si>
    <t>Ledum Palustre</t>
  </si>
  <si>
    <t>Leptandra Virginica</t>
  </si>
  <si>
    <t>Levomepromazine</t>
  </si>
  <si>
    <t>Lilium Tigrinum</t>
  </si>
  <si>
    <t>Lithium Carbonicum</t>
  </si>
  <si>
    <t>Lobelia Inflata</t>
  </si>
  <si>
    <t>Luesinum(Syphilinum)</t>
  </si>
  <si>
    <t>Lycopodium Clavatum</t>
  </si>
  <si>
    <t>Lycopus Virginicus</t>
  </si>
  <si>
    <t>Magnesia Carbonica</t>
  </si>
  <si>
    <t>Magnesia Muriatica</t>
  </si>
  <si>
    <t>Magnesia Phosphorica</t>
  </si>
  <si>
    <t>Magnesia Sulfurica</t>
  </si>
  <si>
    <t>Mancinella</t>
  </si>
  <si>
    <t>Mandragora Officina.</t>
  </si>
  <si>
    <t>Manganum Aceticum</t>
  </si>
  <si>
    <t>Manganum Metallicum</t>
  </si>
  <si>
    <t>Medorrhinum</t>
  </si>
  <si>
    <t>Melilotus Officinal.</t>
  </si>
  <si>
    <t>Menyanthes Trifolia.</t>
  </si>
  <si>
    <t>Mephitis Putorius</t>
  </si>
  <si>
    <t>Mercurialis Perennis</t>
  </si>
  <si>
    <t>Mercurius Bi-Iodatus</t>
  </si>
  <si>
    <t>Mercurius Corrosivus</t>
  </si>
  <si>
    <t>Mercurius Cyanatus</t>
  </si>
  <si>
    <t>Mercurius Proto-Iod.</t>
  </si>
  <si>
    <t>Mercurius Sulfuricus</t>
  </si>
  <si>
    <t>Mercurius(Solub/Viv)</t>
  </si>
  <si>
    <t>Methysergide</t>
  </si>
  <si>
    <t>Mezereum</t>
  </si>
  <si>
    <t>Moschus</t>
  </si>
  <si>
    <t>Murex Purpurea</t>
  </si>
  <si>
    <t>Muriaticum Acidum</t>
  </si>
  <si>
    <t>Myrica Cerifera</t>
  </si>
  <si>
    <t>Naja Tripudians</t>
  </si>
  <si>
    <t>Naloxone (Narcan)</t>
  </si>
  <si>
    <t>Natrum Arsenicicum</t>
  </si>
  <si>
    <t>Natrum Carbonicum</t>
  </si>
  <si>
    <t>Natrum Muriaticum</t>
  </si>
  <si>
    <t>Natrum Phosphoricum</t>
  </si>
  <si>
    <t>Natrum Sulfuricum</t>
  </si>
  <si>
    <t>Nepenthes</t>
  </si>
  <si>
    <t>Nerium Oleander</t>
  </si>
  <si>
    <t>Niccolum Metallicum</t>
  </si>
  <si>
    <t>Nitri Spiritus Dulc.</t>
  </si>
  <si>
    <t>Nitricum Acidum</t>
  </si>
  <si>
    <t>Nux Moschata</t>
  </si>
  <si>
    <t>Nux Vomica</t>
  </si>
  <si>
    <t>Oenanthe Crocata</t>
  </si>
  <si>
    <t>Oleum Animale</t>
  </si>
  <si>
    <t>Oleum Jecoris Aselli</t>
  </si>
  <si>
    <t>Onosmodium Virginia.</t>
  </si>
  <si>
    <t>Opium</t>
  </si>
  <si>
    <t>Oscillococcinum</t>
  </si>
  <si>
    <t>Osmium Metallicum</t>
  </si>
  <si>
    <t>Oxalicum Acidum</t>
  </si>
  <si>
    <t>Paeonia Officinalis</t>
  </si>
  <si>
    <t>Palladium Metallicum</t>
  </si>
  <si>
    <t>Paratyphoidinum B</t>
  </si>
  <si>
    <t>Pareira Brava</t>
  </si>
  <si>
    <t>Paris Quadrifolia</t>
  </si>
  <si>
    <t>Perhexiline(Maleate)</t>
  </si>
  <si>
    <t>Petroleum</t>
  </si>
  <si>
    <t>Petroselinum Sativum</t>
  </si>
  <si>
    <t>Phellandrium Aquati.</t>
  </si>
  <si>
    <t>Phenobarbital</t>
  </si>
  <si>
    <t>Phosphoricum Acidum</t>
  </si>
  <si>
    <t>Phosphorus</t>
  </si>
  <si>
    <t>Physostigma Venenos.</t>
  </si>
  <si>
    <t>Phytolacca Decandra</t>
  </si>
  <si>
    <t>Picricum Acidum</t>
  </si>
  <si>
    <t>Plantago Major</t>
  </si>
  <si>
    <t>Platina</t>
  </si>
  <si>
    <t>Plumbum Metallicum</t>
  </si>
  <si>
    <t>Podophyllum Peltatum</t>
  </si>
  <si>
    <t>Polygonum Hydropiper</t>
  </si>
  <si>
    <t>Proteus Vulgaris</t>
  </si>
  <si>
    <t>Prunus Spinosa</t>
  </si>
  <si>
    <t>Psorinum</t>
  </si>
  <si>
    <t>Ptelea Trifoliata</t>
  </si>
  <si>
    <t>Pulsatilla Nigricans</t>
  </si>
  <si>
    <t>Pyrogenium</t>
  </si>
  <si>
    <t>Radium Bromatum</t>
  </si>
  <si>
    <t>Rana Bufo</t>
  </si>
  <si>
    <t>Ranunculus Bulbosus</t>
  </si>
  <si>
    <t>Ranunculus Scelerat.</t>
  </si>
  <si>
    <t>Raphanus Sativ. Nig.</t>
  </si>
  <si>
    <t>Ratanhia</t>
  </si>
  <si>
    <t>Rauwolfia Serpentina</t>
  </si>
  <si>
    <t>Rheum Officinale</t>
  </si>
  <si>
    <t>Rhododendron Chrys.</t>
  </si>
  <si>
    <t>Rhus Toxicodendron</t>
  </si>
  <si>
    <t>Rhus Vernix</t>
  </si>
  <si>
    <t>Robinia Pseudo-Acac.</t>
  </si>
  <si>
    <t>Rumex Crispus</t>
  </si>
  <si>
    <t>Ruta Graveolens</t>
  </si>
  <si>
    <t>Sabadilla Officinar.</t>
  </si>
  <si>
    <t>Sabina</t>
  </si>
  <si>
    <t>Salicylicum Acidum</t>
  </si>
  <si>
    <t>Sambucus Nigra</t>
  </si>
  <si>
    <t>Sanguinaria Canaden.</t>
  </si>
  <si>
    <t>Sarsaparilla</t>
  </si>
  <si>
    <t>Scilla Maritima</t>
  </si>
  <si>
    <t>Secale Cornutum</t>
  </si>
  <si>
    <t>Selenium Metallicum</t>
  </si>
  <si>
    <t>Senecio Aureus</t>
  </si>
  <si>
    <t>Senega</t>
  </si>
  <si>
    <t>Sepia Officinalis</t>
  </si>
  <si>
    <t>Serum Anticolibacil.</t>
  </si>
  <si>
    <t>Silicea</t>
  </si>
  <si>
    <t>Sinapis Alba</t>
  </si>
  <si>
    <t>Spigelia Anthelmia</t>
  </si>
  <si>
    <t>Spongia Tosta</t>
  </si>
  <si>
    <t>Stannum Metallicum</t>
  </si>
  <si>
    <t>Staphylococcinum</t>
  </si>
  <si>
    <t>Staphysagria</t>
  </si>
  <si>
    <t>Sticta Pulmonaria</t>
  </si>
  <si>
    <t>Stillingia Sylvatica</t>
  </si>
  <si>
    <t>Stramonium</t>
  </si>
  <si>
    <t>Streptococcinum</t>
  </si>
  <si>
    <t>Strontium Carbonicum</t>
  </si>
  <si>
    <t>Sulfur</t>
  </si>
  <si>
    <t>Sulfur Iodatum</t>
  </si>
  <si>
    <t>Sulfuricum Acidum</t>
  </si>
  <si>
    <t>Sumbul</t>
  </si>
  <si>
    <t>Tabacum</t>
  </si>
  <si>
    <t>Taraxacum Dens-Leon.</t>
  </si>
  <si>
    <t>Tarentula Hispanica</t>
  </si>
  <si>
    <t>Tellurium Metallicum</t>
  </si>
  <si>
    <t>Terebinthina</t>
  </si>
  <si>
    <t>Teucrium Marum</t>
  </si>
  <si>
    <t>Theridion Currassav.</t>
  </si>
  <si>
    <t>Thioproperazine</t>
  </si>
  <si>
    <t>Thuya Occidentalis</t>
  </si>
  <si>
    <t>Trombidium Mus. Dom.</t>
  </si>
  <si>
    <t>Tuberculinum Cr.(Tk)</t>
  </si>
  <si>
    <t>Tuberculinum Residu.</t>
  </si>
  <si>
    <t>Uranium Nitricum</t>
  </si>
  <si>
    <t>Urtica Urens</t>
  </si>
  <si>
    <t>Ustilago Maidis</t>
  </si>
  <si>
    <t>V.A.B. (B.C.G.)</t>
  </si>
  <si>
    <t>Vaccinotoxinum</t>
  </si>
  <si>
    <t>Valeriana Officinal.</t>
  </si>
  <si>
    <t>Variolinum</t>
  </si>
  <si>
    <t>Veratrum Album</t>
  </si>
  <si>
    <t>Veratrum Viride</t>
  </si>
  <si>
    <t>Verbascum Thapsus</t>
  </si>
  <si>
    <t>Vespa Crabro(Frelon)</t>
  </si>
  <si>
    <t>Viburnum(Opul./Prun)</t>
  </si>
  <si>
    <t>Vinca Minor</t>
  </si>
  <si>
    <t>Viola Odorata</t>
  </si>
  <si>
    <t>Viola Tricolor</t>
  </si>
  <si>
    <t>Vipera (Redii/Torva)</t>
  </si>
  <si>
    <t>Viscum Album</t>
  </si>
  <si>
    <t>Xanthoxylum  Fraxin.</t>
  </si>
  <si>
    <t>Zincum Metallicum</t>
  </si>
  <si>
    <t>Zingiber Officinale</t>
  </si>
  <si>
    <t>Zizia Aurea</t>
  </si>
  <si>
    <t>Remedy Name</t>
  </si>
  <si>
    <t>R #</t>
  </si>
  <si>
    <t>var remedies = [</t>
  </si>
  <si>
    <t>398 remedies  are mapped to the 38 factors</t>
  </si>
  <si>
    <t>var remedy_factors = [</t>
  </si>
  <si>
    <t>var symptom_factors = [</t>
  </si>
  <si>
    <t>?</t>
  </si>
  <si>
    <t>FLO</t>
  </si>
  <si>
    <t>var demo_flo = [</t>
  </si>
  <si>
    <t>var answers = [</t>
  </si>
  <si>
    <t>};</t>
  </si>
  <si>
    <t>return answers;</t>
  </si>
  <si>
    <t>function ranswers (req) {</t>
  </si>
  <si>
    <t>]</t>
  </si>
</sst>
</file>

<file path=xl/styles.xml><?xml version="1.0" encoding="utf-8"?>
<styleSheet xmlns="http://schemas.openxmlformats.org/spreadsheetml/2006/main">
  <fonts count="2">
    <font>
      <sz val="1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99"/>
        <bgColor rgb="FFFFFFCC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4" borderId="4" xfId="0" applyFill="1" applyBorder="1" applyProtection="1"/>
    <xf numFmtId="0" fontId="0" fillId="4" borderId="4" xfId="0" applyFont="1" applyFill="1" applyBorder="1" applyAlignment="1" applyProtection="1">
      <alignment horizontal="left"/>
    </xf>
    <xf numFmtId="0" fontId="0" fillId="4" borderId="9" xfId="0" applyFill="1" applyBorder="1" applyProtection="1"/>
    <xf numFmtId="0" fontId="1" fillId="0" borderId="0" xfId="0" applyFont="1"/>
    <xf numFmtId="0" fontId="0" fillId="2" borderId="0" xfId="0" applyFill="1" applyBorder="1" applyProtection="1"/>
    <xf numFmtId="0" fontId="0" fillId="2" borderId="5" xfId="0" applyFill="1" applyBorder="1" applyProtection="1"/>
    <xf numFmtId="0" fontId="0" fillId="2" borderId="10" xfId="0" applyFill="1" applyBorder="1" applyProtection="1"/>
    <xf numFmtId="0" fontId="0" fillId="2" borderId="11" xfId="0" applyFill="1" applyBorder="1" applyProtection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A557"/>
  <sheetViews>
    <sheetView workbookViewId="0">
      <selection activeCell="B1" sqref="B1:B1048576"/>
    </sheetView>
  </sheetViews>
  <sheetFormatPr defaultRowHeight="12.75"/>
  <cols>
    <col min="1" max="1" width="11.5703125"/>
    <col min="3" max="1025" width="11.5703125"/>
  </cols>
  <sheetData>
    <row r="2" spans="1:1">
      <c r="A2" s="15">
        <v>525.99999999999898</v>
      </c>
    </row>
    <row r="3" spans="1:1">
      <c r="A3" s="15">
        <v>168</v>
      </c>
    </row>
    <row r="4" spans="1:1">
      <c r="A4" s="15">
        <v>294</v>
      </c>
    </row>
    <row r="5" spans="1:1">
      <c r="A5" s="15">
        <v>234</v>
      </c>
    </row>
    <row r="6" spans="1:1">
      <c r="A6" s="15">
        <v>439.00000000000102</v>
      </c>
    </row>
    <row r="7" spans="1:1">
      <c r="A7" s="15">
        <v>294</v>
      </c>
    </row>
    <row r="8" spans="1:1">
      <c r="A8" s="15">
        <v>173</v>
      </c>
    </row>
    <row r="9" spans="1:1">
      <c r="A9" s="15">
        <v>233</v>
      </c>
    </row>
    <row r="10" spans="1:1">
      <c r="A10" s="15">
        <v>518</v>
      </c>
    </row>
    <row r="11" spans="1:1">
      <c r="A11" s="15">
        <v>49.000000000000099</v>
      </c>
    </row>
    <row r="12" spans="1:1">
      <c r="A12" s="15">
        <v>474</v>
      </c>
    </row>
    <row r="13" spans="1:1">
      <c r="A13" s="15">
        <v>1121</v>
      </c>
    </row>
    <row r="14" spans="1:1">
      <c r="A14" s="15">
        <v>1133</v>
      </c>
    </row>
    <row r="15" spans="1:1">
      <c r="A15" s="15">
        <v>34.000000000000099</v>
      </c>
    </row>
    <row r="16" spans="1:1">
      <c r="A16" s="15">
        <v>1493</v>
      </c>
    </row>
    <row r="17" spans="1:1">
      <c r="A17" s="15">
        <v>334</v>
      </c>
    </row>
    <row r="18" spans="1:1">
      <c r="A18" s="15">
        <v>409.00000000000102</v>
      </c>
    </row>
    <row r="19" spans="1:1">
      <c r="A19" s="15">
        <v>283</v>
      </c>
    </row>
    <row r="20" spans="1:1">
      <c r="A20" s="15">
        <v>1195</v>
      </c>
    </row>
    <row r="21" spans="1:1">
      <c r="A21" s="15">
        <v>1147</v>
      </c>
    </row>
    <row r="22" spans="1:1">
      <c r="A22" s="15">
        <v>532.99999999999898</v>
      </c>
    </row>
    <row r="23" spans="1:1">
      <c r="A23" s="15">
        <v>915.99999999999898</v>
      </c>
    </row>
    <row r="24" spans="1:1">
      <c r="A24" s="15">
        <v>516.99999999999898</v>
      </c>
    </row>
    <row r="25" spans="1:1">
      <c r="A25" s="15">
        <v>428</v>
      </c>
    </row>
    <row r="26" spans="1:1">
      <c r="A26" s="15">
        <v>443.00000000000102</v>
      </c>
    </row>
    <row r="27" spans="1:1">
      <c r="A27" s="15">
        <v>1033</v>
      </c>
    </row>
    <row r="28" spans="1:1">
      <c r="A28" s="15">
        <v>986.00000000000102</v>
      </c>
    </row>
    <row r="29" spans="1:1">
      <c r="A29" s="15">
        <v>616.99999999999898</v>
      </c>
    </row>
    <row r="30" spans="1:1">
      <c r="A30" s="15">
        <v>148</v>
      </c>
    </row>
    <row r="31" spans="1:1">
      <c r="A31" s="15">
        <v>1311</v>
      </c>
    </row>
    <row r="32" spans="1:1">
      <c r="A32" s="15">
        <v>80</v>
      </c>
    </row>
    <row r="33" spans="1:1">
      <c r="A33" s="15">
        <v>414</v>
      </c>
    </row>
    <row r="34" spans="1:1">
      <c r="A34" s="15">
        <v>1345</v>
      </c>
    </row>
    <row r="35" spans="1:1">
      <c r="A35" s="15">
        <v>829</v>
      </c>
    </row>
    <row r="36" spans="1:1">
      <c r="A36" s="15">
        <v>1489</v>
      </c>
    </row>
    <row r="37" spans="1:1">
      <c r="A37" s="15">
        <v>154</v>
      </c>
    </row>
    <row r="38" spans="1:1">
      <c r="A38" s="15">
        <v>1020</v>
      </c>
    </row>
    <row r="39" spans="1:1">
      <c r="A39" s="15">
        <v>605</v>
      </c>
    </row>
    <row r="40" spans="1:1">
      <c r="A40" s="15">
        <v>1162</v>
      </c>
    </row>
    <row r="41" spans="1:1">
      <c r="A41" s="15">
        <v>798</v>
      </c>
    </row>
    <row r="42" spans="1:1">
      <c r="A42" s="15">
        <v>751</v>
      </c>
    </row>
    <row r="43" spans="1:1">
      <c r="A43" s="15">
        <v>211</v>
      </c>
    </row>
    <row r="44" spans="1:1">
      <c r="A44" s="15">
        <v>189</v>
      </c>
    </row>
    <row r="45" spans="1:1">
      <c r="A45" s="15">
        <v>198</v>
      </c>
    </row>
    <row r="46" spans="1:1">
      <c r="A46" s="15">
        <v>277</v>
      </c>
    </row>
    <row r="47" spans="1:1">
      <c r="A47" s="15">
        <v>190</v>
      </c>
    </row>
    <row r="48" spans="1:1">
      <c r="A48" s="15">
        <v>95.999999999999702</v>
      </c>
    </row>
    <row r="49" spans="1:1">
      <c r="A49" s="15">
        <v>111</v>
      </c>
    </row>
    <row r="50" spans="1:1">
      <c r="A50" s="15">
        <v>163</v>
      </c>
    </row>
    <row r="51" spans="1:1">
      <c r="A51" s="15">
        <v>357</v>
      </c>
    </row>
    <row r="52" spans="1:1">
      <c r="A52" s="15">
        <v>92</v>
      </c>
    </row>
    <row r="53" spans="1:1">
      <c r="A53" s="15">
        <v>142</v>
      </c>
    </row>
    <row r="54" spans="1:1">
      <c r="A54" s="15">
        <v>1079</v>
      </c>
    </row>
    <row r="55" spans="1:1">
      <c r="A55" s="15">
        <v>623</v>
      </c>
    </row>
    <row r="56" spans="1:1">
      <c r="A56" s="15">
        <v>126</v>
      </c>
    </row>
    <row r="57" spans="1:1">
      <c r="A57" s="15">
        <v>139</v>
      </c>
    </row>
    <row r="58" spans="1:1">
      <c r="A58" s="15">
        <v>496.99999999999898</v>
      </c>
    </row>
    <row r="59" spans="1:1">
      <c r="A59" s="15">
        <v>366</v>
      </c>
    </row>
    <row r="60" spans="1:1">
      <c r="A60" s="15">
        <v>118</v>
      </c>
    </row>
    <row r="61" spans="1:1">
      <c r="A61" s="15">
        <v>309</v>
      </c>
    </row>
    <row r="62" spans="1:1">
      <c r="A62" s="15">
        <v>101</v>
      </c>
    </row>
    <row r="63" spans="1:1">
      <c r="A63" s="15">
        <v>100</v>
      </c>
    </row>
    <row r="64" spans="1:1">
      <c r="A64" s="15">
        <v>128</v>
      </c>
    </row>
    <row r="65" spans="1:1">
      <c r="A65" s="15">
        <v>138</v>
      </c>
    </row>
    <row r="66" spans="1:1">
      <c r="A66" s="15">
        <v>78.000000000000099</v>
      </c>
    </row>
    <row r="67" spans="1:1">
      <c r="A67" s="15">
        <v>304</v>
      </c>
    </row>
    <row r="68" spans="1:1">
      <c r="A68" s="15">
        <v>6082.99999999998</v>
      </c>
    </row>
    <row r="69" spans="1:1">
      <c r="A69" s="15">
        <v>1318</v>
      </c>
    </row>
    <row r="70" spans="1:1">
      <c r="A70" s="15">
        <v>1562</v>
      </c>
    </row>
    <row r="71" spans="1:1">
      <c r="A71" s="15">
        <v>611.99999999999795</v>
      </c>
    </row>
    <row r="72" spans="1:1">
      <c r="A72" s="15">
        <v>2375</v>
      </c>
    </row>
    <row r="73" spans="1:1">
      <c r="A73" s="15">
        <v>2192</v>
      </c>
    </row>
    <row r="74" spans="1:1">
      <c r="A74" s="15">
        <v>1234</v>
      </c>
    </row>
    <row r="75" spans="1:1">
      <c r="A75" s="15">
        <v>1555</v>
      </c>
    </row>
    <row r="76" spans="1:1">
      <c r="A76" s="15">
        <v>1008</v>
      </c>
    </row>
    <row r="77" spans="1:1">
      <c r="A77" s="15">
        <v>231</v>
      </c>
    </row>
    <row r="78" spans="1:1">
      <c r="A78" s="15">
        <v>646</v>
      </c>
    </row>
    <row r="79" spans="1:1">
      <c r="A79" s="15">
        <v>504.00000000000102</v>
      </c>
    </row>
    <row r="80" spans="1:1">
      <c r="A80" s="15">
        <v>1318</v>
      </c>
    </row>
    <row r="81" spans="1:1">
      <c r="A81" s="15">
        <v>672.99999999999898</v>
      </c>
    </row>
    <row r="82" spans="1:1">
      <c r="A82" s="15">
        <v>1772</v>
      </c>
    </row>
    <row r="83" spans="1:1">
      <c r="A83" s="15">
        <v>1199</v>
      </c>
    </row>
    <row r="84" spans="1:1">
      <c r="A84" s="15">
        <v>1011</v>
      </c>
    </row>
    <row r="85" spans="1:1">
      <c r="A85" s="15">
        <v>1587</v>
      </c>
    </row>
    <row r="86" spans="1:1">
      <c r="A86" s="15">
        <v>1774</v>
      </c>
    </row>
    <row r="87" spans="1:1">
      <c r="A87" s="15">
        <v>1877</v>
      </c>
    </row>
    <row r="88" spans="1:1">
      <c r="A88" s="15">
        <v>3992.99999999999</v>
      </c>
    </row>
    <row r="89" spans="1:1">
      <c r="A89" s="15">
        <v>5272</v>
      </c>
    </row>
    <row r="90" spans="1:1">
      <c r="A90" s="15">
        <v>1754</v>
      </c>
    </row>
    <row r="91" spans="1:1">
      <c r="A91" s="15">
        <v>825.00000000000102</v>
      </c>
    </row>
    <row r="92" spans="1:1">
      <c r="A92" s="15">
        <v>1957</v>
      </c>
    </row>
    <row r="93" spans="1:1">
      <c r="A93" s="15">
        <v>3297</v>
      </c>
    </row>
    <row r="94" spans="1:1">
      <c r="A94" s="15">
        <v>1523</v>
      </c>
    </row>
    <row r="95" spans="1:1">
      <c r="A95" s="15">
        <v>776.00000000000205</v>
      </c>
    </row>
    <row r="96" spans="1:1">
      <c r="A96" s="15">
        <v>1148</v>
      </c>
    </row>
    <row r="97" spans="1:1">
      <c r="A97" s="15">
        <v>792.00000000000205</v>
      </c>
    </row>
    <row r="98" spans="1:1">
      <c r="A98" s="15">
        <v>1274</v>
      </c>
    </row>
    <row r="99" spans="1:1">
      <c r="A99" s="15">
        <v>1336</v>
      </c>
    </row>
    <row r="100" spans="1:1">
      <c r="A100" s="15">
        <v>1176</v>
      </c>
    </row>
    <row r="101" spans="1:1">
      <c r="A101" s="15">
        <v>1662</v>
      </c>
    </row>
    <row r="102" spans="1:1">
      <c r="A102" s="15">
        <v>1258</v>
      </c>
    </row>
    <row r="103" spans="1:1">
      <c r="A103" s="15">
        <v>785.99999999999795</v>
      </c>
    </row>
    <row r="104" spans="1:1">
      <c r="A104" s="15">
        <v>715.99999999999898</v>
      </c>
    </row>
    <row r="105" spans="1:1">
      <c r="A105" s="15">
        <v>1550</v>
      </c>
    </row>
    <row r="106" spans="1:1">
      <c r="A106" s="15">
        <v>1330</v>
      </c>
    </row>
    <row r="107" spans="1:1">
      <c r="A107" s="15">
        <v>450</v>
      </c>
    </row>
    <row r="108" spans="1:1">
      <c r="A108" s="15">
        <v>1306</v>
      </c>
    </row>
    <row r="109" spans="1:1">
      <c r="A109" s="15">
        <v>701.00000000000205</v>
      </c>
    </row>
    <row r="110" spans="1:1">
      <c r="A110" s="15">
        <v>1317</v>
      </c>
    </row>
    <row r="111" spans="1:1">
      <c r="A111" s="15">
        <v>1677</v>
      </c>
    </row>
    <row r="112" spans="1:1">
      <c r="A112" s="15">
        <v>4184</v>
      </c>
    </row>
    <row r="113" spans="1:1">
      <c r="A113" s="15">
        <v>444.99999999999898</v>
      </c>
    </row>
    <row r="114" spans="1:1">
      <c r="A114" s="15">
        <v>1268</v>
      </c>
    </row>
    <row r="115" spans="1:1">
      <c r="A115" s="15">
        <v>1754</v>
      </c>
    </row>
    <row r="116" spans="1:1">
      <c r="A116" s="15">
        <v>4282.99999999999</v>
      </c>
    </row>
    <row r="117" spans="1:1">
      <c r="A117" s="15">
        <v>2481</v>
      </c>
    </row>
    <row r="118" spans="1:1">
      <c r="A118" s="15">
        <v>1220</v>
      </c>
    </row>
    <row r="119" spans="1:1">
      <c r="A119" s="15">
        <v>1467</v>
      </c>
    </row>
    <row r="120" spans="1:1">
      <c r="A120" s="15">
        <v>805</v>
      </c>
    </row>
    <row r="121" spans="1:1">
      <c r="A121" s="15">
        <v>2168</v>
      </c>
    </row>
    <row r="122" spans="1:1">
      <c r="A122" s="15">
        <v>1536</v>
      </c>
    </row>
    <row r="123" spans="1:1">
      <c r="A123" s="15">
        <v>2222</v>
      </c>
    </row>
    <row r="124" spans="1:1">
      <c r="A124" s="15">
        <v>2633</v>
      </c>
    </row>
    <row r="125" spans="1:1">
      <c r="A125" s="15">
        <v>1627</v>
      </c>
    </row>
    <row r="126" spans="1:1">
      <c r="A126" s="15">
        <v>756.99999999999898</v>
      </c>
    </row>
    <row r="127" spans="1:1">
      <c r="A127" s="15">
        <v>790.99999999999795</v>
      </c>
    </row>
    <row r="128" spans="1:1">
      <c r="A128" s="15">
        <v>1900</v>
      </c>
    </row>
    <row r="129" spans="1:1">
      <c r="A129" s="15">
        <v>2103</v>
      </c>
    </row>
    <row r="130" spans="1:1">
      <c r="A130" s="15">
        <v>2082</v>
      </c>
    </row>
    <row r="131" spans="1:1">
      <c r="A131" s="15">
        <v>472</v>
      </c>
    </row>
    <row r="132" spans="1:1">
      <c r="A132" s="15">
        <v>1547</v>
      </c>
    </row>
    <row r="133" spans="1:1">
      <c r="A133" s="15">
        <v>474.99999999999898</v>
      </c>
    </row>
    <row r="134" spans="1:1">
      <c r="A134" s="15">
        <v>943.99999999999602</v>
      </c>
    </row>
    <row r="135" spans="1:1">
      <c r="A135" s="15">
        <v>1781</v>
      </c>
    </row>
    <row r="136" spans="1:1">
      <c r="A136" s="15">
        <v>2295</v>
      </c>
    </row>
    <row r="137" spans="1:1">
      <c r="A137" s="15">
        <v>1330</v>
      </c>
    </row>
    <row r="138" spans="1:1">
      <c r="A138" s="15">
        <v>1622</v>
      </c>
    </row>
    <row r="139" spans="1:1">
      <c r="A139" s="15">
        <v>2405</v>
      </c>
    </row>
    <row r="140" spans="1:1">
      <c r="A140" s="15">
        <v>2350</v>
      </c>
    </row>
    <row r="141" spans="1:1">
      <c r="A141" s="15">
        <v>1448</v>
      </c>
    </row>
    <row r="142" spans="1:1">
      <c r="A142" s="15">
        <v>410.00000000000102</v>
      </c>
    </row>
    <row r="143" spans="1:1">
      <c r="A143" s="15">
        <v>619</v>
      </c>
    </row>
    <row r="144" spans="1:1">
      <c r="A144" s="15">
        <v>1746</v>
      </c>
    </row>
    <row r="145" spans="1:1">
      <c r="A145" s="15">
        <v>2046</v>
      </c>
    </row>
    <row r="146" spans="1:1">
      <c r="A146" s="15">
        <v>1121</v>
      </c>
    </row>
    <row r="147" spans="1:1">
      <c r="A147" s="15">
        <v>1288</v>
      </c>
    </row>
    <row r="148" spans="1:1">
      <c r="A148" s="15">
        <v>2764</v>
      </c>
    </row>
    <row r="149" spans="1:1">
      <c r="A149" s="15">
        <v>3146</v>
      </c>
    </row>
    <row r="150" spans="1:1">
      <c r="A150" s="15">
        <v>6161</v>
      </c>
    </row>
    <row r="151" spans="1:1">
      <c r="A151" s="15">
        <v>2757</v>
      </c>
    </row>
    <row r="152" spans="1:1">
      <c r="A152" s="15">
        <v>1004</v>
      </c>
    </row>
    <row r="153" spans="1:1">
      <c r="A153" s="15">
        <v>7947.99999999998</v>
      </c>
    </row>
    <row r="154" spans="1:1">
      <c r="A154" s="15">
        <v>3382</v>
      </c>
    </row>
    <row r="155" spans="1:1">
      <c r="A155" s="15">
        <v>1136</v>
      </c>
    </row>
    <row r="156" spans="1:1">
      <c r="A156" s="15">
        <v>1798</v>
      </c>
    </row>
    <row r="157" spans="1:1">
      <c r="A157" s="15">
        <v>2989</v>
      </c>
    </row>
    <row r="158" spans="1:1">
      <c r="A158" s="15">
        <v>6050</v>
      </c>
    </row>
    <row r="159" spans="1:1">
      <c r="A159" s="15">
        <v>1791</v>
      </c>
    </row>
    <row r="160" spans="1:1">
      <c r="A160" s="15">
        <v>2466</v>
      </c>
    </row>
    <row r="161" spans="1:1">
      <c r="A161" s="15">
        <v>3326</v>
      </c>
    </row>
    <row r="162" spans="1:1">
      <c r="A162" s="15">
        <v>1426</v>
      </c>
    </row>
    <row r="163" spans="1:1">
      <c r="A163" s="15">
        <v>1972</v>
      </c>
    </row>
    <row r="164" spans="1:1">
      <c r="A164" s="15">
        <v>787.00000000000205</v>
      </c>
    </row>
    <row r="165" spans="1:1">
      <c r="A165" s="15">
        <v>4150</v>
      </c>
    </row>
    <row r="166" spans="1:1">
      <c r="A166" s="15">
        <v>3740</v>
      </c>
    </row>
    <row r="167" spans="1:1">
      <c r="A167" s="15">
        <v>3106.00000000001</v>
      </c>
    </row>
    <row r="168" spans="1:1">
      <c r="A168" s="15">
        <v>6408.99999999999</v>
      </c>
    </row>
    <row r="169" spans="1:1">
      <c r="A169" s="15">
        <v>3691</v>
      </c>
    </row>
    <row r="170" spans="1:1">
      <c r="A170" s="15">
        <v>1049</v>
      </c>
    </row>
    <row r="171" spans="1:1">
      <c r="A171" s="15">
        <v>946.99999999999898</v>
      </c>
    </row>
    <row r="172" spans="1:1">
      <c r="A172" s="15">
        <v>505</v>
      </c>
    </row>
    <row r="173" spans="1:1">
      <c r="A173" s="15">
        <v>1076</v>
      </c>
    </row>
    <row r="174" spans="1:1">
      <c r="A174" s="15">
        <v>1101</v>
      </c>
    </row>
    <row r="175" spans="1:1">
      <c r="A175" s="15">
        <v>750.00000000000205</v>
      </c>
    </row>
    <row r="176" spans="1:1">
      <c r="A176" s="15">
        <v>1425</v>
      </c>
    </row>
    <row r="177" spans="1:1">
      <c r="A177" s="15">
        <v>925.00000000000102</v>
      </c>
    </row>
    <row r="178" spans="1:1">
      <c r="A178" s="15">
        <v>878.00000000000102</v>
      </c>
    </row>
    <row r="179" spans="1:1">
      <c r="A179" s="15">
        <v>1463</v>
      </c>
    </row>
    <row r="180" spans="1:1">
      <c r="A180" s="15">
        <v>1119</v>
      </c>
    </row>
    <row r="181" spans="1:1">
      <c r="A181" s="15">
        <v>938.99999999999898</v>
      </c>
    </row>
    <row r="182" spans="1:1">
      <c r="A182" s="15">
        <v>753.00000000000205</v>
      </c>
    </row>
    <row r="183" spans="1:1">
      <c r="A183" s="15">
        <v>859.99999999999898</v>
      </c>
    </row>
    <row r="184" spans="1:1">
      <c r="A184" s="15">
        <v>801.00000000000102</v>
      </c>
    </row>
    <row r="185" spans="1:1">
      <c r="A185" s="15">
        <v>291</v>
      </c>
    </row>
    <row r="186" spans="1:1">
      <c r="A186" s="15">
        <v>1342</v>
      </c>
    </row>
    <row r="187" spans="1:1">
      <c r="A187" s="15">
        <v>1930</v>
      </c>
    </row>
    <row r="188" spans="1:1">
      <c r="A188" s="15">
        <v>1330</v>
      </c>
    </row>
    <row r="189" spans="1:1">
      <c r="A189" s="15">
        <v>474.99999999999898</v>
      </c>
    </row>
    <row r="190" spans="1:1">
      <c r="A190" s="15">
        <v>1795</v>
      </c>
    </row>
    <row r="191" spans="1:1">
      <c r="A191" s="15">
        <v>1512</v>
      </c>
    </row>
    <row r="192" spans="1:1">
      <c r="A192" s="15">
        <v>2121</v>
      </c>
    </row>
    <row r="193" spans="1:1">
      <c r="A193" s="15">
        <v>1814</v>
      </c>
    </row>
    <row r="194" spans="1:1">
      <c r="A194" s="15">
        <v>1305</v>
      </c>
    </row>
    <row r="195" spans="1:1">
      <c r="A195" s="15">
        <v>1412</v>
      </c>
    </row>
    <row r="196" spans="1:1">
      <c r="A196" s="15">
        <v>1020</v>
      </c>
    </row>
    <row r="197" spans="1:1">
      <c r="A197" s="15">
        <v>1170</v>
      </c>
    </row>
    <row r="198" spans="1:1">
      <c r="A198" s="15">
        <v>1160</v>
      </c>
    </row>
    <row r="199" spans="1:1">
      <c r="A199" s="15">
        <v>687.00000000000102</v>
      </c>
    </row>
    <row r="200" spans="1:1">
      <c r="A200" s="15">
        <v>1381</v>
      </c>
    </row>
    <row r="201" spans="1:1">
      <c r="A201" s="15">
        <v>2194</v>
      </c>
    </row>
    <row r="202" spans="1:1">
      <c r="A202" s="15">
        <v>2677</v>
      </c>
    </row>
    <row r="203" spans="1:1">
      <c r="A203" s="15">
        <v>613.99999999999898</v>
      </c>
    </row>
    <row r="204" spans="1:1">
      <c r="A204" s="15">
        <v>1725</v>
      </c>
    </row>
    <row r="205" spans="1:1">
      <c r="A205" s="15">
        <v>823.99999999999898</v>
      </c>
    </row>
    <row r="206" spans="1:1">
      <c r="A206" s="15">
        <v>414</v>
      </c>
    </row>
    <row r="207" spans="1:1">
      <c r="A207" s="15">
        <v>458</v>
      </c>
    </row>
    <row r="208" spans="1:1">
      <c r="A208" s="15">
        <v>377.00000000000102</v>
      </c>
    </row>
    <row r="209" spans="1:1">
      <c r="A209" s="15">
        <v>804.00000000000205</v>
      </c>
    </row>
    <row r="210" spans="1:1">
      <c r="A210" s="15">
        <v>2253</v>
      </c>
    </row>
    <row r="211" spans="1:1">
      <c r="A211" s="15">
        <v>1023</v>
      </c>
    </row>
    <row r="212" spans="1:1">
      <c r="A212" s="15">
        <v>3130</v>
      </c>
    </row>
    <row r="213" spans="1:1">
      <c r="A213" s="15">
        <v>3327</v>
      </c>
    </row>
    <row r="214" spans="1:1">
      <c r="A214" s="15">
        <v>1631</v>
      </c>
    </row>
    <row r="215" spans="1:1">
      <c r="A215" s="15">
        <v>1369</v>
      </c>
    </row>
    <row r="216" spans="1:1">
      <c r="A216" s="15">
        <v>1359</v>
      </c>
    </row>
    <row r="217" spans="1:1">
      <c r="A217" s="15">
        <v>3884</v>
      </c>
    </row>
    <row r="218" spans="1:1">
      <c r="A218" s="15">
        <v>2884</v>
      </c>
    </row>
    <row r="219" spans="1:1">
      <c r="A219" s="15">
        <v>1470</v>
      </c>
    </row>
    <row r="220" spans="1:1">
      <c r="A220" s="15">
        <v>1635</v>
      </c>
    </row>
    <row r="221" spans="1:1">
      <c r="A221" s="15">
        <v>2775</v>
      </c>
    </row>
    <row r="222" spans="1:1">
      <c r="A222" s="15">
        <v>938.99999999999898</v>
      </c>
    </row>
    <row r="223" spans="1:1">
      <c r="A223" s="15">
        <v>2404</v>
      </c>
    </row>
    <row r="224" spans="1:1">
      <c r="A224" s="15">
        <v>1209</v>
      </c>
    </row>
    <row r="225" spans="1:1">
      <c r="A225" s="15">
        <v>1410</v>
      </c>
    </row>
    <row r="226" spans="1:1">
      <c r="A226" s="15">
        <v>2454</v>
      </c>
    </row>
    <row r="227" spans="1:1">
      <c r="A227" s="15">
        <v>1143</v>
      </c>
    </row>
    <row r="228" spans="1:1">
      <c r="A228" s="15">
        <v>3131</v>
      </c>
    </row>
    <row r="229" spans="1:1">
      <c r="A229" s="15">
        <v>2257</v>
      </c>
    </row>
    <row r="230" spans="1:1">
      <c r="A230" s="15">
        <v>1221</v>
      </c>
    </row>
    <row r="231" spans="1:1">
      <c r="A231" s="15">
        <v>990</v>
      </c>
    </row>
    <row r="232" spans="1:1">
      <c r="A232" s="15">
        <v>555.99999999999898</v>
      </c>
    </row>
    <row r="233" spans="1:1">
      <c r="A233" s="15">
        <v>2325</v>
      </c>
    </row>
    <row r="234" spans="1:1">
      <c r="A234" s="15">
        <v>259</v>
      </c>
    </row>
    <row r="235" spans="1:1">
      <c r="A235" s="15">
        <v>2782</v>
      </c>
    </row>
    <row r="236" spans="1:1">
      <c r="A236" s="15">
        <v>1289</v>
      </c>
    </row>
    <row r="237" spans="1:1">
      <c r="A237" s="15">
        <v>1665</v>
      </c>
    </row>
    <row r="238" spans="1:1">
      <c r="A238" s="15">
        <v>1641</v>
      </c>
    </row>
    <row r="239" spans="1:1">
      <c r="A239" s="15">
        <v>1441</v>
      </c>
    </row>
    <row r="240" spans="1:1">
      <c r="A240" s="15">
        <v>1154</v>
      </c>
    </row>
    <row r="241" spans="1:1">
      <c r="A241" s="15">
        <v>3418</v>
      </c>
    </row>
    <row r="242" spans="1:1">
      <c r="A242" s="15">
        <v>911.99999999999602</v>
      </c>
    </row>
    <row r="243" spans="1:1">
      <c r="A243" s="15">
        <v>269</v>
      </c>
    </row>
    <row r="244" spans="1:1">
      <c r="A244" s="15">
        <v>1305</v>
      </c>
    </row>
    <row r="245" spans="1:1">
      <c r="A245" s="15">
        <v>1892</v>
      </c>
    </row>
    <row r="246" spans="1:1">
      <c r="A246" s="15">
        <v>577</v>
      </c>
    </row>
    <row r="247" spans="1:1">
      <c r="A247" s="15">
        <v>902.00000000000398</v>
      </c>
    </row>
    <row r="248" spans="1:1">
      <c r="A248" s="15">
        <v>538.00000000000102</v>
      </c>
    </row>
    <row r="249" spans="1:1">
      <c r="A249" s="15">
        <v>1663</v>
      </c>
    </row>
    <row r="250" spans="1:1">
      <c r="A250" s="15">
        <v>865</v>
      </c>
    </row>
    <row r="251" spans="1:1">
      <c r="A251" s="15">
        <v>1542</v>
      </c>
    </row>
    <row r="252" spans="1:1">
      <c r="A252" s="15">
        <v>942.00000000000205</v>
      </c>
    </row>
    <row r="253" spans="1:1">
      <c r="A253" s="15">
        <v>782.00000000000296</v>
      </c>
    </row>
    <row r="254" spans="1:1">
      <c r="A254" s="15">
        <v>1509</v>
      </c>
    </row>
    <row r="255" spans="1:1">
      <c r="A255" s="15">
        <v>1751</v>
      </c>
    </row>
    <row r="256" spans="1:1">
      <c r="A256" s="15">
        <v>1287</v>
      </c>
    </row>
    <row r="257" spans="1:1">
      <c r="A257" s="15">
        <v>931.00000000000296</v>
      </c>
    </row>
    <row r="258" spans="1:1">
      <c r="A258" s="15">
        <v>327</v>
      </c>
    </row>
    <row r="259" spans="1:1">
      <c r="A259" s="15">
        <v>434</v>
      </c>
    </row>
    <row r="260" spans="1:1">
      <c r="A260" s="15">
        <v>162</v>
      </c>
    </row>
    <row r="261" spans="1:1">
      <c r="A261" s="15">
        <v>153</v>
      </c>
    </row>
    <row r="262" spans="1:1">
      <c r="A262" s="15">
        <v>211</v>
      </c>
    </row>
    <row r="263" spans="1:1">
      <c r="A263" s="15">
        <v>1161</v>
      </c>
    </row>
    <row r="264" spans="1:1">
      <c r="A264" s="15">
        <v>1566</v>
      </c>
    </row>
    <row r="265" spans="1:1">
      <c r="A265" s="15">
        <v>901.00000000000205</v>
      </c>
    </row>
    <row r="266" spans="1:1">
      <c r="A266" s="15">
        <v>1103</v>
      </c>
    </row>
    <row r="267" spans="1:1">
      <c r="A267" s="15">
        <v>1502</v>
      </c>
    </row>
    <row r="268" spans="1:1">
      <c r="A268" s="15">
        <v>389</v>
      </c>
    </row>
    <row r="269" spans="1:1">
      <c r="A269" s="15">
        <v>232</v>
      </c>
    </row>
    <row r="270" spans="1:1">
      <c r="A270" s="15">
        <v>460</v>
      </c>
    </row>
    <row r="271" spans="1:1">
      <c r="A271" s="15">
        <v>261</v>
      </c>
    </row>
    <row r="272" spans="1:1">
      <c r="A272" s="15">
        <v>330</v>
      </c>
    </row>
    <row r="273" spans="1:1">
      <c r="A273" s="15">
        <v>510</v>
      </c>
    </row>
    <row r="274" spans="1:1">
      <c r="A274" s="15">
        <v>201</v>
      </c>
    </row>
    <row r="275" spans="1:1">
      <c r="A275" s="15">
        <v>95.999999999999702</v>
      </c>
    </row>
    <row r="276" spans="1:1">
      <c r="A276" s="15">
        <v>327</v>
      </c>
    </row>
    <row r="277" spans="1:1">
      <c r="A277" s="15">
        <v>144</v>
      </c>
    </row>
    <row r="278" spans="1:1">
      <c r="A278" s="15">
        <v>101</v>
      </c>
    </row>
    <row r="279" spans="1:1">
      <c r="A279" s="15">
        <v>73</v>
      </c>
    </row>
    <row r="280" spans="1:1">
      <c r="A280" s="15">
        <v>6241.00000000002</v>
      </c>
    </row>
    <row r="281" spans="1:1">
      <c r="A281" s="15">
        <v>6598.99999999998</v>
      </c>
    </row>
    <row r="282" spans="1:1">
      <c r="A282" s="15">
        <v>6453.99999999999</v>
      </c>
    </row>
    <row r="283" spans="1:1">
      <c r="A283" s="15">
        <v>6513.00000000001</v>
      </c>
    </row>
    <row r="284" spans="1:1">
      <c r="A284" s="15">
        <v>6300.99999999999</v>
      </c>
    </row>
    <row r="285" spans="1:1">
      <c r="A285" s="15">
        <v>6445.99999999999</v>
      </c>
    </row>
    <row r="286" spans="1:1">
      <c r="A286" s="15">
        <v>6713</v>
      </c>
    </row>
    <row r="287" spans="1:1">
      <c r="A287" s="15">
        <v>6653.99999999998</v>
      </c>
    </row>
    <row r="288" spans="1:1">
      <c r="A288" s="15">
        <v>6376.00000000002</v>
      </c>
    </row>
    <row r="289" spans="1:1">
      <c r="A289" s="15">
        <v>6697.99999999999</v>
      </c>
    </row>
    <row r="290" spans="1:1">
      <c r="A290" s="15">
        <v>6274.00000000002</v>
      </c>
    </row>
    <row r="291" spans="1:1">
      <c r="A291" s="15">
        <v>5645.99999999999</v>
      </c>
    </row>
    <row r="292" spans="1:1">
      <c r="A292" s="15">
        <v>5621.99999999999</v>
      </c>
    </row>
    <row r="293" spans="1:1">
      <c r="A293" s="15">
        <v>6706.00000000001</v>
      </c>
    </row>
    <row r="294" spans="1:1">
      <c r="A294" s="15">
        <v>5266</v>
      </c>
    </row>
    <row r="295" spans="1:1">
      <c r="A295" s="15">
        <v>6424.99999999998</v>
      </c>
    </row>
    <row r="296" spans="1:1">
      <c r="A296" s="15">
        <v>6331</v>
      </c>
    </row>
    <row r="297" spans="1:1">
      <c r="A297" s="15">
        <v>6471.99999999999</v>
      </c>
    </row>
    <row r="298" spans="1:1">
      <c r="A298" s="15">
        <v>5706.99999999999</v>
      </c>
    </row>
    <row r="299" spans="1:1">
      <c r="A299" s="15">
        <v>5746.99999999999</v>
      </c>
    </row>
    <row r="300" spans="1:1">
      <c r="A300" s="15">
        <v>6353.99999999998</v>
      </c>
    </row>
    <row r="301" spans="1:1">
      <c r="A301" s="15">
        <v>6130.99999999998</v>
      </c>
    </row>
    <row r="302" spans="1:1">
      <c r="A302" s="15">
        <v>6376.99999999999</v>
      </c>
    </row>
    <row r="303" spans="1:1">
      <c r="A303" s="15">
        <v>6477.99999999999</v>
      </c>
    </row>
    <row r="304" spans="1:1">
      <c r="A304" s="15">
        <v>6319.99999999999</v>
      </c>
    </row>
    <row r="305" spans="1:1">
      <c r="A305" s="15">
        <v>5733.00000000001</v>
      </c>
    </row>
    <row r="306" spans="1:1">
      <c r="A306" s="15">
        <v>5780.00000000001</v>
      </c>
    </row>
    <row r="307" spans="1:1">
      <c r="A307" s="15">
        <v>9630.0000000000291</v>
      </c>
    </row>
    <row r="308" spans="1:1">
      <c r="A308" s="15">
        <v>9286.0000000000291</v>
      </c>
    </row>
    <row r="309" spans="1:1">
      <c r="A309" s="15">
        <v>8942.0000000000091</v>
      </c>
    </row>
    <row r="310" spans="1:1">
      <c r="A310" s="15">
        <v>10078</v>
      </c>
    </row>
    <row r="311" spans="1:1">
      <c r="A311" s="15">
        <v>9804</v>
      </c>
    </row>
    <row r="312" spans="1:1">
      <c r="A312" s="15">
        <v>8885</v>
      </c>
    </row>
    <row r="313" spans="1:1">
      <c r="A313" s="15">
        <v>10485</v>
      </c>
    </row>
    <row r="314" spans="1:1">
      <c r="A314" s="15">
        <v>8729.9999999999709</v>
      </c>
    </row>
    <row r="315" spans="1:1">
      <c r="A315" s="15">
        <v>10065</v>
      </c>
    </row>
    <row r="316" spans="1:1">
      <c r="A316" s="15">
        <v>8307</v>
      </c>
    </row>
    <row r="317" spans="1:1">
      <c r="A317" s="15">
        <v>8296.0000000000091</v>
      </c>
    </row>
    <row r="318" spans="1:1">
      <c r="A318" s="15">
        <v>8154.99999999999</v>
      </c>
    </row>
    <row r="319" spans="1:1">
      <c r="A319" s="15">
        <v>7538.00000000002</v>
      </c>
    </row>
    <row r="320" spans="1:1">
      <c r="A320" s="15">
        <v>7585.00000000001</v>
      </c>
    </row>
    <row r="321" spans="1:1">
      <c r="A321" s="15">
        <v>8125</v>
      </c>
    </row>
    <row r="322" spans="1:1">
      <c r="A322" s="15">
        <v>8862.00000000002</v>
      </c>
    </row>
    <row r="323" spans="1:1">
      <c r="A323" s="15">
        <v>8853</v>
      </c>
    </row>
    <row r="324" spans="1:1">
      <c r="A324" s="15">
        <v>8773.9999999999909</v>
      </c>
    </row>
    <row r="325" spans="1:1">
      <c r="A325" s="15">
        <v>8871</v>
      </c>
    </row>
    <row r="326" spans="1:1">
      <c r="A326" s="15">
        <v>8954.99999999998</v>
      </c>
    </row>
    <row r="327" spans="1:1">
      <c r="A327" s="15">
        <v>8940.00000000002</v>
      </c>
    </row>
    <row r="328" spans="1:1">
      <c r="A328" s="15">
        <v>9153.9999999999709</v>
      </c>
    </row>
    <row r="329" spans="1:1">
      <c r="A329" s="15">
        <v>8958.99999999996</v>
      </c>
    </row>
    <row r="330" spans="1:1">
      <c r="A330" s="15">
        <v>8809.9999999999709</v>
      </c>
    </row>
    <row r="331" spans="1:1">
      <c r="A331" s="15">
        <v>8195</v>
      </c>
    </row>
    <row r="332" spans="1:1">
      <c r="A332" s="15">
        <v>8007.99999999999</v>
      </c>
    </row>
    <row r="333" spans="1:1">
      <c r="A333" s="15">
        <v>8463.9999999999909</v>
      </c>
    </row>
    <row r="334" spans="1:1">
      <c r="A334" s="15">
        <v>8959.9999999999909</v>
      </c>
    </row>
    <row r="335" spans="1:1">
      <c r="A335" s="15">
        <v>8948.0000000000091</v>
      </c>
    </row>
    <row r="336" spans="1:1">
      <c r="A336" s="15">
        <v>8590.0000000000291</v>
      </c>
    </row>
    <row r="337" spans="1:1">
      <c r="A337" s="15">
        <v>8715.9999999999909</v>
      </c>
    </row>
    <row r="338" spans="1:1">
      <c r="A338" s="15">
        <v>8539.0000000000091</v>
      </c>
    </row>
    <row r="339" spans="1:1">
      <c r="A339" s="15">
        <v>8751.99999999998</v>
      </c>
    </row>
    <row r="340" spans="1:1">
      <c r="A340" s="15">
        <v>8546.00000000002</v>
      </c>
    </row>
    <row r="341" spans="1:1">
      <c r="A341" s="15">
        <v>8950</v>
      </c>
    </row>
    <row r="342" spans="1:1">
      <c r="A342" s="15">
        <v>8922.99999999998</v>
      </c>
    </row>
    <row r="343" spans="1:1">
      <c r="A343" s="15">
        <v>9179.00000000002</v>
      </c>
    </row>
    <row r="344" spans="1:1">
      <c r="A344" s="15">
        <v>9239.00000000002</v>
      </c>
    </row>
    <row r="345" spans="1:1">
      <c r="A345" s="15">
        <v>9049.99999999998</v>
      </c>
    </row>
    <row r="346" spans="1:1">
      <c r="A346" s="15">
        <v>9809.00000000002</v>
      </c>
    </row>
    <row r="347" spans="1:1">
      <c r="A347" s="15">
        <v>14575</v>
      </c>
    </row>
    <row r="348" spans="1:1">
      <c r="A348" s="15">
        <v>14331</v>
      </c>
    </row>
    <row r="349" spans="1:1">
      <c r="A349" s="15">
        <v>14385</v>
      </c>
    </row>
    <row r="350" spans="1:1">
      <c r="A350" s="15">
        <v>15283</v>
      </c>
    </row>
    <row r="351" spans="1:1">
      <c r="A351" s="15">
        <v>15446</v>
      </c>
    </row>
    <row r="352" spans="1:1">
      <c r="A352" s="15">
        <v>16364</v>
      </c>
    </row>
    <row r="353" spans="1:1">
      <c r="A353" s="15">
        <v>16084</v>
      </c>
    </row>
    <row r="354" spans="1:1">
      <c r="A354" s="15">
        <v>23387</v>
      </c>
    </row>
    <row r="355" spans="1:1">
      <c r="A355" s="15">
        <v>22380</v>
      </c>
    </row>
    <row r="356" spans="1:1">
      <c r="A356" s="15">
        <v>21849</v>
      </c>
    </row>
    <row r="357" spans="1:1">
      <c r="A357" s="15">
        <v>25112</v>
      </c>
    </row>
    <row r="358" spans="1:1">
      <c r="A358" s="15">
        <v>24441</v>
      </c>
    </row>
    <row r="359" spans="1:1">
      <c r="A359" s="15">
        <v>17941</v>
      </c>
    </row>
    <row r="360" spans="1:1">
      <c r="A360" s="15">
        <v>22596</v>
      </c>
    </row>
    <row r="361" spans="1:1">
      <c r="A361" s="15">
        <v>23196</v>
      </c>
    </row>
    <row r="362" spans="1:1">
      <c r="A362" s="15">
        <v>23384</v>
      </c>
    </row>
    <row r="363" spans="1:1">
      <c r="A363" s="15">
        <v>22835</v>
      </c>
    </row>
    <row r="364" spans="1:1">
      <c r="A364" s="15">
        <v>22594</v>
      </c>
    </row>
    <row r="365" spans="1:1">
      <c r="A365" s="15">
        <v>22490</v>
      </c>
    </row>
    <row r="366" spans="1:1">
      <c r="A366" s="15">
        <v>20471</v>
      </c>
    </row>
    <row r="367" spans="1:1">
      <c r="A367" s="15">
        <v>19096</v>
      </c>
    </row>
    <row r="368" spans="1:1">
      <c r="A368" s="15">
        <v>14138</v>
      </c>
    </row>
    <row r="369" spans="1:1">
      <c r="A369" s="15">
        <v>20193</v>
      </c>
    </row>
    <row r="370" spans="1:1">
      <c r="A370" s="15">
        <v>22466</v>
      </c>
    </row>
    <row r="371" spans="1:1">
      <c r="A371" s="15">
        <v>21154</v>
      </c>
    </row>
    <row r="372" spans="1:1">
      <c r="A372" s="15">
        <v>22845</v>
      </c>
    </row>
    <row r="373" spans="1:1">
      <c r="A373" s="15">
        <v>22122</v>
      </c>
    </row>
    <row r="374" spans="1:1">
      <c r="A374" s="15">
        <v>14745</v>
      </c>
    </row>
    <row r="375" spans="1:1">
      <c r="A375" s="15">
        <v>15048</v>
      </c>
    </row>
    <row r="376" spans="1:1">
      <c r="A376" s="15">
        <v>14583</v>
      </c>
    </row>
    <row r="377" spans="1:1">
      <c r="A377" s="15">
        <v>13079</v>
      </c>
    </row>
    <row r="378" spans="1:1">
      <c r="A378" s="15">
        <v>23219</v>
      </c>
    </row>
    <row r="379" spans="1:1">
      <c r="A379" s="15">
        <v>22705</v>
      </c>
    </row>
    <row r="380" spans="1:1">
      <c r="A380" s="15">
        <v>23109</v>
      </c>
    </row>
    <row r="381" spans="1:1">
      <c r="A381" s="15">
        <v>20244</v>
      </c>
    </row>
    <row r="382" spans="1:1">
      <c r="A382" s="15">
        <v>23651</v>
      </c>
    </row>
    <row r="383" spans="1:1">
      <c r="A383" s="15">
        <v>15211</v>
      </c>
    </row>
    <row r="384" spans="1:1">
      <c r="A384" s="15">
        <v>15459</v>
      </c>
    </row>
    <row r="385" spans="1:1">
      <c r="A385" s="15">
        <v>14820</v>
      </c>
    </row>
    <row r="386" spans="1:1">
      <c r="A386" s="15">
        <v>13125</v>
      </c>
    </row>
    <row r="387" spans="1:1">
      <c r="A387" s="15">
        <v>23523</v>
      </c>
    </row>
    <row r="388" spans="1:1">
      <c r="A388" s="15">
        <v>21963</v>
      </c>
    </row>
    <row r="389" spans="1:1">
      <c r="A389" s="15">
        <v>22690</v>
      </c>
    </row>
    <row r="390" spans="1:1">
      <c r="A390" s="15">
        <v>20239</v>
      </c>
    </row>
    <row r="391" spans="1:1">
      <c r="A391" s="15">
        <v>22996</v>
      </c>
    </row>
    <row r="392" spans="1:1">
      <c r="A392" s="15">
        <v>19874</v>
      </c>
    </row>
    <row r="393" spans="1:1">
      <c r="A393" s="15">
        <v>19412</v>
      </c>
    </row>
    <row r="394" spans="1:1">
      <c r="A394" s="15">
        <v>16919</v>
      </c>
    </row>
    <row r="395" spans="1:1">
      <c r="A395" s="15">
        <v>21942</v>
      </c>
    </row>
    <row r="396" spans="1:1">
      <c r="A396" s="15">
        <v>23147</v>
      </c>
    </row>
    <row r="397" spans="1:1">
      <c r="A397" s="15">
        <v>14425</v>
      </c>
    </row>
    <row r="398" spans="1:1">
      <c r="A398" s="15">
        <v>15033</v>
      </c>
    </row>
    <row r="399" spans="1:1">
      <c r="A399" s="15">
        <v>13688</v>
      </c>
    </row>
    <row r="400" spans="1:1">
      <c r="A400" s="15">
        <v>12896</v>
      </c>
    </row>
    <row r="401" spans="1:1">
      <c r="A401" s="15">
        <v>15397</v>
      </c>
    </row>
    <row r="402" spans="1:1">
      <c r="A402" s="15">
        <v>21762</v>
      </c>
    </row>
    <row r="403" spans="1:1">
      <c r="A403" s="15">
        <v>22741</v>
      </c>
    </row>
    <row r="404" spans="1:1">
      <c r="A404" s="15">
        <v>22523</v>
      </c>
    </row>
    <row r="405" spans="1:1">
      <c r="A405" s="15">
        <v>23577</v>
      </c>
    </row>
    <row r="406" spans="1:1">
      <c r="A406" s="15">
        <v>22351</v>
      </c>
    </row>
    <row r="407" spans="1:1">
      <c r="A407" s="15">
        <v>22264</v>
      </c>
    </row>
    <row r="408" spans="1:1">
      <c r="A408" s="15">
        <v>22286</v>
      </c>
    </row>
    <row r="409" spans="1:1">
      <c r="A409" s="15">
        <v>23780</v>
      </c>
    </row>
    <row r="410" spans="1:1">
      <c r="A410" s="15">
        <v>22875</v>
      </c>
    </row>
    <row r="411" spans="1:1">
      <c r="A411" s="15">
        <v>22818</v>
      </c>
    </row>
    <row r="412" spans="1:1">
      <c r="A412" s="15">
        <v>23424</v>
      </c>
    </row>
    <row r="413" spans="1:1">
      <c r="A413" s="15">
        <v>15878</v>
      </c>
    </row>
    <row r="414" spans="1:1">
      <c r="A414" s="15">
        <v>15304</v>
      </c>
    </row>
    <row r="415" spans="1:1">
      <c r="A415" s="15">
        <v>14545</v>
      </c>
    </row>
    <row r="416" spans="1:1">
      <c r="A416" s="15">
        <v>14234</v>
      </c>
    </row>
    <row r="417" spans="1:1">
      <c r="A417" s="15">
        <v>15253</v>
      </c>
    </row>
    <row r="418" spans="1:1">
      <c r="A418" s="15">
        <v>14420</v>
      </c>
    </row>
    <row r="419" spans="1:1">
      <c r="A419" s="15">
        <v>14615</v>
      </c>
    </row>
    <row r="420" spans="1:1">
      <c r="A420" s="15">
        <v>14920</v>
      </c>
    </row>
    <row r="421" spans="1:1">
      <c r="A421" s="15">
        <v>22757</v>
      </c>
    </row>
    <row r="422" spans="1:1">
      <c r="A422" s="15">
        <v>21630</v>
      </c>
    </row>
    <row r="423" spans="1:1">
      <c r="A423" s="15">
        <v>22377</v>
      </c>
    </row>
    <row r="424" spans="1:1">
      <c r="A424" s="15">
        <v>23301</v>
      </c>
    </row>
    <row r="425" spans="1:1">
      <c r="A425" s="15">
        <v>22047</v>
      </c>
    </row>
    <row r="426" spans="1:1">
      <c r="A426" s="15">
        <v>18426</v>
      </c>
    </row>
    <row r="427" spans="1:1">
      <c r="A427" s="15">
        <v>17997</v>
      </c>
    </row>
    <row r="428" spans="1:1">
      <c r="A428" s="15">
        <v>18289</v>
      </c>
    </row>
    <row r="429" spans="1:1">
      <c r="A429" s="15">
        <v>21693</v>
      </c>
    </row>
    <row r="430" spans="1:1">
      <c r="A430" s="15">
        <v>21493</v>
      </c>
    </row>
    <row r="431" spans="1:1">
      <c r="A431" s="15">
        <v>17852</v>
      </c>
    </row>
    <row r="432" spans="1:1">
      <c r="A432" s="15">
        <v>22405</v>
      </c>
    </row>
    <row r="433" spans="1:1">
      <c r="A433" s="15">
        <v>19882</v>
      </c>
    </row>
    <row r="434" spans="1:1">
      <c r="A434" s="15">
        <v>19345</v>
      </c>
    </row>
    <row r="435" spans="1:1">
      <c r="A435" s="15">
        <v>21419</v>
      </c>
    </row>
    <row r="436" spans="1:1">
      <c r="A436" s="15">
        <v>18413</v>
      </c>
    </row>
    <row r="437" spans="1:1">
      <c r="A437" s="15">
        <v>14997</v>
      </c>
    </row>
    <row r="438" spans="1:1">
      <c r="A438" s="15">
        <v>14322</v>
      </c>
    </row>
    <row r="439" spans="1:1">
      <c r="A439" s="15">
        <v>21083</v>
      </c>
    </row>
    <row r="440" spans="1:1">
      <c r="A440" s="15">
        <v>15408</v>
      </c>
    </row>
    <row r="441" spans="1:1">
      <c r="A441" s="15">
        <v>15647</v>
      </c>
    </row>
    <row r="442" spans="1:1">
      <c r="A442" s="15">
        <v>16027</v>
      </c>
    </row>
    <row r="443" spans="1:1">
      <c r="A443" s="15">
        <v>13488</v>
      </c>
    </row>
    <row r="444" spans="1:1">
      <c r="A444" s="15">
        <v>13899</v>
      </c>
    </row>
    <row r="445" spans="1:1">
      <c r="A445" s="15">
        <v>19546</v>
      </c>
    </row>
    <row r="446" spans="1:1">
      <c r="A446" s="15">
        <v>14757</v>
      </c>
    </row>
    <row r="447" spans="1:1">
      <c r="A447" s="15">
        <v>17475</v>
      </c>
    </row>
    <row r="448" spans="1:1">
      <c r="A448" s="15">
        <v>23318</v>
      </c>
    </row>
    <row r="449" spans="1:1">
      <c r="A449" s="15">
        <v>9975.9999999999709</v>
      </c>
    </row>
    <row r="450" spans="1:1">
      <c r="A450" s="15">
        <v>10419</v>
      </c>
    </row>
    <row r="451" spans="1:1">
      <c r="A451" s="15">
        <v>9848.0000000000291</v>
      </c>
    </row>
    <row r="452" spans="1:1">
      <c r="A452" s="15">
        <v>9821.99999999998</v>
      </c>
    </row>
    <row r="453" spans="1:1">
      <c r="A453" s="15">
        <v>9685.9999999999909</v>
      </c>
    </row>
    <row r="454" spans="1:1">
      <c r="A454" s="15">
        <v>9535.0000000000291</v>
      </c>
    </row>
    <row r="455" spans="1:1">
      <c r="A455" s="15">
        <v>9998.00000000002</v>
      </c>
    </row>
    <row r="456" spans="1:1">
      <c r="A456" s="15">
        <v>10057</v>
      </c>
    </row>
    <row r="457" spans="1:1">
      <c r="A457" s="15">
        <v>9472.0000000000291</v>
      </c>
    </row>
    <row r="458" spans="1:1">
      <c r="A458" s="15">
        <v>9828.9999999999709</v>
      </c>
    </row>
    <row r="459" spans="1:1">
      <c r="A459" s="15">
        <v>9984.00000000004</v>
      </c>
    </row>
    <row r="460" spans="1:1">
      <c r="A460" s="15">
        <v>11458</v>
      </c>
    </row>
    <row r="461" spans="1:1">
      <c r="A461" s="15">
        <v>11324</v>
      </c>
    </row>
    <row r="462" spans="1:1">
      <c r="A462" s="15">
        <v>7535</v>
      </c>
    </row>
    <row r="463" spans="1:1">
      <c r="A463" s="15">
        <v>8046</v>
      </c>
    </row>
    <row r="464" spans="1:1">
      <c r="A464" s="15">
        <v>16296</v>
      </c>
    </row>
    <row r="465" spans="1:1">
      <c r="A465" s="15">
        <v>15729</v>
      </c>
    </row>
    <row r="466" spans="1:1">
      <c r="A466" s="15">
        <v>14545</v>
      </c>
    </row>
    <row r="467" spans="1:1">
      <c r="A467" s="15">
        <v>15364</v>
      </c>
    </row>
    <row r="468" spans="1:1">
      <c r="A468" s="15">
        <v>18440</v>
      </c>
    </row>
    <row r="469" spans="1:1">
      <c r="A469" s="15">
        <v>19630</v>
      </c>
    </row>
    <row r="470" spans="1:1">
      <c r="A470" s="15">
        <v>18997</v>
      </c>
    </row>
    <row r="471" spans="1:1">
      <c r="A471" s="15">
        <v>19352</v>
      </c>
    </row>
    <row r="472" spans="1:1">
      <c r="A472" s="15">
        <v>19861</v>
      </c>
    </row>
    <row r="473" spans="1:1">
      <c r="A473" s="15">
        <v>19606</v>
      </c>
    </row>
    <row r="474" spans="1:1">
      <c r="A474" s="15">
        <v>20099</v>
      </c>
    </row>
    <row r="475" spans="1:1">
      <c r="A475" s="15">
        <v>19824</v>
      </c>
    </row>
    <row r="476" spans="1:1">
      <c r="A476" s="15">
        <v>22424</v>
      </c>
    </row>
    <row r="477" spans="1:1">
      <c r="A477" s="15">
        <v>23680</v>
      </c>
    </row>
    <row r="478" spans="1:1">
      <c r="A478" s="15">
        <v>16257</v>
      </c>
    </row>
    <row r="479" spans="1:1">
      <c r="A479" s="15">
        <v>15444</v>
      </c>
    </row>
    <row r="480" spans="1:1">
      <c r="A480" s="15">
        <v>14982</v>
      </c>
    </row>
    <row r="481" spans="1:1">
      <c r="A481" s="15">
        <v>16985</v>
      </c>
    </row>
    <row r="482" spans="1:1">
      <c r="A482" s="15">
        <v>14150</v>
      </c>
    </row>
    <row r="483" spans="1:1">
      <c r="A483" s="15">
        <v>14939</v>
      </c>
    </row>
    <row r="484" spans="1:1">
      <c r="A484" s="15">
        <v>17621</v>
      </c>
    </row>
    <row r="485" spans="1:1">
      <c r="A485" s="15">
        <v>16745</v>
      </c>
    </row>
    <row r="486" spans="1:1">
      <c r="A486" s="15">
        <v>17446</v>
      </c>
    </row>
    <row r="487" spans="1:1">
      <c r="A487" s="15">
        <v>23633</v>
      </c>
    </row>
    <row r="488" spans="1:1">
      <c r="A488" s="15">
        <v>22183</v>
      </c>
    </row>
    <row r="489" spans="1:1">
      <c r="A489" s="15">
        <v>19995</v>
      </c>
    </row>
    <row r="490" spans="1:1">
      <c r="A490" s="15">
        <v>21238</v>
      </c>
    </row>
    <row r="491" spans="1:1">
      <c r="A491" s="15">
        <v>21109</v>
      </c>
    </row>
    <row r="492" spans="1:1">
      <c r="A492" s="15">
        <v>21532</v>
      </c>
    </row>
    <row r="493" spans="1:1">
      <c r="A493" s="15">
        <v>22999</v>
      </c>
    </row>
    <row r="494" spans="1:1">
      <c r="A494" s="15">
        <v>14498</v>
      </c>
    </row>
    <row r="495" spans="1:1">
      <c r="A495" s="15">
        <v>11990</v>
      </c>
    </row>
    <row r="496" spans="1:1">
      <c r="A496" s="15">
        <v>12973</v>
      </c>
    </row>
    <row r="497" spans="1:1">
      <c r="A497" s="15">
        <v>14404</v>
      </c>
    </row>
    <row r="498" spans="1:1">
      <c r="A498" s="15">
        <v>14204</v>
      </c>
    </row>
    <row r="499" spans="1:1">
      <c r="A499" s="15">
        <v>13082</v>
      </c>
    </row>
    <row r="500" spans="1:1">
      <c r="A500" s="15">
        <v>15874</v>
      </c>
    </row>
    <row r="501" spans="1:1">
      <c r="A501" s="15">
        <v>15195</v>
      </c>
    </row>
    <row r="502" spans="1:1">
      <c r="A502" s="15">
        <v>13910</v>
      </c>
    </row>
    <row r="503" spans="1:1">
      <c r="A503" s="15">
        <v>16219</v>
      </c>
    </row>
    <row r="504" spans="1:1">
      <c r="A504" s="15">
        <v>15185</v>
      </c>
    </row>
    <row r="505" spans="1:1">
      <c r="A505" s="15">
        <v>16352</v>
      </c>
    </row>
    <row r="506" spans="1:1">
      <c r="A506" s="15">
        <v>14507</v>
      </c>
    </row>
    <row r="507" spans="1:1">
      <c r="A507" s="15">
        <v>15381</v>
      </c>
    </row>
    <row r="508" spans="1:1">
      <c r="A508" s="15">
        <v>16377</v>
      </c>
    </row>
    <row r="509" spans="1:1">
      <c r="A509" s="15">
        <v>9970.00000000004</v>
      </c>
    </row>
    <row r="510" spans="1:1">
      <c r="A510" s="15">
        <v>10392</v>
      </c>
    </row>
    <row r="511" spans="1:1">
      <c r="A511" s="15">
        <v>8640.99999999998</v>
      </c>
    </row>
    <row r="512" spans="1:1">
      <c r="A512" s="15">
        <v>10707</v>
      </c>
    </row>
    <row r="513" spans="1:1">
      <c r="A513" s="15">
        <v>6810.99999999999</v>
      </c>
    </row>
    <row r="514" spans="1:1">
      <c r="A514" s="15">
        <v>7786.99999999998</v>
      </c>
    </row>
    <row r="515" spans="1:1">
      <c r="A515" s="15">
        <v>7406.00000000001</v>
      </c>
    </row>
    <row r="516" spans="1:1">
      <c r="A516" s="15">
        <v>7991</v>
      </c>
    </row>
    <row r="517" spans="1:1">
      <c r="A517" s="15">
        <v>8157.99999999999</v>
      </c>
    </row>
    <row r="518" spans="1:1">
      <c r="A518" s="15">
        <v>8398.9999999999709</v>
      </c>
    </row>
    <row r="519" spans="1:1">
      <c r="A519" s="15">
        <v>6757</v>
      </c>
    </row>
    <row r="520" spans="1:1">
      <c r="A520" s="15">
        <v>8698.0000000000091</v>
      </c>
    </row>
    <row r="521" spans="1:1">
      <c r="A521" s="15">
        <v>8817.99999999996</v>
      </c>
    </row>
    <row r="522" spans="1:1">
      <c r="A522" s="15">
        <v>7781.00000000001</v>
      </c>
    </row>
    <row r="523" spans="1:1">
      <c r="A523" s="15">
        <v>7195.00000000001</v>
      </c>
    </row>
    <row r="524" spans="1:1">
      <c r="A524" s="15">
        <v>8990.9999999999709</v>
      </c>
    </row>
    <row r="525" spans="1:1">
      <c r="A525" s="15">
        <v>7467.00000000003</v>
      </c>
    </row>
    <row r="526" spans="1:1">
      <c r="A526" s="15">
        <v>7830.99999999997</v>
      </c>
    </row>
    <row r="527" spans="1:1">
      <c r="A527" s="15">
        <v>6706.00000000001</v>
      </c>
    </row>
    <row r="528" spans="1:1">
      <c r="A528" s="15">
        <v>9735.99999999998</v>
      </c>
    </row>
    <row r="529" spans="1:1">
      <c r="A529" s="15">
        <v>9058.99999999998</v>
      </c>
    </row>
    <row r="530" spans="1:1">
      <c r="A530" s="15">
        <v>9658.0000000000091</v>
      </c>
    </row>
    <row r="531" spans="1:1">
      <c r="A531" s="15">
        <v>9819.00000000004</v>
      </c>
    </row>
    <row r="532" spans="1:1">
      <c r="A532" s="15">
        <v>9092</v>
      </c>
    </row>
    <row r="533" spans="1:1">
      <c r="A533" s="15">
        <v>8849.9999999999909</v>
      </c>
    </row>
    <row r="534" spans="1:1">
      <c r="A534" s="15">
        <v>9314.00000000002</v>
      </c>
    </row>
    <row r="535" spans="1:1">
      <c r="A535" s="15">
        <v>9670.0000000000291</v>
      </c>
    </row>
    <row r="536" spans="1:1">
      <c r="A536" s="15">
        <v>8482.00000000002</v>
      </c>
    </row>
    <row r="537" spans="1:1">
      <c r="A537" s="15">
        <v>8379.99999999998</v>
      </c>
    </row>
    <row r="538" spans="1:1">
      <c r="A538" s="15">
        <v>8585</v>
      </c>
    </row>
    <row r="539" spans="1:1">
      <c r="A539" s="15">
        <v>8646.0000000000291</v>
      </c>
    </row>
    <row r="540" spans="1:1">
      <c r="A540" s="15">
        <v>8593.9999999999909</v>
      </c>
    </row>
    <row r="541" spans="1:1">
      <c r="A541" s="15">
        <v>9434</v>
      </c>
    </row>
    <row r="542" spans="1:1">
      <c r="A542" s="15">
        <v>9029.0000000000291</v>
      </c>
    </row>
    <row r="543" spans="1:1">
      <c r="A543" s="15">
        <v>11084</v>
      </c>
    </row>
    <row r="544" spans="1:1">
      <c r="A544" s="15">
        <v>10882</v>
      </c>
    </row>
    <row r="545" spans="1:1">
      <c r="A545" s="15">
        <v>7332.99999999998</v>
      </c>
    </row>
    <row r="546" spans="1:1">
      <c r="A546" s="15">
        <v>6060</v>
      </c>
    </row>
    <row r="547" spans="1:1">
      <c r="A547" s="15">
        <v>6254.99999999998</v>
      </c>
    </row>
    <row r="548" spans="1:1">
      <c r="A548" s="15">
        <v>6013</v>
      </c>
    </row>
    <row r="549" spans="1:1">
      <c r="A549" s="15">
        <v>6211</v>
      </c>
    </row>
    <row r="550" spans="1:1">
      <c r="A550" s="15">
        <v>6156.00000000001</v>
      </c>
    </row>
    <row r="551" spans="1:1">
      <c r="A551" s="15">
        <v>5955.00000000001</v>
      </c>
    </row>
    <row r="552" spans="1:1">
      <c r="A552" s="15">
        <v>6226</v>
      </c>
    </row>
    <row r="553" spans="1:1">
      <c r="A553" s="15">
        <v>6201.00000000002</v>
      </c>
    </row>
    <row r="554" spans="1:1">
      <c r="A554" s="15">
        <v>6136.99999999999</v>
      </c>
    </row>
    <row r="555" spans="1:1">
      <c r="A555" s="15">
        <v>6293.99999999998</v>
      </c>
    </row>
    <row r="556" spans="1:1">
      <c r="A556" s="15">
        <v>6363.99999999999</v>
      </c>
    </row>
    <row r="557" spans="1:1">
      <c r="A557" s="15">
        <v>6353.99999999998</v>
      </c>
    </row>
  </sheetData>
  <pageMargins left="0.78749999999999998" right="0.78749999999999998" top="1.05277777777778" bottom="1.05277777777778" header="0.78749999999999998" footer="0.78749999999999998"/>
  <pageSetup paperSize="0" scale="0" orientation="portrait" usePrinterDefaults="0" useFirstPageNumber="1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L557"/>
  <sheetViews>
    <sheetView topLeftCell="A536" workbookViewId="0">
      <selection activeCell="B576" sqref="B576"/>
    </sheetView>
  </sheetViews>
  <sheetFormatPr defaultRowHeight="12.75"/>
  <cols>
    <col min="1" max="1025" width="11.5703125"/>
  </cols>
  <sheetData>
    <row r="1" spans="1:38">
      <c r="A1" s="14">
        <v>1</v>
      </c>
      <c r="B1" s="14">
        <v>2</v>
      </c>
      <c r="C1" s="14">
        <v>3</v>
      </c>
      <c r="D1" s="14">
        <v>4</v>
      </c>
      <c r="E1" s="14">
        <v>5</v>
      </c>
      <c r="F1" s="14">
        <v>6</v>
      </c>
      <c r="G1" s="14">
        <v>7</v>
      </c>
      <c r="H1" s="14">
        <v>8</v>
      </c>
      <c r="I1" s="14">
        <v>9</v>
      </c>
      <c r="J1" s="14">
        <v>10</v>
      </c>
      <c r="K1" s="14">
        <v>11</v>
      </c>
      <c r="L1" s="14">
        <v>12</v>
      </c>
      <c r="M1" s="14">
        <v>13</v>
      </c>
      <c r="N1" s="14">
        <v>14</v>
      </c>
      <c r="O1" s="14">
        <v>15</v>
      </c>
      <c r="P1" s="14">
        <v>16</v>
      </c>
      <c r="Q1" s="14">
        <v>17</v>
      </c>
      <c r="R1" s="14">
        <v>18</v>
      </c>
      <c r="S1" s="14">
        <v>19</v>
      </c>
      <c r="T1" s="14">
        <v>20</v>
      </c>
      <c r="U1" s="14">
        <v>21</v>
      </c>
      <c r="V1" s="14">
        <v>22</v>
      </c>
      <c r="W1" s="14">
        <v>23</v>
      </c>
      <c r="X1" s="14">
        <v>24</v>
      </c>
      <c r="Y1" s="14">
        <v>25</v>
      </c>
      <c r="Z1" s="14">
        <v>26</v>
      </c>
      <c r="AA1" s="14">
        <v>27</v>
      </c>
      <c r="AB1" s="14">
        <v>28</v>
      </c>
      <c r="AC1" s="14">
        <v>29</v>
      </c>
      <c r="AD1" s="14">
        <v>30</v>
      </c>
      <c r="AE1" s="14">
        <v>31</v>
      </c>
      <c r="AF1" s="14">
        <v>32</v>
      </c>
      <c r="AG1" s="14">
        <v>33</v>
      </c>
      <c r="AH1" s="14">
        <v>34</v>
      </c>
      <c r="AI1" s="14">
        <v>35</v>
      </c>
      <c r="AJ1" s="14">
        <v>36</v>
      </c>
      <c r="AK1" s="14">
        <v>37</v>
      </c>
      <c r="AL1" s="14">
        <v>38</v>
      </c>
    </row>
    <row r="2" spans="1:38">
      <c r="A2" s="1">
        <v>-16</v>
      </c>
      <c r="B2" s="2">
        <v>35</v>
      </c>
      <c r="C2" s="2">
        <v>-5</v>
      </c>
      <c r="D2" s="2">
        <v>-5</v>
      </c>
      <c r="E2" s="2">
        <v>0</v>
      </c>
      <c r="F2" s="2">
        <v>1</v>
      </c>
      <c r="G2" s="2">
        <v>-13</v>
      </c>
      <c r="H2" s="2">
        <v>-3</v>
      </c>
      <c r="I2" s="2">
        <v>9</v>
      </c>
      <c r="J2" s="2">
        <v>-9</v>
      </c>
      <c r="K2" s="2">
        <v>14</v>
      </c>
      <c r="L2" s="2">
        <v>-2</v>
      </c>
      <c r="M2" s="2">
        <v>-27</v>
      </c>
      <c r="N2" s="2">
        <v>0</v>
      </c>
      <c r="O2" s="2">
        <v>17</v>
      </c>
      <c r="P2" s="2">
        <v>-13</v>
      </c>
      <c r="Q2" s="2">
        <v>11</v>
      </c>
      <c r="R2" s="2">
        <v>-40</v>
      </c>
      <c r="S2" s="2">
        <v>42</v>
      </c>
      <c r="T2" s="2">
        <v>-7</v>
      </c>
      <c r="U2" s="2">
        <v>6</v>
      </c>
      <c r="V2" s="2">
        <v>-12</v>
      </c>
      <c r="W2" s="2">
        <v>8</v>
      </c>
      <c r="X2" s="2">
        <v>-5</v>
      </c>
      <c r="Y2" s="2">
        <v>32</v>
      </c>
      <c r="Z2" s="2">
        <v>32</v>
      </c>
      <c r="AA2" s="2">
        <v>28</v>
      </c>
      <c r="AB2" s="2">
        <v>10</v>
      </c>
      <c r="AC2" s="2">
        <v>-13</v>
      </c>
      <c r="AD2" s="2">
        <v>-19</v>
      </c>
      <c r="AE2" s="2">
        <v>-32</v>
      </c>
      <c r="AF2" s="2">
        <v>-32</v>
      </c>
      <c r="AG2" s="2">
        <v>-5</v>
      </c>
      <c r="AH2" s="2">
        <v>-3</v>
      </c>
      <c r="AI2" s="2">
        <v>2</v>
      </c>
      <c r="AJ2" s="2">
        <v>3</v>
      </c>
      <c r="AK2" s="2">
        <v>43</v>
      </c>
      <c r="AL2" s="3">
        <v>4</v>
      </c>
    </row>
    <row r="3" spans="1:38">
      <c r="A3" s="4">
        <v>-4</v>
      </c>
      <c r="B3" s="5">
        <v>-7</v>
      </c>
      <c r="C3" s="5">
        <v>0</v>
      </c>
      <c r="D3" s="5">
        <v>0</v>
      </c>
      <c r="E3" s="5">
        <v>-6</v>
      </c>
      <c r="F3" s="5">
        <v>23</v>
      </c>
      <c r="G3" s="5">
        <v>21</v>
      </c>
      <c r="H3" s="5">
        <v>6</v>
      </c>
      <c r="I3" s="5">
        <v>-20</v>
      </c>
      <c r="J3" s="5">
        <v>15</v>
      </c>
      <c r="K3" s="5">
        <v>27</v>
      </c>
      <c r="L3" s="5">
        <v>-13</v>
      </c>
      <c r="M3" s="5">
        <v>1</v>
      </c>
      <c r="N3" s="5">
        <v>7</v>
      </c>
      <c r="O3" s="5">
        <v>-13</v>
      </c>
      <c r="P3" s="5">
        <v>-8</v>
      </c>
      <c r="Q3" s="5">
        <v>-13</v>
      </c>
      <c r="R3" s="5">
        <v>7</v>
      </c>
      <c r="S3" s="5">
        <v>-2</v>
      </c>
      <c r="T3" s="5">
        <v>7</v>
      </c>
      <c r="U3" s="5">
        <v>-2</v>
      </c>
      <c r="V3" s="5">
        <v>10</v>
      </c>
      <c r="W3" s="5">
        <v>-12</v>
      </c>
      <c r="X3" s="5">
        <v>12</v>
      </c>
      <c r="Y3" s="5">
        <v>-3</v>
      </c>
      <c r="Z3" s="5">
        <v>-12</v>
      </c>
      <c r="AA3" s="5">
        <v>5</v>
      </c>
      <c r="AB3" s="5">
        <v>-1</v>
      </c>
      <c r="AC3" s="5">
        <v>2</v>
      </c>
      <c r="AD3" s="5">
        <v>6</v>
      </c>
      <c r="AE3" s="5">
        <v>4</v>
      </c>
      <c r="AF3" s="5">
        <v>13</v>
      </c>
      <c r="AG3" s="5">
        <v>-7</v>
      </c>
      <c r="AH3" s="5">
        <v>10</v>
      </c>
      <c r="AI3" s="5">
        <v>-13</v>
      </c>
      <c r="AJ3" s="5">
        <v>-3</v>
      </c>
      <c r="AK3" s="5">
        <v>-20</v>
      </c>
      <c r="AL3" s="6">
        <v>0</v>
      </c>
    </row>
    <row r="4" spans="1:38">
      <c r="A4" s="4">
        <v>-3</v>
      </c>
      <c r="B4" s="5">
        <v>19</v>
      </c>
      <c r="C4" s="5">
        <v>0</v>
      </c>
      <c r="D4" s="5">
        <v>24</v>
      </c>
      <c r="E4" s="5">
        <v>14</v>
      </c>
      <c r="F4" s="5">
        <v>8</v>
      </c>
      <c r="G4" s="5">
        <v>0</v>
      </c>
      <c r="H4" s="5">
        <v>20</v>
      </c>
      <c r="I4" s="5">
        <v>8</v>
      </c>
      <c r="J4" s="5">
        <v>-1</v>
      </c>
      <c r="K4" s="5">
        <v>-3</v>
      </c>
      <c r="L4" s="5">
        <v>-12</v>
      </c>
      <c r="M4" s="5">
        <v>-10</v>
      </c>
      <c r="N4" s="5">
        <v>5</v>
      </c>
      <c r="O4" s="5">
        <v>-6</v>
      </c>
      <c r="P4" s="5">
        <v>9</v>
      </c>
      <c r="Q4" s="5">
        <v>-5</v>
      </c>
      <c r="R4" s="5">
        <v>-18</v>
      </c>
      <c r="S4" s="5">
        <v>21</v>
      </c>
      <c r="T4" s="5">
        <v>-23</v>
      </c>
      <c r="U4" s="5">
        <v>-17</v>
      </c>
      <c r="V4" s="5">
        <v>-28</v>
      </c>
      <c r="W4" s="5">
        <v>2</v>
      </c>
      <c r="X4" s="5">
        <v>-25</v>
      </c>
      <c r="Y4" s="5">
        <v>-6</v>
      </c>
      <c r="Z4" s="5">
        <v>-8</v>
      </c>
      <c r="AA4" s="5">
        <v>1</v>
      </c>
      <c r="AB4" s="5">
        <v>38</v>
      </c>
      <c r="AC4" s="5">
        <v>-16</v>
      </c>
      <c r="AD4" s="5">
        <v>-16</v>
      </c>
      <c r="AE4" s="5">
        <v>-5</v>
      </c>
      <c r="AF4" s="5">
        <v>9</v>
      </c>
      <c r="AG4" s="5">
        <v>5</v>
      </c>
      <c r="AH4" s="5">
        <v>18</v>
      </c>
      <c r="AI4" s="5">
        <v>-6</v>
      </c>
      <c r="AJ4" s="5">
        <v>6</v>
      </c>
      <c r="AK4" s="5">
        <v>3</v>
      </c>
      <c r="AL4" s="6">
        <v>21</v>
      </c>
    </row>
    <row r="5" spans="1:38">
      <c r="A5" s="4">
        <v>-8</v>
      </c>
      <c r="B5" s="5">
        <v>13</v>
      </c>
      <c r="C5" s="5">
        <v>-10</v>
      </c>
      <c r="D5" s="5">
        <v>-5</v>
      </c>
      <c r="E5" s="5">
        <v>-13</v>
      </c>
      <c r="F5" s="5">
        <v>18</v>
      </c>
      <c r="G5" s="5">
        <v>2</v>
      </c>
      <c r="H5" s="5">
        <v>6</v>
      </c>
      <c r="I5" s="5">
        <v>-15</v>
      </c>
      <c r="J5" s="5">
        <v>-8</v>
      </c>
      <c r="K5" s="5">
        <v>26</v>
      </c>
      <c r="L5" s="5">
        <v>-13</v>
      </c>
      <c r="M5" s="5">
        <v>-10</v>
      </c>
      <c r="N5" s="5">
        <v>-12</v>
      </c>
      <c r="O5" s="5">
        <v>3</v>
      </c>
      <c r="P5" s="5">
        <v>-6</v>
      </c>
      <c r="Q5" s="5">
        <v>-10</v>
      </c>
      <c r="R5" s="5">
        <v>-5</v>
      </c>
      <c r="S5" s="5">
        <v>-9</v>
      </c>
      <c r="T5" s="5">
        <v>20</v>
      </c>
      <c r="U5" s="5">
        <v>-10</v>
      </c>
      <c r="V5" s="5">
        <v>-6</v>
      </c>
      <c r="W5" s="5">
        <v>-30</v>
      </c>
      <c r="X5" s="5">
        <v>18</v>
      </c>
      <c r="Y5" s="5">
        <v>-20</v>
      </c>
      <c r="Z5" s="5">
        <v>9</v>
      </c>
      <c r="AA5" s="5">
        <v>1</v>
      </c>
      <c r="AB5" s="5">
        <v>-20</v>
      </c>
      <c r="AC5" s="5">
        <v>10</v>
      </c>
      <c r="AD5" s="5">
        <v>7</v>
      </c>
      <c r="AE5" s="5">
        <v>-10</v>
      </c>
      <c r="AF5" s="5">
        <v>9</v>
      </c>
      <c r="AG5" s="5">
        <v>12</v>
      </c>
      <c r="AH5" s="5">
        <v>7</v>
      </c>
      <c r="AI5" s="5">
        <v>-16</v>
      </c>
      <c r="AJ5" s="5">
        <v>8</v>
      </c>
      <c r="AK5" s="5">
        <v>0</v>
      </c>
      <c r="AL5" s="6">
        <v>-18</v>
      </c>
    </row>
    <row r="6" spans="1:38">
      <c r="A6" s="4">
        <v>-10</v>
      </c>
      <c r="B6" s="5">
        <v>23</v>
      </c>
      <c r="C6" s="5">
        <v>5</v>
      </c>
      <c r="D6" s="5">
        <v>3</v>
      </c>
      <c r="E6" s="5">
        <v>2</v>
      </c>
      <c r="F6" s="5">
        <v>-1</v>
      </c>
      <c r="G6" s="5">
        <v>-15</v>
      </c>
      <c r="H6" s="5">
        <v>-2</v>
      </c>
      <c r="I6" s="5">
        <v>-11</v>
      </c>
      <c r="J6" s="5">
        <v>1</v>
      </c>
      <c r="K6" s="5">
        <v>18</v>
      </c>
      <c r="L6" s="5">
        <v>-22</v>
      </c>
      <c r="M6" s="5">
        <v>-24</v>
      </c>
      <c r="N6" s="5">
        <v>-8</v>
      </c>
      <c r="O6" s="5">
        <v>5</v>
      </c>
      <c r="P6" s="5">
        <v>5</v>
      </c>
      <c r="Q6" s="5">
        <v>-4</v>
      </c>
      <c r="R6" s="5">
        <v>-19</v>
      </c>
      <c r="S6" s="5">
        <v>0</v>
      </c>
      <c r="T6" s="5">
        <v>-1</v>
      </c>
      <c r="U6" s="5">
        <v>-8</v>
      </c>
      <c r="V6" s="5">
        <v>-2</v>
      </c>
      <c r="W6" s="5">
        <v>12</v>
      </c>
      <c r="X6" s="5">
        <v>-1</v>
      </c>
      <c r="Y6" s="5">
        <v>-4</v>
      </c>
      <c r="Z6" s="5">
        <v>17</v>
      </c>
      <c r="AA6" s="5">
        <v>10</v>
      </c>
      <c r="AB6" s="5">
        <v>-22</v>
      </c>
      <c r="AC6" s="5">
        <v>2</v>
      </c>
      <c r="AD6" s="5">
        <v>-8</v>
      </c>
      <c r="AE6" s="5">
        <v>-9</v>
      </c>
      <c r="AF6" s="5">
        <v>-28</v>
      </c>
      <c r="AG6" s="5">
        <v>8</v>
      </c>
      <c r="AH6" s="5">
        <v>-5</v>
      </c>
      <c r="AI6" s="5">
        <v>-1</v>
      </c>
      <c r="AJ6" s="5">
        <v>26</v>
      </c>
      <c r="AK6" s="5">
        <v>9</v>
      </c>
      <c r="AL6" s="6">
        <v>10</v>
      </c>
    </row>
    <row r="7" spans="1:38">
      <c r="A7" s="4">
        <v>-28</v>
      </c>
      <c r="B7" s="5">
        <v>-2</v>
      </c>
      <c r="C7" s="5">
        <v>-16</v>
      </c>
      <c r="D7" s="5">
        <v>-8</v>
      </c>
      <c r="E7" s="5">
        <v>-17</v>
      </c>
      <c r="F7" s="5">
        <v>5</v>
      </c>
      <c r="G7" s="5">
        <v>-4</v>
      </c>
      <c r="H7" s="5">
        <v>22</v>
      </c>
      <c r="I7" s="5">
        <v>-8</v>
      </c>
      <c r="J7" s="5">
        <v>-1</v>
      </c>
      <c r="K7" s="5">
        <v>-5</v>
      </c>
      <c r="L7" s="5">
        <v>12</v>
      </c>
      <c r="M7" s="5">
        <v>5</v>
      </c>
      <c r="N7" s="5">
        <v>18</v>
      </c>
      <c r="O7" s="5">
        <v>-4</v>
      </c>
      <c r="P7" s="5">
        <v>6</v>
      </c>
      <c r="Q7" s="5">
        <v>-8</v>
      </c>
      <c r="R7" s="5">
        <v>27</v>
      </c>
      <c r="S7" s="5">
        <v>1</v>
      </c>
      <c r="T7" s="5">
        <v>16</v>
      </c>
      <c r="U7" s="5">
        <v>2</v>
      </c>
      <c r="V7" s="5">
        <v>-52</v>
      </c>
      <c r="W7" s="5">
        <v>-22</v>
      </c>
      <c r="X7" s="5">
        <v>13</v>
      </c>
      <c r="Y7" s="5">
        <v>-8</v>
      </c>
      <c r="Z7" s="5">
        <v>3</v>
      </c>
      <c r="AA7" s="5">
        <v>-25</v>
      </c>
      <c r="AB7" s="5">
        <v>-22</v>
      </c>
      <c r="AC7" s="5">
        <v>8</v>
      </c>
      <c r="AD7" s="5">
        <v>13</v>
      </c>
      <c r="AE7" s="5">
        <v>19</v>
      </c>
      <c r="AF7" s="5">
        <v>38</v>
      </c>
      <c r="AG7" s="5">
        <v>12</v>
      </c>
      <c r="AH7" s="5">
        <v>10</v>
      </c>
      <c r="AI7" s="5">
        <v>-32</v>
      </c>
      <c r="AJ7" s="5">
        <v>-13</v>
      </c>
      <c r="AK7" s="5">
        <v>-15</v>
      </c>
      <c r="AL7" s="6">
        <v>1</v>
      </c>
    </row>
    <row r="8" spans="1:38">
      <c r="A8" s="4">
        <v>-11</v>
      </c>
      <c r="B8" s="5">
        <v>-5</v>
      </c>
      <c r="C8" s="5">
        <v>-2</v>
      </c>
      <c r="D8" s="5">
        <v>-4</v>
      </c>
      <c r="E8" s="5">
        <v>13</v>
      </c>
      <c r="F8" s="5">
        <v>-1</v>
      </c>
      <c r="G8" s="5">
        <v>-4</v>
      </c>
      <c r="H8" s="5">
        <v>-11</v>
      </c>
      <c r="I8" s="5">
        <v>5</v>
      </c>
      <c r="J8" s="5">
        <v>2</v>
      </c>
      <c r="K8" s="5">
        <v>6</v>
      </c>
      <c r="L8" s="5">
        <v>8</v>
      </c>
      <c r="M8" s="5">
        <v>-1</v>
      </c>
      <c r="N8" s="5">
        <v>3</v>
      </c>
      <c r="O8" s="5">
        <v>0</v>
      </c>
      <c r="P8" s="5">
        <v>-4</v>
      </c>
      <c r="Q8" s="5">
        <v>-7</v>
      </c>
      <c r="R8" s="5">
        <v>-9</v>
      </c>
      <c r="S8" s="5">
        <v>0</v>
      </c>
      <c r="T8" s="5">
        <v>8</v>
      </c>
      <c r="U8" s="5">
        <v>-1</v>
      </c>
      <c r="V8" s="5">
        <v>-4</v>
      </c>
      <c r="W8" s="5">
        <v>-1</v>
      </c>
      <c r="X8" s="5">
        <v>4</v>
      </c>
      <c r="Y8" s="5">
        <v>-2</v>
      </c>
      <c r="Z8" s="5">
        <v>2</v>
      </c>
      <c r="AA8" s="5">
        <v>5</v>
      </c>
      <c r="AB8" s="5">
        <v>-2</v>
      </c>
      <c r="AC8" s="5">
        <v>-5</v>
      </c>
      <c r="AD8" s="5">
        <v>-10</v>
      </c>
      <c r="AE8" s="5">
        <v>-2</v>
      </c>
      <c r="AF8" s="5">
        <v>-15</v>
      </c>
      <c r="AG8" s="5">
        <v>8</v>
      </c>
      <c r="AH8" s="5">
        <v>-22</v>
      </c>
      <c r="AI8" s="5">
        <v>-6</v>
      </c>
      <c r="AJ8" s="5">
        <v>9</v>
      </c>
      <c r="AK8" s="5">
        <v>-5</v>
      </c>
      <c r="AL8" s="6">
        <v>-2</v>
      </c>
    </row>
    <row r="9" spans="1:38">
      <c r="A9" s="4">
        <v>-15</v>
      </c>
      <c r="B9" s="5">
        <v>-1</v>
      </c>
      <c r="C9" s="5">
        <v>-18</v>
      </c>
      <c r="D9" s="5">
        <v>-2</v>
      </c>
      <c r="E9" s="5">
        <v>8</v>
      </c>
      <c r="F9" s="5">
        <v>-1</v>
      </c>
      <c r="G9" s="5">
        <v>-17</v>
      </c>
      <c r="H9" s="5">
        <v>5</v>
      </c>
      <c r="I9" s="5">
        <v>-7</v>
      </c>
      <c r="J9" s="5">
        <v>-3</v>
      </c>
      <c r="K9" s="5">
        <v>0</v>
      </c>
      <c r="L9" s="5">
        <v>14</v>
      </c>
      <c r="M9" s="5">
        <v>2</v>
      </c>
      <c r="N9" s="5">
        <v>4</v>
      </c>
      <c r="O9" s="5">
        <v>-8</v>
      </c>
      <c r="P9" s="5">
        <v>-6</v>
      </c>
      <c r="Q9" s="5">
        <v>0</v>
      </c>
      <c r="R9" s="5">
        <v>7</v>
      </c>
      <c r="S9" s="5">
        <v>-4</v>
      </c>
      <c r="T9" s="5">
        <v>0</v>
      </c>
      <c r="U9" s="5">
        <v>3</v>
      </c>
      <c r="V9" s="5">
        <v>-17</v>
      </c>
      <c r="W9" s="5">
        <v>5</v>
      </c>
      <c r="X9" s="5">
        <v>3</v>
      </c>
      <c r="Y9" s="5">
        <v>9</v>
      </c>
      <c r="Z9" s="5">
        <v>-9</v>
      </c>
      <c r="AA9" s="5">
        <v>-13</v>
      </c>
      <c r="AB9" s="5">
        <v>-4</v>
      </c>
      <c r="AC9" s="5">
        <v>-4</v>
      </c>
      <c r="AD9" s="5">
        <v>-3</v>
      </c>
      <c r="AE9" s="5">
        <v>8</v>
      </c>
      <c r="AF9" s="5">
        <v>-3</v>
      </c>
      <c r="AG9" s="5">
        <v>6</v>
      </c>
      <c r="AH9" s="5">
        <v>-15</v>
      </c>
      <c r="AI9" s="5">
        <v>-7</v>
      </c>
      <c r="AJ9" s="5">
        <v>5</v>
      </c>
      <c r="AK9" s="5">
        <v>-12</v>
      </c>
      <c r="AL9" s="6">
        <v>-1</v>
      </c>
    </row>
    <row r="10" spans="1:38">
      <c r="A10" s="4">
        <v>-27</v>
      </c>
      <c r="B10" s="5">
        <v>5</v>
      </c>
      <c r="C10" s="5">
        <v>-24</v>
      </c>
      <c r="D10" s="5">
        <v>4</v>
      </c>
      <c r="E10" s="5">
        <v>-5</v>
      </c>
      <c r="F10" s="5">
        <v>15</v>
      </c>
      <c r="G10" s="5">
        <v>-12</v>
      </c>
      <c r="H10" s="5">
        <v>6</v>
      </c>
      <c r="I10" s="5">
        <v>-13</v>
      </c>
      <c r="J10" s="5">
        <v>4</v>
      </c>
      <c r="K10" s="5">
        <v>-9</v>
      </c>
      <c r="L10" s="5">
        <v>9</v>
      </c>
      <c r="M10" s="5">
        <v>10</v>
      </c>
      <c r="N10" s="5">
        <v>14</v>
      </c>
      <c r="O10" s="5">
        <v>-2</v>
      </c>
      <c r="P10" s="5">
        <v>12</v>
      </c>
      <c r="Q10" s="5">
        <v>6</v>
      </c>
      <c r="R10" s="5">
        <v>21</v>
      </c>
      <c r="S10" s="5">
        <v>15</v>
      </c>
      <c r="T10" s="5">
        <v>14</v>
      </c>
      <c r="U10" s="5">
        <v>9</v>
      </c>
      <c r="V10" s="5">
        <v>-30</v>
      </c>
      <c r="W10" s="5">
        <v>1</v>
      </c>
      <c r="X10" s="5">
        <v>9</v>
      </c>
      <c r="Y10" s="5">
        <v>4</v>
      </c>
      <c r="Z10" s="5">
        <v>17</v>
      </c>
      <c r="AA10" s="5">
        <v>-32</v>
      </c>
      <c r="AB10" s="5">
        <v>-11</v>
      </c>
      <c r="AC10" s="5">
        <v>-15</v>
      </c>
      <c r="AD10" s="5">
        <v>1</v>
      </c>
      <c r="AE10" s="5">
        <v>24</v>
      </c>
      <c r="AF10" s="5">
        <v>-1</v>
      </c>
      <c r="AG10" s="5">
        <v>-8</v>
      </c>
      <c r="AH10" s="5">
        <v>15</v>
      </c>
      <c r="AI10" s="5">
        <v>-25</v>
      </c>
      <c r="AJ10" s="5">
        <v>-15</v>
      </c>
      <c r="AK10" s="5">
        <v>4</v>
      </c>
      <c r="AL10" s="6">
        <v>4</v>
      </c>
    </row>
    <row r="11" spans="1:38">
      <c r="A11" s="4">
        <v>1</v>
      </c>
      <c r="B11" s="5">
        <v>6</v>
      </c>
      <c r="C11" s="5">
        <v>5</v>
      </c>
      <c r="D11" s="5">
        <v>-5</v>
      </c>
      <c r="E11" s="5">
        <v>-1</v>
      </c>
      <c r="F11" s="5">
        <v>16</v>
      </c>
      <c r="G11" s="5">
        <v>-4</v>
      </c>
      <c r="H11" s="5">
        <v>-1</v>
      </c>
      <c r="I11" s="5">
        <v>-21</v>
      </c>
      <c r="J11" s="5">
        <v>6</v>
      </c>
      <c r="K11" s="5">
        <v>11</v>
      </c>
      <c r="L11" s="5">
        <v>-6</v>
      </c>
      <c r="M11" s="5">
        <v>-3</v>
      </c>
      <c r="N11" s="5">
        <v>-5</v>
      </c>
      <c r="O11" s="5">
        <v>-2</v>
      </c>
      <c r="P11" s="5">
        <v>0</v>
      </c>
      <c r="Q11" s="5">
        <v>-7</v>
      </c>
      <c r="R11" s="5">
        <v>13</v>
      </c>
      <c r="S11" s="5">
        <v>-8</v>
      </c>
      <c r="T11" s="5">
        <v>4</v>
      </c>
      <c r="U11" s="5">
        <v>-7</v>
      </c>
      <c r="V11" s="5">
        <v>10</v>
      </c>
      <c r="W11" s="5">
        <v>-3</v>
      </c>
      <c r="X11" s="5">
        <v>5</v>
      </c>
      <c r="Y11" s="5">
        <v>-5</v>
      </c>
      <c r="Z11" s="5">
        <v>-4</v>
      </c>
      <c r="AA11" s="5">
        <v>8</v>
      </c>
      <c r="AB11" s="5">
        <v>11</v>
      </c>
      <c r="AC11" s="5">
        <v>5</v>
      </c>
      <c r="AD11" s="5">
        <v>1</v>
      </c>
      <c r="AE11" s="5">
        <v>-2</v>
      </c>
      <c r="AF11" s="5">
        <v>-2</v>
      </c>
      <c r="AG11" s="5">
        <v>-2</v>
      </c>
      <c r="AH11" s="5">
        <v>-1</v>
      </c>
      <c r="AI11" s="5">
        <v>1</v>
      </c>
      <c r="AJ11" s="5">
        <v>-2</v>
      </c>
      <c r="AK11" s="5">
        <v>-1</v>
      </c>
      <c r="AL11" s="6">
        <v>-1</v>
      </c>
    </row>
    <row r="12" spans="1:38">
      <c r="A12" s="4">
        <v>-23</v>
      </c>
      <c r="B12" s="5">
        <v>-2</v>
      </c>
      <c r="C12" s="5">
        <v>-28</v>
      </c>
      <c r="D12" s="5">
        <v>-11</v>
      </c>
      <c r="E12" s="5">
        <v>-33</v>
      </c>
      <c r="F12" s="5">
        <v>-4</v>
      </c>
      <c r="G12" s="5">
        <v>12</v>
      </c>
      <c r="H12" s="5">
        <v>18</v>
      </c>
      <c r="I12" s="5">
        <v>-12</v>
      </c>
      <c r="J12" s="5">
        <v>-19</v>
      </c>
      <c r="K12" s="5">
        <v>-13</v>
      </c>
      <c r="L12" s="5">
        <v>15</v>
      </c>
      <c r="M12" s="5">
        <v>-11</v>
      </c>
      <c r="N12" s="5">
        <v>-10</v>
      </c>
      <c r="O12" s="5">
        <v>14</v>
      </c>
      <c r="P12" s="5">
        <v>-4</v>
      </c>
      <c r="Q12" s="5">
        <v>-16</v>
      </c>
      <c r="R12" s="5">
        <v>4</v>
      </c>
      <c r="S12" s="5">
        <v>27</v>
      </c>
      <c r="T12" s="5">
        <v>-37</v>
      </c>
      <c r="U12" s="5">
        <v>-11</v>
      </c>
      <c r="V12" s="5">
        <v>-8</v>
      </c>
      <c r="W12" s="5">
        <v>-18</v>
      </c>
      <c r="X12" s="5">
        <v>22</v>
      </c>
      <c r="Y12" s="5">
        <v>6</v>
      </c>
      <c r="Z12" s="5">
        <v>26</v>
      </c>
      <c r="AA12" s="5">
        <v>0</v>
      </c>
      <c r="AB12" s="5">
        <v>-8</v>
      </c>
      <c r="AC12" s="5">
        <v>29</v>
      </c>
      <c r="AD12" s="5">
        <v>-1</v>
      </c>
      <c r="AE12" s="5">
        <v>14</v>
      </c>
      <c r="AF12" s="5">
        <v>6</v>
      </c>
      <c r="AG12" s="5">
        <v>-34</v>
      </c>
      <c r="AH12" s="5">
        <v>12</v>
      </c>
      <c r="AI12" s="5">
        <v>-52</v>
      </c>
      <c r="AJ12" s="5">
        <v>-28</v>
      </c>
      <c r="AK12" s="5">
        <v>-24</v>
      </c>
      <c r="AL12" s="6">
        <v>10</v>
      </c>
    </row>
    <row r="13" spans="1:38">
      <c r="A13" s="4">
        <v>-2</v>
      </c>
      <c r="B13" s="5">
        <v>44</v>
      </c>
      <c r="C13" s="5">
        <v>-5</v>
      </c>
      <c r="D13" s="5">
        <v>-10</v>
      </c>
      <c r="E13" s="5">
        <v>-48</v>
      </c>
      <c r="F13" s="5">
        <v>-15</v>
      </c>
      <c r="G13" s="5">
        <v>35</v>
      </c>
      <c r="H13" s="5">
        <v>6</v>
      </c>
      <c r="I13" s="5">
        <v>14</v>
      </c>
      <c r="J13" s="5">
        <v>-21</v>
      </c>
      <c r="K13" s="5">
        <v>19</v>
      </c>
      <c r="L13" s="5">
        <v>-19</v>
      </c>
      <c r="M13" s="5">
        <v>-22</v>
      </c>
      <c r="N13" s="5">
        <v>-39</v>
      </c>
      <c r="O13" s="5">
        <v>26</v>
      </c>
      <c r="P13" s="5">
        <v>18</v>
      </c>
      <c r="Q13" s="5">
        <v>12</v>
      </c>
      <c r="R13" s="5">
        <v>-9</v>
      </c>
      <c r="S13" s="5">
        <v>34</v>
      </c>
      <c r="T13" s="5">
        <v>-35</v>
      </c>
      <c r="U13" s="5">
        <v>9</v>
      </c>
      <c r="V13" s="5">
        <v>-3</v>
      </c>
      <c r="W13" s="5">
        <v>-13</v>
      </c>
      <c r="X13" s="5">
        <v>14</v>
      </c>
      <c r="Y13" s="5">
        <v>-15</v>
      </c>
      <c r="Z13" s="5">
        <v>38</v>
      </c>
      <c r="AA13" s="5">
        <v>29</v>
      </c>
      <c r="AB13" s="5">
        <v>-3</v>
      </c>
      <c r="AC13" s="5">
        <v>-3</v>
      </c>
      <c r="AD13" s="5">
        <v>-2</v>
      </c>
      <c r="AE13" s="5">
        <v>-42</v>
      </c>
      <c r="AF13" s="5">
        <v>-14</v>
      </c>
      <c r="AG13" s="5">
        <v>-6</v>
      </c>
      <c r="AH13" s="5">
        <v>4</v>
      </c>
      <c r="AI13" s="5">
        <v>-32</v>
      </c>
      <c r="AJ13" s="5">
        <v>-22</v>
      </c>
      <c r="AK13" s="5">
        <v>-39</v>
      </c>
      <c r="AL13" s="6">
        <v>-8</v>
      </c>
    </row>
    <row r="14" spans="1:38">
      <c r="A14" s="4">
        <v>0</v>
      </c>
      <c r="B14" s="5">
        <v>40</v>
      </c>
      <c r="C14" s="5">
        <v>3</v>
      </c>
      <c r="D14" s="5">
        <v>-7</v>
      </c>
      <c r="E14" s="5">
        <v>-40</v>
      </c>
      <c r="F14" s="5">
        <v>-27</v>
      </c>
      <c r="G14" s="5">
        <v>21</v>
      </c>
      <c r="H14" s="5">
        <v>7</v>
      </c>
      <c r="I14" s="5">
        <v>10</v>
      </c>
      <c r="J14" s="5">
        <v>-31</v>
      </c>
      <c r="K14" s="5">
        <v>1</v>
      </c>
      <c r="L14" s="5">
        <v>-12</v>
      </c>
      <c r="M14" s="5">
        <v>-12</v>
      </c>
      <c r="N14" s="5">
        <v>-30</v>
      </c>
      <c r="O14" s="5">
        <v>16</v>
      </c>
      <c r="P14" s="5">
        <v>8</v>
      </c>
      <c r="Q14" s="5">
        <v>17</v>
      </c>
      <c r="R14" s="5">
        <v>-4</v>
      </c>
      <c r="S14" s="5">
        <v>43</v>
      </c>
      <c r="T14" s="5">
        <v>-47</v>
      </c>
      <c r="U14" s="5">
        <v>6</v>
      </c>
      <c r="V14" s="5">
        <v>6</v>
      </c>
      <c r="W14" s="5">
        <v>-13</v>
      </c>
      <c r="X14" s="5">
        <v>13</v>
      </c>
      <c r="Y14" s="5">
        <v>-11</v>
      </c>
      <c r="Z14" s="5">
        <v>52</v>
      </c>
      <c r="AA14" s="5">
        <v>29</v>
      </c>
      <c r="AB14" s="5">
        <v>-9</v>
      </c>
      <c r="AC14" s="5">
        <v>-9</v>
      </c>
      <c r="AD14" s="5">
        <v>-16</v>
      </c>
      <c r="AE14" s="5">
        <v>-32</v>
      </c>
      <c r="AF14" s="5">
        <v>-14</v>
      </c>
      <c r="AG14" s="5">
        <v>-17</v>
      </c>
      <c r="AH14" s="5">
        <v>12</v>
      </c>
      <c r="AI14" s="5">
        <v>-47</v>
      </c>
      <c r="AJ14" s="5">
        <v>-19</v>
      </c>
      <c r="AK14" s="5">
        <v>-43</v>
      </c>
      <c r="AL14" s="6">
        <v>1</v>
      </c>
    </row>
    <row r="15" spans="1:38">
      <c r="A15" s="4">
        <v>1</v>
      </c>
      <c r="B15" s="5">
        <v>7</v>
      </c>
      <c r="C15" s="5">
        <v>-7</v>
      </c>
      <c r="D15" s="5">
        <v>2</v>
      </c>
      <c r="E15" s="5">
        <v>-3</v>
      </c>
      <c r="F15" s="5">
        <v>1</v>
      </c>
      <c r="G15" s="5">
        <v>2</v>
      </c>
      <c r="H15" s="5">
        <v>-4</v>
      </c>
      <c r="I15" s="5">
        <v>4</v>
      </c>
      <c r="J15" s="5">
        <v>0</v>
      </c>
      <c r="K15" s="5">
        <v>5</v>
      </c>
      <c r="L15" s="5">
        <v>-9</v>
      </c>
      <c r="M15" s="5">
        <v>-12</v>
      </c>
      <c r="N15" s="5">
        <v>-15</v>
      </c>
      <c r="O15" s="5">
        <v>7</v>
      </c>
      <c r="P15" s="5">
        <v>4</v>
      </c>
      <c r="Q15" s="5">
        <v>5</v>
      </c>
      <c r="R15" s="5">
        <v>-5</v>
      </c>
      <c r="S15" s="5">
        <v>6</v>
      </c>
      <c r="T15" s="5">
        <v>7</v>
      </c>
      <c r="U15" s="5">
        <v>3</v>
      </c>
      <c r="V15" s="5">
        <v>-7</v>
      </c>
      <c r="W15" s="5">
        <v>2</v>
      </c>
      <c r="X15" s="5">
        <v>-5</v>
      </c>
      <c r="Y15" s="5">
        <v>-11</v>
      </c>
      <c r="Z15" s="5">
        <v>-17</v>
      </c>
      <c r="AA15" s="5">
        <v>-1</v>
      </c>
      <c r="AB15" s="5">
        <v>-1</v>
      </c>
      <c r="AC15" s="5">
        <v>6</v>
      </c>
      <c r="AD15" s="5">
        <v>0</v>
      </c>
      <c r="AE15" s="5">
        <v>-15</v>
      </c>
      <c r="AF15" s="5">
        <v>5</v>
      </c>
      <c r="AG15" s="5">
        <v>5</v>
      </c>
      <c r="AH15" s="5">
        <v>-9</v>
      </c>
      <c r="AI15" s="5">
        <v>3</v>
      </c>
      <c r="AJ15" s="5">
        <v>-21</v>
      </c>
      <c r="AK15" s="5">
        <v>0</v>
      </c>
      <c r="AL15" s="6">
        <v>1</v>
      </c>
    </row>
    <row r="16" spans="1:38">
      <c r="A16" s="4">
        <v>-14</v>
      </c>
      <c r="B16" s="5">
        <v>65</v>
      </c>
      <c r="C16" s="5">
        <v>-8</v>
      </c>
      <c r="D16" s="5">
        <v>9</v>
      </c>
      <c r="E16" s="5">
        <v>-13</v>
      </c>
      <c r="F16" s="5">
        <v>26</v>
      </c>
      <c r="G16" s="5">
        <v>14</v>
      </c>
      <c r="H16" s="5">
        <v>-4</v>
      </c>
      <c r="I16" s="5">
        <v>42</v>
      </c>
      <c r="J16" s="5">
        <v>8</v>
      </c>
      <c r="K16" s="5">
        <v>44</v>
      </c>
      <c r="L16" s="5">
        <v>6</v>
      </c>
      <c r="M16" s="5">
        <v>-12</v>
      </c>
      <c r="N16" s="5">
        <v>6</v>
      </c>
      <c r="O16" s="5">
        <v>1</v>
      </c>
      <c r="P16" s="5">
        <v>16</v>
      </c>
      <c r="Q16" s="5">
        <v>5</v>
      </c>
      <c r="R16" s="5">
        <v>-47</v>
      </c>
      <c r="S16" s="5">
        <v>21</v>
      </c>
      <c r="T16" s="5">
        <v>-8</v>
      </c>
      <c r="U16" s="5">
        <v>16</v>
      </c>
      <c r="V16" s="5">
        <v>-12</v>
      </c>
      <c r="W16" s="5">
        <v>3</v>
      </c>
      <c r="X16" s="5">
        <v>-4</v>
      </c>
      <c r="Y16" s="5">
        <v>-11</v>
      </c>
      <c r="Z16" s="5">
        <v>51</v>
      </c>
      <c r="AA16" s="5">
        <v>-7</v>
      </c>
      <c r="AB16" s="5">
        <v>0</v>
      </c>
      <c r="AC16" s="5">
        <v>7</v>
      </c>
      <c r="AD16" s="5">
        <v>-19</v>
      </c>
      <c r="AE16" s="5">
        <v>-18</v>
      </c>
      <c r="AF16" s="5">
        <v>-38</v>
      </c>
      <c r="AG16" s="5">
        <v>-5</v>
      </c>
      <c r="AH16" s="5">
        <v>13</v>
      </c>
      <c r="AI16" s="5">
        <v>-7</v>
      </c>
      <c r="AJ16" s="5">
        <v>10</v>
      </c>
      <c r="AK16" s="5">
        <v>19</v>
      </c>
      <c r="AL16" s="6">
        <v>-7</v>
      </c>
    </row>
    <row r="17" spans="1:38">
      <c r="A17" s="4">
        <v>-26</v>
      </c>
      <c r="B17" s="5">
        <v>9</v>
      </c>
      <c r="C17" s="5">
        <v>-17</v>
      </c>
      <c r="D17" s="5">
        <v>-4</v>
      </c>
      <c r="E17" s="5">
        <v>-18</v>
      </c>
      <c r="F17" s="5">
        <v>17</v>
      </c>
      <c r="G17" s="5">
        <v>0</v>
      </c>
      <c r="H17" s="5">
        <v>17</v>
      </c>
      <c r="I17" s="5">
        <v>-4</v>
      </c>
      <c r="J17" s="5">
        <v>-11</v>
      </c>
      <c r="K17" s="5">
        <v>-10</v>
      </c>
      <c r="L17" s="5">
        <v>-3</v>
      </c>
      <c r="M17" s="5">
        <v>24</v>
      </c>
      <c r="N17" s="5">
        <v>4</v>
      </c>
      <c r="O17" s="5">
        <v>-2</v>
      </c>
      <c r="P17" s="5">
        <v>15</v>
      </c>
      <c r="Q17" s="5">
        <v>-17</v>
      </c>
      <c r="R17" s="5">
        <v>22</v>
      </c>
      <c r="S17" s="5">
        <v>5</v>
      </c>
      <c r="T17" s="5">
        <v>-4</v>
      </c>
      <c r="U17" s="5">
        <v>3</v>
      </c>
      <c r="V17" s="5">
        <v>-23</v>
      </c>
      <c r="W17" s="5">
        <v>-1</v>
      </c>
      <c r="X17" s="5">
        <v>15</v>
      </c>
      <c r="Y17" s="5">
        <v>-1</v>
      </c>
      <c r="Z17" s="5">
        <v>-5</v>
      </c>
      <c r="AA17" s="5">
        <v>-20</v>
      </c>
      <c r="AB17" s="5">
        <v>-7</v>
      </c>
      <c r="AC17" s="5">
        <v>-6</v>
      </c>
      <c r="AD17" s="5">
        <v>-15</v>
      </c>
      <c r="AE17" s="5">
        <v>26</v>
      </c>
      <c r="AF17" s="5">
        <v>-22</v>
      </c>
      <c r="AG17" s="5">
        <v>-2</v>
      </c>
      <c r="AH17" s="5">
        <v>11</v>
      </c>
      <c r="AI17" s="5">
        <v>29</v>
      </c>
      <c r="AJ17" s="5">
        <v>-18</v>
      </c>
      <c r="AK17" s="5">
        <v>-12</v>
      </c>
      <c r="AL17" s="6">
        <v>12</v>
      </c>
    </row>
    <row r="18" spans="1:38">
      <c r="A18" s="4">
        <v>-18</v>
      </c>
      <c r="B18" s="5">
        <v>31</v>
      </c>
      <c r="C18" s="5">
        <v>-3</v>
      </c>
      <c r="D18" s="5">
        <v>-22</v>
      </c>
      <c r="E18" s="5">
        <v>-31</v>
      </c>
      <c r="F18" s="5">
        <v>43</v>
      </c>
      <c r="G18" s="5">
        <v>7</v>
      </c>
      <c r="H18" s="5">
        <v>1</v>
      </c>
      <c r="I18" s="5">
        <v>-12</v>
      </c>
      <c r="J18" s="5">
        <v>2</v>
      </c>
      <c r="K18" s="5">
        <v>15</v>
      </c>
      <c r="L18" s="5">
        <v>-11</v>
      </c>
      <c r="M18" s="5">
        <v>4</v>
      </c>
      <c r="N18" s="5">
        <v>-4</v>
      </c>
      <c r="O18" s="5">
        <v>1</v>
      </c>
      <c r="P18" s="5">
        <v>11</v>
      </c>
      <c r="Q18" s="5">
        <v>-24</v>
      </c>
      <c r="R18" s="5">
        <v>13</v>
      </c>
      <c r="S18" s="5">
        <v>-8</v>
      </c>
      <c r="T18" s="5">
        <v>16</v>
      </c>
      <c r="U18" s="5">
        <v>7</v>
      </c>
      <c r="V18" s="5">
        <v>-18</v>
      </c>
      <c r="W18" s="5">
        <v>-2</v>
      </c>
      <c r="X18" s="5">
        <v>12</v>
      </c>
      <c r="Y18" s="5">
        <v>-28</v>
      </c>
      <c r="Z18" s="5">
        <v>8</v>
      </c>
      <c r="AA18" s="5">
        <v>-13</v>
      </c>
      <c r="AB18" s="5">
        <v>10</v>
      </c>
      <c r="AC18" s="5">
        <v>-9</v>
      </c>
      <c r="AD18" s="5">
        <v>-18</v>
      </c>
      <c r="AE18" s="5">
        <v>25</v>
      </c>
      <c r="AF18" s="5">
        <v>-32</v>
      </c>
      <c r="AG18" s="5">
        <v>3</v>
      </c>
      <c r="AH18" s="5">
        <v>12</v>
      </c>
      <c r="AI18" s="5">
        <v>64</v>
      </c>
      <c r="AJ18" s="5">
        <v>-6</v>
      </c>
      <c r="AK18" s="5">
        <v>5</v>
      </c>
      <c r="AL18" s="6">
        <v>14</v>
      </c>
    </row>
    <row r="19" spans="1:38">
      <c r="A19" s="4">
        <v>0</v>
      </c>
      <c r="B19" s="5">
        <v>-3</v>
      </c>
      <c r="C19" s="5">
        <v>-5</v>
      </c>
      <c r="D19" s="5">
        <v>-2</v>
      </c>
      <c r="E19" s="5">
        <v>-15</v>
      </c>
      <c r="F19" s="5">
        <v>8</v>
      </c>
      <c r="G19" s="5">
        <v>4</v>
      </c>
      <c r="H19" s="5">
        <v>7</v>
      </c>
      <c r="I19" s="5">
        <v>17</v>
      </c>
      <c r="J19" s="5">
        <v>11</v>
      </c>
      <c r="K19" s="5">
        <v>17</v>
      </c>
      <c r="L19" s="5">
        <v>19</v>
      </c>
      <c r="M19" s="5">
        <v>-22</v>
      </c>
      <c r="N19" s="5">
        <v>-18</v>
      </c>
      <c r="O19" s="5">
        <v>2</v>
      </c>
      <c r="P19" s="5">
        <v>14</v>
      </c>
      <c r="Q19" s="5">
        <v>9</v>
      </c>
      <c r="R19" s="5">
        <v>4</v>
      </c>
      <c r="S19" s="5">
        <v>-9</v>
      </c>
      <c r="T19" s="5">
        <v>-9</v>
      </c>
      <c r="U19" s="5">
        <v>9</v>
      </c>
      <c r="V19" s="5">
        <v>11</v>
      </c>
      <c r="W19" s="5">
        <v>-4</v>
      </c>
      <c r="X19" s="5">
        <v>3</v>
      </c>
      <c r="Y19" s="5">
        <v>-7</v>
      </c>
      <c r="Z19" s="5">
        <v>29</v>
      </c>
      <c r="AA19" s="5">
        <v>-1</v>
      </c>
      <c r="AB19" s="5">
        <v>-18</v>
      </c>
      <c r="AC19" s="5">
        <v>20</v>
      </c>
      <c r="AD19" s="5">
        <v>-4</v>
      </c>
      <c r="AE19" s="5">
        <v>-6</v>
      </c>
      <c r="AF19" s="5">
        <v>11</v>
      </c>
      <c r="AG19" s="5">
        <v>-9</v>
      </c>
      <c r="AH19" s="5">
        <v>16</v>
      </c>
      <c r="AI19" s="5">
        <v>-13</v>
      </c>
      <c r="AJ19" s="5">
        <v>17</v>
      </c>
      <c r="AK19" s="5">
        <v>12</v>
      </c>
      <c r="AL19" s="6">
        <v>5</v>
      </c>
    </row>
    <row r="20" spans="1:38">
      <c r="A20" s="4">
        <v>-36</v>
      </c>
      <c r="B20" s="5">
        <v>-11</v>
      </c>
      <c r="C20" s="5">
        <v>-35</v>
      </c>
      <c r="D20" s="5">
        <v>-22</v>
      </c>
      <c r="E20" s="5">
        <v>-66</v>
      </c>
      <c r="F20" s="5">
        <v>13</v>
      </c>
      <c r="G20" s="5">
        <v>41</v>
      </c>
      <c r="H20" s="5">
        <v>32</v>
      </c>
      <c r="I20" s="5">
        <v>32</v>
      </c>
      <c r="J20" s="5">
        <v>-7</v>
      </c>
      <c r="K20" s="5">
        <v>-18</v>
      </c>
      <c r="L20" s="5">
        <v>-12</v>
      </c>
      <c r="M20" s="5">
        <v>2</v>
      </c>
      <c r="N20" s="5">
        <v>37</v>
      </c>
      <c r="O20" s="5">
        <v>-22</v>
      </c>
      <c r="P20" s="5">
        <v>-16</v>
      </c>
      <c r="Q20" s="5">
        <v>21</v>
      </c>
      <c r="R20" s="5">
        <v>45</v>
      </c>
      <c r="S20" s="5">
        <v>8</v>
      </c>
      <c r="T20" s="5">
        <v>-29</v>
      </c>
      <c r="U20" s="5">
        <v>2</v>
      </c>
      <c r="V20" s="5">
        <v>5</v>
      </c>
      <c r="W20" s="5">
        <v>40</v>
      </c>
      <c r="X20" s="5">
        <v>23</v>
      </c>
      <c r="Y20" s="5">
        <v>-17</v>
      </c>
      <c r="Z20" s="5">
        <v>-11</v>
      </c>
      <c r="AA20" s="5">
        <v>4</v>
      </c>
      <c r="AB20" s="5">
        <v>9</v>
      </c>
      <c r="AC20" s="5">
        <v>-3</v>
      </c>
      <c r="AD20" s="5">
        <v>-4</v>
      </c>
      <c r="AE20" s="5">
        <v>15</v>
      </c>
      <c r="AF20" s="5">
        <v>4</v>
      </c>
      <c r="AG20" s="5">
        <v>25</v>
      </c>
      <c r="AH20" s="5">
        <v>46</v>
      </c>
      <c r="AI20" s="5">
        <v>8</v>
      </c>
      <c r="AJ20" s="5">
        <v>-15</v>
      </c>
      <c r="AK20" s="5">
        <v>-13</v>
      </c>
      <c r="AL20" s="6">
        <v>-33</v>
      </c>
    </row>
    <row r="21" spans="1:38">
      <c r="A21" s="4">
        <v>-31</v>
      </c>
      <c r="B21" s="5">
        <v>14</v>
      </c>
      <c r="C21" s="5">
        <v>-41</v>
      </c>
      <c r="D21" s="5">
        <v>43</v>
      </c>
      <c r="E21" s="5">
        <v>73</v>
      </c>
      <c r="F21" s="5">
        <v>-2</v>
      </c>
      <c r="G21" s="5">
        <v>-29</v>
      </c>
      <c r="H21" s="5">
        <v>24</v>
      </c>
      <c r="I21" s="5">
        <v>-28</v>
      </c>
      <c r="J21" s="5">
        <v>0</v>
      </c>
      <c r="K21" s="5">
        <v>-13</v>
      </c>
      <c r="L21" s="5">
        <v>9</v>
      </c>
      <c r="M21" s="5">
        <v>-19</v>
      </c>
      <c r="N21" s="5">
        <v>33</v>
      </c>
      <c r="O21" s="5">
        <v>-10</v>
      </c>
      <c r="P21" s="5">
        <v>40</v>
      </c>
      <c r="Q21" s="5">
        <v>49</v>
      </c>
      <c r="R21" s="5">
        <v>-8</v>
      </c>
      <c r="S21" s="5">
        <v>3</v>
      </c>
      <c r="T21" s="5">
        <v>10</v>
      </c>
      <c r="U21" s="5">
        <v>4</v>
      </c>
      <c r="V21" s="5">
        <v>-7</v>
      </c>
      <c r="W21" s="5">
        <v>18</v>
      </c>
      <c r="X21" s="5">
        <v>-12</v>
      </c>
      <c r="Y21" s="5">
        <v>-15</v>
      </c>
      <c r="Z21" s="5">
        <v>12</v>
      </c>
      <c r="AA21" s="5">
        <v>-30</v>
      </c>
      <c r="AB21" s="5">
        <v>6</v>
      </c>
      <c r="AC21" s="5">
        <v>-11</v>
      </c>
      <c r="AD21" s="5">
        <v>1</v>
      </c>
      <c r="AE21" s="5">
        <v>-15</v>
      </c>
      <c r="AF21" s="5">
        <v>-20</v>
      </c>
      <c r="AG21" s="5">
        <v>-32</v>
      </c>
      <c r="AH21" s="5">
        <v>6</v>
      </c>
      <c r="AI21" s="5">
        <v>12</v>
      </c>
      <c r="AJ21" s="5">
        <v>20</v>
      </c>
      <c r="AK21" s="5">
        <v>-25</v>
      </c>
      <c r="AL21" s="6">
        <v>0</v>
      </c>
    </row>
    <row r="22" spans="1:38">
      <c r="A22" s="4">
        <v>7</v>
      </c>
      <c r="B22" s="5">
        <v>39</v>
      </c>
      <c r="C22" s="5">
        <v>-9</v>
      </c>
      <c r="D22" s="5">
        <v>-4</v>
      </c>
      <c r="E22" s="5">
        <v>14</v>
      </c>
      <c r="F22" s="5">
        <v>28</v>
      </c>
      <c r="G22" s="5">
        <v>-19</v>
      </c>
      <c r="H22" s="5">
        <v>-2</v>
      </c>
      <c r="I22" s="5">
        <v>-15</v>
      </c>
      <c r="J22" s="5">
        <v>25</v>
      </c>
      <c r="K22" s="5">
        <v>28</v>
      </c>
      <c r="L22" s="5">
        <v>16</v>
      </c>
      <c r="M22" s="5">
        <v>-14</v>
      </c>
      <c r="N22" s="5">
        <v>8</v>
      </c>
      <c r="O22" s="5">
        <v>17</v>
      </c>
      <c r="P22" s="5">
        <v>13</v>
      </c>
      <c r="Q22" s="5">
        <v>18</v>
      </c>
      <c r="R22" s="5">
        <v>15</v>
      </c>
      <c r="S22" s="5">
        <v>4</v>
      </c>
      <c r="T22" s="5">
        <v>-3</v>
      </c>
      <c r="U22" s="5">
        <v>-23</v>
      </c>
      <c r="V22" s="5">
        <v>15</v>
      </c>
      <c r="W22" s="5">
        <v>10</v>
      </c>
      <c r="X22" s="5">
        <v>-1</v>
      </c>
      <c r="Y22" s="5">
        <v>-26</v>
      </c>
      <c r="Z22" s="5">
        <v>17</v>
      </c>
      <c r="AA22" s="5">
        <v>19</v>
      </c>
      <c r="AB22" s="5">
        <v>-11</v>
      </c>
      <c r="AC22" s="5">
        <v>-8</v>
      </c>
      <c r="AD22" s="5">
        <v>-30</v>
      </c>
      <c r="AE22" s="5">
        <v>11</v>
      </c>
      <c r="AF22" s="5">
        <v>24</v>
      </c>
      <c r="AG22" s="5">
        <v>-17</v>
      </c>
      <c r="AH22" s="5">
        <v>1</v>
      </c>
      <c r="AI22" s="5">
        <v>-15</v>
      </c>
      <c r="AJ22" s="5">
        <v>-12</v>
      </c>
      <c r="AK22" s="5">
        <v>3</v>
      </c>
      <c r="AL22" s="6">
        <v>-14</v>
      </c>
    </row>
    <row r="23" spans="1:38">
      <c r="A23" s="4">
        <v>-19</v>
      </c>
      <c r="B23" s="5">
        <v>51</v>
      </c>
      <c r="C23" s="5">
        <v>-35</v>
      </c>
      <c r="D23" s="5">
        <v>18</v>
      </c>
      <c r="E23" s="5">
        <v>33</v>
      </c>
      <c r="F23" s="5">
        <v>-11</v>
      </c>
      <c r="G23" s="5">
        <v>-16</v>
      </c>
      <c r="H23" s="5">
        <v>20</v>
      </c>
      <c r="I23" s="5">
        <v>26</v>
      </c>
      <c r="J23" s="5">
        <v>5</v>
      </c>
      <c r="K23" s="5">
        <v>11</v>
      </c>
      <c r="L23" s="5">
        <v>15</v>
      </c>
      <c r="M23" s="5">
        <v>3</v>
      </c>
      <c r="N23" s="5">
        <v>33</v>
      </c>
      <c r="O23" s="5">
        <v>-7</v>
      </c>
      <c r="P23" s="5">
        <v>10</v>
      </c>
      <c r="Q23" s="5">
        <v>23</v>
      </c>
      <c r="R23" s="5">
        <v>18</v>
      </c>
      <c r="S23" s="5">
        <v>6</v>
      </c>
      <c r="T23" s="5">
        <v>2</v>
      </c>
      <c r="U23" s="5">
        <v>-14</v>
      </c>
      <c r="V23" s="5">
        <v>2</v>
      </c>
      <c r="W23" s="5">
        <v>-2</v>
      </c>
      <c r="X23" s="5">
        <v>-20</v>
      </c>
      <c r="Y23" s="5">
        <v>-18</v>
      </c>
      <c r="Z23" s="5">
        <v>-6</v>
      </c>
      <c r="AA23" s="5">
        <v>-5</v>
      </c>
      <c r="AB23" s="5">
        <v>20</v>
      </c>
      <c r="AC23" s="5">
        <v>1</v>
      </c>
      <c r="AD23" s="5">
        <v>-12</v>
      </c>
      <c r="AE23" s="5">
        <v>22</v>
      </c>
      <c r="AF23" s="5">
        <v>3</v>
      </c>
      <c r="AG23" s="5">
        <v>-41</v>
      </c>
      <c r="AH23" s="5">
        <v>-25</v>
      </c>
      <c r="AI23" s="5">
        <v>-19</v>
      </c>
      <c r="AJ23" s="5">
        <v>3</v>
      </c>
      <c r="AK23" s="5">
        <v>-23</v>
      </c>
      <c r="AL23" s="6">
        <v>-12</v>
      </c>
    </row>
    <row r="24" spans="1:38">
      <c r="A24" s="4">
        <v>-4</v>
      </c>
      <c r="B24" s="5">
        <v>19</v>
      </c>
      <c r="C24" s="5">
        <v>3</v>
      </c>
      <c r="D24" s="5">
        <v>12</v>
      </c>
      <c r="E24" s="5">
        <v>14</v>
      </c>
      <c r="F24" s="5">
        <v>-18</v>
      </c>
      <c r="G24" s="5">
        <v>-19</v>
      </c>
      <c r="H24" s="5">
        <v>16</v>
      </c>
      <c r="I24" s="5">
        <v>10</v>
      </c>
      <c r="J24" s="5">
        <v>-1</v>
      </c>
      <c r="K24" s="5">
        <v>3</v>
      </c>
      <c r="L24" s="5">
        <v>2</v>
      </c>
      <c r="M24" s="5">
        <v>1</v>
      </c>
      <c r="N24" s="5">
        <v>17</v>
      </c>
      <c r="O24" s="5">
        <v>-5</v>
      </c>
      <c r="P24" s="5">
        <v>8</v>
      </c>
      <c r="Q24" s="5">
        <v>18</v>
      </c>
      <c r="R24" s="5">
        <v>8</v>
      </c>
      <c r="S24" s="5">
        <v>4</v>
      </c>
      <c r="T24" s="5">
        <v>14</v>
      </c>
      <c r="U24" s="5">
        <v>-11</v>
      </c>
      <c r="V24" s="5">
        <v>16</v>
      </c>
      <c r="W24" s="5">
        <v>-8</v>
      </c>
      <c r="X24" s="5">
        <v>-14</v>
      </c>
      <c r="Y24" s="5">
        <v>-9</v>
      </c>
      <c r="Z24" s="5">
        <v>-6</v>
      </c>
      <c r="AA24" s="5">
        <v>15</v>
      </c>
      <c r="AB24" s="5">
        <v>0</v>
      </c>
      <c r="AC24" s="5">
        <v>10</v>
      </c>
      <c r="AD24" s="5">
        <v>3</v>
      </c>
      <c r="AE24" s="5">
        <v>1</v>
      </c>
      <c r="AF24" s="5">
        <v>6</v>
      </c>
      <c r="AG24" s="5">
        <v>-9</v>
      </c>
      <c r="AH24" s="5">
        <v>25</v>
      </c>
      <c r="AI24" s="5">
        <v>0</v>
      </c>
      <c r="AJ24" s="5">
        <v>8</v>
      </c>
      <c r="AK24" s="5">
        <v>1</v>
      </c>
      <c r="AL24" s="6">
        <v>-7</v>
      </c>
    </row>
    <row r="25" spans="1:38">
      <c r="A25" s="4">
        <v>-5</v>
      </c>
      <c r="B25" s="5">
        <v>20</v>
      </c>
      <c r="C25" s="5">
        <v>-23</v>
      </c>
      <c r="D25" s="5">
        <v>-2</v>
      </c>
      <c r="E25" s="5">
        <v>-18</v>
      </c>
      <c r="F25" s="5">
        <v>19</v>
      </c>
      <c r="G25" s="5">
        <v>8</v>
      </c>
      <c r="H25" s="5">
        <v>-14</v>
      </c>
      <c r="I25" s="5">
        <v>20</v>
      </c>
      <c r="J25" s="5">
        <v>3</v>
      </c>
      <c r="K25" s="5">
        <v>12</v>
      </c>
      <c r="L25" s="5">
        <v>11</v>
      </c>
      <c r="M25" s="5">
        <v>-27</v>
      </c>
      <c r="N25" s="5">
        <v>-8</v>
      </c>
      <c r="O25" s="5">
        <v>3</v>
      </c>
      <c r="P25" s="5">
        <v>20</v>
      </c>
      <c r="Q25" s="5">
        <v>10</v>
      </c>
      <c r="R25" s="5">
        <v>22</v>
      </c>
      <c r="S25" s="5">
        <v>7</v>
      </c>
      <c r="T25" s="5">
        <v>10</v>
      </c>
      <c r="U25" s="5">
        <v>9</v>
      </c>
      <c r="V25" s="5">
        <v>-1</v>
      </c>
      <c r="W25" s="5">
        <v>6</v>
      </c>
      <c r="X25" s="5">
        <v>-5</v>
      </c>
      <c r="Y25" s="5">
        <v>16</v>
      </c>
      <c r="Z25" s="5">
        <v>25</v>
      </c>
      <c r="AA25" s="5">
        <v>-13</v>
      </c>
      <c r="AB25" s="5">
        <v>-23</v>
      </c>
      <c r="AC25" s="5">
        <v>-11</v>
      </c>
      <c r="AD25" s="5">
        <v>-5</v>
      </c>
      <c r="AE25" s="5">
        <v>-1</v>
      </c>
      <c r="AF25" s="5">
        <v>12</v>
      </c>
      <c r="AG25" s="5">
        <v>20</v>
      </c>
      <c r="AH25" s="5">
        <v>-11</v>
      </c>
      <c r="AI25" s="5">
        <v>-1</v>
      </c>
      <c r="AJ25" s="5">
        <v>-8</v>
      </c>
      <c r="AK25" s="5">
        <v>18</v>
      </c>
      <c r="AL25" s="6">
        <v>-6</v>
      </c>
    </row>
    <row r="26" spans="1:38">
      <c r="A26" s="4">
        <v>-19</v>
      </c>
      <c r="B26" s="5">
        <v>6</v>
      </c>
      <c r="C26" s="5">
        <v>-21</v>
      </c>
      <c r="D26" s="5">
        <v>-10</v>
      </c>
      <c r="E26" s="5">
        <v>2</v>
      </c>
      <c r="F26" s="5">
        <v>0</v>
      </c>
      <c r="G26" s="5">
        <v>10</v>
      </c>
      <c r="H26" s="5">
        <v>-1</v>
      </c>
      <c r="I26" s="5">
        <v>-5</v>
      </c>
      <c r="J26" s="5">
        <v>-2</v>
      </c>
      <c r="K26" s="5">
        <v>0</v>
      </c>
      <c r="L26" s="5">
        <v>-13</v>
      </c>
      <c r="M26" s="5">
        <v>3</v>
      </c>
      <c r="N26" s="5">
        <v>11</v>
      </c>
      <c r="O26" s="5">
        <v>6</v>
      </c>
      <c r="P26" s="5">
        <v>-17</v>
      </c>
      <c r="Q26" s="5">
        <v>-11</v>
      </c>
      <c r="R26" s="5">
        <v>9</v>
      </c>
      <c r="S26" s="5">
        <v>19</v>
      </c>
      <c r="T26" s="5">
        <v>-17</v>
      </c>
      <c r="U26" s="5">
        <v>-1</v>
      </c>
      <c r="V26" s="5">
        <v>5</v>
      </c>
      <c r="W26" s="5">
        <v>-20</v>
      </c>
      <c r="X26" s="5">
        <v>-23</v>
      </c>
      <c r="Y26" s="5">
        <v>-13</v>
      </c>
      <c r="Z26" s="5">
        <v>-17</v>
      </c>
      <c r="AA26" s="5">
        <v>0</v>
      </c>
      <c r="AB26" s="5">
        <v>10</v>
      </c>
      <c r="AC26" s="5">
        <v>-29</v>
      </c>
      <c r="AD26" s="5">
        <v>2</v>
      </c>
      <c r="AE26" s="5">
        <v>-12</v>
      </c>
      <c r="AF26" s="5">
        <v>-10</v>
      </c>
      <c r="AG26" s="5">
        <v>9</v>
      </c>
      <c r="AH26" s="5">
        <v>1</v>
      </c>
      <c r="AI26" s="5">
        <v>15</v>
      </c>
      <c r="AJ26" s="5">
        <v>14</v>
      </c>
      <c r="AK26" s="5">
        <v>-1</v>
      </c>
      <c r="AL26" s="6">
        <v>-15</v>
      </c>
    </row>
    <row r="27" spans="1:38">
      <c r="A27" s="4">
        <v>-48</v>
      </c>
      <c r="B27" s="5">
        <v>-25</v>
      </c>
      <c r="C27" s="5">
        <v>-15</v>
      </c>
      <c r="D27" s="5">
        <v>-18</v>
      </c>
      <c r="E27" s="5">
        <v>-6</v>
      </c>
      <c r="F27" s="5">
        <v>29</v>
      </c>
      <c r="G27" s="5">
        <v>1</v>
      </c>
      <c r="H27" s="5">
        <v>-5</v>
      </c>
      <c r="I27" s="5">
        <v>28</v>
      </c>
      <c r="J27" s="5">
        <v>2</v>
      </c>
      <c r="K27" s="5">
        <v>1</v>
      </c>
      <c r="L27" s="5">
        <v>-7</v>
      </c>
      <c r="M27" s="5">
        <v>7</v>
      </c>
      <c r="N27" s="5">
        <v>10</v>
      </c>
      <c r="O27" s="5">
        <v>0</v>
      </c>
      <c r="P27" s="5">
        <v>-31</v>
      </c>
      <c r="Q27" s="5">
        <v>-2</v>
      </c>
      <c r="R27" s="5">
        <v>11</v>
      </c>
      <c r="S27" s="5">
        <v>9</v>
      </c>
      <c r="T27" s="5">
        <v>-11</v>
      </c>
      <c r="U27" s="5">
        <v>-8</v>
      </c>
      <c r="V27" s="5">
        <v>13</v>
      </c>
      <c r="W27" s="5">
        <v>11</v>
      </c>
      <c r="X27" s="5">
        <v>-24</v>
      </c>
      <c r="Y27" s="5">
        <v>-34</v>
      </c>
      <c r="Z27" s="5">
        <v>-9</v>
      </c>
      <c r="AA27" s="5">
        <v>-19</v>
      </c>
      <c r="AB27" s="5">
        <v>18</v>
      </c>
      <c r="AC27" s="5">
        <v>-43</v>
      </c>
      <c r="AD27" s="5">
        <v>-6</v>
      </c>
      <c r="AE27" s="5">
        <v>14</v>
      </c>
      <c r="AF27" s="5">
        <v>-8</v>
      </c>
      <c r="AG27" s="5">
        <v>7</v>
      </c>
      <c r="AH27" s="5">
        <v>-2</v>
      </c>
      <c r="AI27" s="5">
        <v>-16</v>
      </c>
      <c r="AJ27" s="5">
        <v>-7</v>
      </c>
      <c r="AK27" s="5">
        <v>21</v>
      </c>
      <c r="AL27" s="6">
        <v>-18</v>
      </c>
    </row>
    <row r="28" spans="1:38">
      <c r="A28" s="4">
        <v>-13</v>
      </c>
      <c r="B28" s="5">
        <v>8</v>
      </c>
      <c r="C28" s="5">
        <v>-13</v>
      </c>
      <c r="D28" s="5">
        <v>-10</v>
      </c>
      <c r="E28" s="5">
        <v>-4</v>
      </c>
      <c r="F28" s="5">
        <v>27</v>
      </c>
      <c r="G28" s="5">
        <v>30</v>
      </c>
      <c r="H28" s="5">
        <v>-15</v>
      </c>
      <c r="I28" s="5">
        <v>24</v>
      </c>
      <c r="J28" s="5">
        <v>28</v>
      </c>
      <c r="K28" s="5">
        <v>36</v>
      </c>
      <c r="L28" s="5">
        <v>17</v>
      </c>
      <c r="M28" s="5">
        <v>-13</v>
      </c>
      <c r="N28" s="5">
        <v>28</v>
      </c>
      <c r="O28" s="5">
        <v>-15</v>
      </c>
      <c r="P28" s="5">
        <v>-7</v>
      </c>
      <c r="Q28" s="5">
        <v>6</v>
      </c>
      <c r="R28" s="5">
        <v>18</v>
      </c>
      <c r="S28" s="5">
        <v>12</v>
      </c>
      <c r="T28" s="5">
        <v>-13</v>
      </c>
      <c r="U28" s="5">
        <v>30</v>
      </c>
      <c r="V28" s="5">
        <v>7</v>
      </c>
      <c r="W28" s="5">
        <v>5</v>
      </c>
      <c r="X28" s="5">
        <v>9</v>
      </c>
      <c r="Y28" s="5">
        <v>12</v>
      </c>
      <c r="Z28" s="5">
        <v>0</v>
      </c>
      <c r="AA28" s="5">
        <v>-2</v>
      </c>
      <c r="AB28" s="5">
        <v>-27</v>
      </c>
      <c r="AC28" s="5">
        <v>-32</v>
      </c>
      <c r="AD28" s="5">
        <v>10</v>
      </c>
      <c r="AE28" s="5">
        <v>20</v>
      </c>
      <c r="AF28" s="5">
        <v>5</v>
      </c>
      <c r="AG28" s="5">
        <v>23</v>
      </c>
      <c r="AH28" s="5">
        <v>-1</v>
      </c>
      <c r="AI28" s="5">
        <v>-23</v>
      </c>
      <c r="AJ28" s="5">
        <v>-31</v>
      </c>
      <c r="AK28" s="5">
        <v>7</v>
      </c>
      <c r="AL28" s="6">
        <v>-33</v>
      </c>
    </row>
    <row r="29" spans="1:38">
      <c r="A29" s="4">
        <v>-14</v>
      </c>
      <c r="B29" s="5">
        <v>5</v>
      </c>
      <c r="C29" s="5">
        <v>-2</v>
      </c>
      <c r="D29" s="5">
        <v>-6</v>
      </c>
      <c r="E29" s="5">
        <v>-13</v>
      </c>
      <c r="F29" s="5">
        <v>5</v>
      </c>
      <c r="G29" s="5">
        <v>-4</v>
      </c>
      <c r="H29" s="5">
        <v>20</v>
      </c>
      <c r="I29" s="5">
        <v>-1</v>
      </c>
      <c r="J29" s="5">
        <v>-2</v>
      </c>
      <c r="K29" s="5">
        <v>2</v>
      </c>
      <c r="L29" s="5">
        <v>-15</v>
      </c>
      <c r="M29" s="5">
        <v>-3</v>
      </c>
      <c r="N29" s="5">
        <v>8</v>
      </c>
      <c r="O29" s="5">
        <v>6</v>
      </c>
      <c r="P29" s="5">
        <v>9</v>
      </c>
      <c r="Q29" s="5">
        <v>1</v>
      </c>
      <c r="R29" s="5">
        <v>-1</v>
      </c>
      <c r="S29" s="5">
        <v>-1</v>
      </c>
      <c r="T29" s="5">
        <v>-1</v>
      </c>
      <c r="U29" s="5">
        <v>-13</v>
      </c>
      <c r="V29" s="5">
        <v>5</v>
      </c>
      <c r="W29" s="5">
        <v>8</v>
      </c>
      <c r="X29" s="5">
        <v>5</v>
      </c>
      <c r="Y29" s="5">
        <v>-1</v>
      </c>
      <c r="Z29" s="5">
        <v>-6</v>
      </c>
      <c r="AA29" s="5">
        <v>-13</v>
      </c>
      <c r="AB29" s="5">
        <v>15</v>
      </c>
      <c r="AC29" s="5">
        <v>-13</v>
      </c>
      <c r="AD29" s="5">
        <v>1</v>
      </c>
      <c r="AE29" s="5">
        <v>9</v>
      </c>
      <c r="AF29" s="5">
        <v>5</v>
      </c>
      <c r="AG29" s="5">
        <v>11</v>
      </c>
      <c r="AH29" s="5">
        <v>7</v>
      </c>
      <c r="AI29" s="5">
        <v>5</v>
      </c>
      <c r="AJ29" s="5">
        <v>6</v>
      </c>
      <c r="AK29" s="5">
        <v>3</v>
      </c>
      <c r="AL29" s="6">
        <v>6</v>
      </c>
    </row>
    <row r="30" spans="1:38">
      <c r="A30" s="4">
        <v>-1</v>
      </c>
      <c r="B30" s="5">
        <v>3</v>
      </c>
      <c r="C30" s="5">
        <v>2</v>
      </c>
      <c r="D30" s="5">
        <v>-1</v>
      </c>
      <c r="E30" s="5">
        <v>-10</v>
      </c>
      <c r="F30" s="5">
        <v>7</v>
      </c>
      <c r="G30" s="5">
        <v>1</v>
      </c>
      <c r="H30" s="5">
        <v>6</v>
      </c>
      <c r="I30" s="5">
        <v>4</v>
      </c>
      <c r="J30" s="5">
        <v>-1</v>
      </c>
      <c r="K30" s="5">
        <v>2</v>
      </c>
      <c r="L30" s="5">
        <v>-3</v>
      </c>
      <c r="M30" s="5">
        <v>1</v>
      </c>
      <c r="N30" s="5">
        <v>9</v>
      </c>
      <c r="O30" s="5">
        <v>-13</v>
      </c>
      <c r="P30" s="5">
        <v>-3</v>
      </c>
      <c r="Q30" s="5">
        <v>-6</v>
      </c>
      <c r="R30" s="5">
        <v>20</v>
      </c>
      <c r="S30" s="5">
        <v>1</v>
      </c>
      <c r="T30" s="5">
        <v>13</v>
      </c>
      <c r="U30" s="5">
        <v>5</v>
      </c>
      <c r="V30" s="5">
        <v>-7</v>
      </c>
      <c r="W30" s="5">
        <v>15</v>
      </c>
      <c r="X30" s="5">
        <v>7</v>
      </c>
      <c r="Y30" s="5">
        <v>-12</v>
      </c>
      <c r="Z30" s="5">
        <v>0</v>
      </c>
      <c r="AA30" s="5">
        <v>5</v>
      </c>
      <c r="AB30" s="5">
        <v>16</v>
      </c>
      <c r="AC30" s="5">
        <v>-3</v>
      </c>
      <c r="AD30" s="5">
        <v>-4</v>
      </c>
      <c r="AE30" s="5">
        <v>-12</v>
      </c>
      <c r="AF30" s="5">
        <v>-5</v>
      </c>
      <c r="AG30" s="5">
        <v>-3</v>
      </c>
      <c r="AH30" s="5">
        <v>-20</v>
      </c>
      <c r="AI30" s="5">
        <v>10</v>
      </c>
      <c r="AJ30" s="5">
        <v>16</v>
      </c>
      <c r="AK30" s="5">
        <v>0</v>
      </c>
      <c r="AL30" s="6">
        <v>-2</v>
      </c>
    </row>
    <row r="31" spans="1:38">
      <c r="A31" s="4">
        <v>-26</v>
      </c>
      <c r="B31" s="5">
        <v>3</v>
      </c>
      <c r="C31" s="5">
        <v>-19</v>
      </c>
      <c r="D31" s="5">
        <v>-6</v>
      </c>
      <c r="E31" s="5">
        <v>-8</v>
      </c>
      <c r="F31" s="5">
        <v>0</v>
      </c>
      <c r="G31" s="5">
        <v>10</v>
      </c>
      <c r="H31" s="5">
        <v>16</v>
      </c>
      <c r="I31" s="5">
        <v>0</v>
      </c>
      <c r="J31" s="5">
        <v>-2</v>
      </c>
      <c r="K31" s="5">
        <v>-8</v>
      </c>
      <c r="L31" s="5">
        <v>-2</v>
      </c>
      <c r="M31" s="5">
        <v>2</v>
      </c>
      <c r="N31" s="5">
        <v>21</v>
      </c>
      <c r="O31" s="5">
        <v>-7</v>
      </c>
      <c r="P31" s="5">
        <v>8</v>
      </c>
      <c r="Q31" s="5">
        <v>5</v>
      </c>
      <c r="R31" s="5">
        <v>-5</v>
      </c>
      <c r="S31" s="5">
        <v>23</v>
      </c>
      <c r="T31" s="5">
        <v>-7</v>
      </c>
      <c r="U31" s="5">
        <v>-3</v>
      </c>
      <c r="V31" s="5">
        <v>-10</v>
      </c>
      <c r="W31" s="5">
        <v>-3</v>
      </c>
      <c r="X31" s="5">
        <v>11</v>
      </c>
      <c r="Y31" s="5">
        <v>12</v>
      </c>
      <c r="Z31" s="5">
        <v>-5</v>
      </c>
      <c r="AA31" s="5">
        <v>1</v>
      </c>
      <c r="AB31" s="5">
        <v>17</v>
      </c>
      <c r="AC31" s="5">
        <v>-15</v>
      </c>
      <c r="AD31" s="5">
        <v>-5</v>
      </c>
      <c r="AE31" s="5">
        <v>17</v>
      </c>
      <c r="AF31" s="5">
        <v>5</v>
      </c>
      <c r="AG31" s="5">
        <v>6</v>
      </c>
      <c r="AH31" s="5">
        <v>27</v>
      </c>
      <c r="AI31" s="5">
        <v>-25</v>
      </c>
      <c r="AJ31" s="5">
        <v>1</v>
      </c>
      <c r="AK31" s="5">
        <v>10</v>
      </c>
      <c r="AL31" s="6">
        <v>-39</v>
      </c>
    </row>
    <row r="32" spans="1:38">
      <c r="A32" s="4">
        <v>-3</v>
      </c>
      <c r="B32" s="5">
        <v>6</v>
      </c>
      <c r="C32" s="5">
        <v>-6</v>
      </c>
      <c r="D32" s="5">
        <v>-1</v>
      </c>
      <c r="E32" s="5">
        <v>3</v>
      </c>
      <c r="F32" s="5">
        <v>-3</v>
      </c>
      <c r="G32" s="5">
        <v>0</v>
      </c>
      <c r="H32" s="5">
        <v>5</v>
      </c>
      <c r="I32" s="5">
        <v>0</v>
      </c>
      <c r="J32" s="5">
        <v>1</v>
      </c>
      <c r="K32" s="5">
        <v>3</v>
      </c>
      <c r="L32" s="5">
        <v>-3</v>
      </c>
      <c r="M32" s="5">
        <v>-4</v>
      </c>
      <c r="N32" s="5">
        <v>9</v>
      </c>
      <c r="O32" s="5">
        <v>0</v>
      </c>
      <c r="P32" s="5">
        <v>-4</v>
      </c>
      <c r="Q32" s="5">
        <v>-5</v>
      </c>
      <c r="R32" s="5">
        <v>7</v>
      </c>
      <c r="S32" s="5">
        <v>5</v>
      </c>
      <c r="T32" s="5">
        <v>-2</v>
      </c>
      <c r="U32" s="5">
        <v>-3</v>
      </c>
      <c r="V32" s="5">
        <v>5</v>
      </c>
      <c r="W32" s="5">
        <v>1</v>
      </c>
      <c r="X32" s="5">
        <v>-11</v>
      </c>
      <c r="Y32" s="5">
        <v>-3</v>
      </c>
      <c r="Z32" s="5">
        <v>4</v>
      </c>
      <c r="AA32" s="5">
        <v>17</v>
      </c>
      <c r="AB32" s="5">
        <v>-1</v>
      </c>
      <c r="AC32" s="5">
        <v>-10</v>
      </c>
      <c r="AD32" s="5">
        <v>-6</v>
      </c>
      <c r="AE32" s="5">
        <v>4</v>
      </c>
      <c r="AF32" s="5">
        <v>6</v>
      </c>
      <c r="AG32" s="5">
        <v>1</v>
      </c>
      <c r="AH32" s="5">
        <v>10</v>
      </c>
      <c r="AI32" s="5">
        <v>1</v>
      </c>
      <c r="AJ32" s="5">
        <v>8</v>
      </c>
      <c r="AK32" s="5">
        <v>-2</v>
      </c>
      <c r="AL32" s="6">
        <v>-7</v>
      </c>
    </row>
    <row r="33" spans="1:38">
      <c r="A33" s="4">
        <v>-26</v>
      </c>
      <c r="B33" s="5">
        <v>-7</v>
      </c>
      <c r="C33" s="5">
        <v>-13</v>
      </c>
      <c r="D33" s="5">
        <v>13</v>
      </c>
      <c r="E33" s="5">
        <v>12</v>
      </c>
      <c r="F33" s="5">
        <v>6</v>
      </c>
      <c r="G33" s="5">
        <v>-9</v>
      </c>
      <c r="H33" s="5">
        <v>8</v>
      </c>
      <c r="I33" s="5">
        <v>-18</v>
      </c>
      <c r="J33" s="5">
        <v>-9</v>
      </c>
      <c r="K33" s="5">
        <v>-7</v>
      </c>
      <c r="L33" s="5">
        <v>-5</v>
      </c>
      <c r="M33" s="5">
        <v>1</v>
      </c>
      <c r="N33" s="5">
        <v>-2</v>
      </c>
      <c r="O33" s="5">
        <v>4</v>
      </c>
      <c r="P33" s="5">
        <v>4</v>
      </c>
      <c r="Q33" s="5">
        <v>2</v>
      </c>
      <c r="R33" s="5">
        <v>4</v>
      </c>
      <c r="S33" s="5">
        <v>10</v>
      </c>
      <c r="T33" s="5">
        <v>-11</v>
      </c>
      <c r="U33" s="5">
        <v>-8</v>
      </c>
      <c r="V33" s="5">
        <v>-8</v>
      </c>
      <c r="W33" s="5">
        <v>3</v>
      </c>
      <c r="X33" s="5">
        <v>-5</v>
      </c>
      <c r="Y33" s="5">
        <v>9</v>
      </c>
      <c r="Z33" s="5">
        <v>10</v>
      </c>
      <c r="AA33" s="5">
        <v>-7</v>
      </c>
      <c r="AB33" s="5">
        <v>-6</v>
      </c>
      <c r="AC33" s="5">
        <v>-8</v>
      </c>
      <c r="AD33" s="5">
        <v>-2</v>
      </c>
      <c r="AE33" s="5">
        <v>-4</v>
      </c>
      <c r="AF33" s="5">
        <v>-18</v>
      </c>
      <c r="AG33" s="5">
        <v>0</v>
      </c>
      <c r="AH33" s="5">
        <v>12</v>
      </c>
      <c r="AI33" s="5">
        <v>5</v>
      </c>
      <c r="AJ33" s="5">
        <v>12</v>
      </c>
      <c r="AK33" s="5">
        <v>-12</v>
      </c>
      <c r="AL33" s="6">
        <v>9</v>
      </c>
    </row>
    <row r="34" spans="1:38">
      <c r="A34" s="4">
        <v>-26</v>
      </c>
      <c r="B34" s="5">
        <v>10</v>
      </c>
      <c r="C34" s="5">
        <v>-10</v>
      </c>
      <c r="D34" s="5">
        <v>-7</v>
      </c>
      <c r="E34" s="5">
        <v>-19</v>
      </c>
      <c r="F34" s="5">
        <v>-5</v>
      </c>
      <c r="G34" s="5">
        <v>4</v>
      </c>
      <c r="H34" s="5">
        <v>10</v>
      </c>
      <c r="I34" s="5">
        <v>14</v>
      </c>
      <c r="J34" s="5">
        <v>-10</v>
      </c>
      <c r="K34" s="5">
        <v>5</v>
      </c>
      <c r="L34" s="5">
        <v>-10</v>
      </c>
      <c r="M34" s="5">
        <v>1</v>
      </c>
      <c r="N34" s="5">
        <v>-2</v>
      </c>
      <c r="O34" s="5">
        <v>-9</v>
      </c>
      <c r="P34" s="5">
        <v>44</v>
      </c>
      <c r="Q34" s="5">
        <v>8</v>
      </c>
      <c r="R34" s="5">
        <v>-1</v>
      </c>
      <c r="S34" s="5">
        <v>4</v>
      </c>
      <c r="T34" s="5">
        <v>-33</v>
      </c>
      <c r="U34" s="5">
        <v>-8</v>
      </c>
      <c r="V34" s="5">
        <v>-6</v>
      </c>
      <c r="W34" s="5">
        <v>15</v>
      </c>
      <c r="X34" s="5">
        <v>29</v>
      </c>
      <c r="Y34" s="5">
        <v>17</v>
      </c>
      <c r="Z34" s="5">
        <v>-5</v>
      </c>
      <c r="AA34" s="5">
        <v>6</v>
      </c>
      <c r="AB34" s="5">
        <v>3</v>
      </c>
      <c r="AC34" s="5">
        <v>-18</v>
      </c>
      <c r="AD34" s="5">
        <v>2</v>
      </c>
      <c r="AE34" s="5">
        <v>30</v>
      </c>
      <c r="AF34" s="5">
        <v>-1</v>
      </c>
      <c r="AG34" s="5">
        <v>12</v>
      </c>
      <c r="AH34" s="5">
        <v>13</v>
      </c>
      <c r="AI34" s="5">
        <v>8</v>
      </c>
      <c r="AJ34" s="5">
        <v>14</v>
      </c>
      <c r="AK34" s="5">
        <v>-7</v>
      </c>
      <c r="AL34" s="6">
        <v>-5</v>
      </c>
    </row>
    <row r="35" spans="1:38">
      <c r="A35" s="4">
        <v>-8</v>
      </c>
      <c r="B35" s="5">
        <v>14</v>
      </c>
      <c r="C35" s="5">
        <v>17</v>
      </c>
      <c r="D35" s="5">
        <v>5</v>
      </c>
      <c r="E35" s="5">
        <v>-5</v>
      </c>
      <c r="F35" s="5">
        <v>10</v>
      </c>
      <c r="G35" s="5">
        <v>-5</v>
      </c>
      <c r="H35" s="5">
        <v>27</v>
      </c>
      <c r="I35" s="5">
        <v>17</v>
      </c>
      <c r="J35" s="5">
        <v>-5</v>
      </c>
      <c r="K35" s="5">
        <v>-7</v>
      </c>
      <c r="L35" s="5">
        <v>6</v>
      </c>
      <c r="M35" s="5">
        <v>18</v>
      </c>
      <c r="N35" s="5">
        <v>-10</v>
      </c>
      <c r="O35" s="5">
        <v>-7</v>
      </c>
      <c r="P35" s="5">
        <v>-2</v>
      </c>
      <c r="Q35" s="5">
        <v>12</v>
      </c>
      <c r="R35" s="5">
        <v>-9</v>
      </c>
      <c r="S35" s="5">
        <v>-6</v>
      </c>
      <c r="T35" s="5">
        <v>22</v>
      </c>
      <c r="U35" s="5">
        <v>-15</v>
      </c>
      <c r="V35" s="5">
        <v>-8</v>
      </c>
      <c r="W35" s="5">
        <v>-2</v>
      </c>
      <c r="X35" s="5">
        <v>14</v>
      </c>
      <c r="Y35" s="5">
        <v>26</v>
      </c>
      <c r="Z35" s="5">
        <v>11</v>
      </c>
      <c r="AA35" s="5">
        <v>-4</v>
      </c>
      <c r="AB35" s="5">
        <v>14</v>
      </c>
      <c r="AC35" s="5">
        <v>4</v>
      </c>
      <c r="AD35" s="5">
        <v>7</v>
      </c>
      <c r="AE35" s="5">
        <v>-13</v>
      </c>
      <c r="AF35" s="5">
        <v>24</v>
      </c>
      <c r="AG35" s="5">
        <v>-2</v>
      </c>
      <c r="AH35" s="5">
        <v>9</v>
      </c>
      <c r="AI35" s="5">
        <v>-25</v>
      </c>
      <c r="AJ35" s="5">
        <v>9</v>
      </c>
      <c r="AK35" s="5">
        <v>0</v>
      </c>
      <c r="AL35" s="6">
        <v>2</v>
      </c>
    </row>
    <row r="36" spans="1:38">
      <c r="A36" s="4">
        <v>-26</v>
      </c>
      <c r="B36" s="5">
        <v>16</v>
      </c>
      <c r="C36" s="5">
        <v>2</v>
      </c>
      <c r="D36" s="5">
        <v>13</v>
      </c>
      <c r="E36" s="5">
        <v>30</v>
      </c>
      <c r="F36" s="5">
        <v>-12</v>
      </c>
      <c r="G36" s="5">
        <v>-6</v>
      </c>
      <c r="H36" s="5">
        <v>26</v>
      </c>
      <c r="I36" s="5">
        <v>-30</v>
      </c>
      <c r="J36" s="5">
        <v>-22</v>
      </c>
      <c r="K36" s="5">
        <v>21</v>
      </c>
      <c r="L36" s="5">
        <v>-14</v>
      </c>
      <c r="M36" s="5">
        <v>4</v>
      </c>
      <c r="N36" s="5">
        <v>-7</v>
      </c>
      <c r="O36" s="5">
        <v>15</v>
      </c>
      <c r="P36" s="5">
        <v>31</v>
      </c>
      <c r="Q36" s="5">
        <v>31</v>
      </c>
      <c r="R36" s="5">
        <v>-33</v>
      </c>
      <c r="S36" s="5">
        <v>-10</v>
      </c>
      <c r="T36" s="5">
        <v>-3</v>
      </c>
      <c r="U36" s="5">
        <v>-2</v>
      </c>
      <c r="V36" s="5">
        <v>-14</v>
      </c>
      <c r="W36" s="5">
        <v>14</v>
      </c>
      <c r="X36" s="5">
        <v>-8</v>
      </c>
      <c r="Y36" s="5">
        <v>16</v>
      </c>
      <c r="Z36" s="5">
        <v>-13</v>
      </c>
      <c r="AA36" s="5">
        <v>-22</v>
      </c>
      <c r="AB36" s="5">
        <v>-5</v>
      </c>
      <c r="AC36" s="5">
        <v>-14</v>
      </c>
      <c r="AD36" s="5">
        <v>34</v>
      </c>
      <c r="AE36" s="5">
        <v>15</v>
      </c>
      <c r="AF36" s="5">
        <v>-30</v>
      </c>
      <c r="AG36" s="5">
        <v>-8</v>
      </c>
      <c r="AH36" s="5">
        <v>-2</v>
      </c>
      <c r="AI36" s="5">
        <v>21</v>
      </c>
      <c r="AJ36" s="5">
        <v>-6</v>
      </c>
      <c r="AK36" s="5">
        <v>-2</v>
      </c>
      <c r="AL36" s="6">
        <v>24</v>
      </c>
    </row>
    <row r="37" spans="1:38">
      <c r="A37" s="4">
        <v>-7</v>
      </c>
      <c r="B37" s="5">
        <v>8</v>
      </c>
      <c r="C37" s="5">
        <v>-10</v>
      </c>
      <c r="D37" s="5">
        <v>0</v>
      </c>
      <c r="E37" s="5">
        <v>-19</v>
      </c>
      <c r="F37" s="5">
        <v>4</v>
      </c>
      <c r="G37" s="5">
        <v>4</v>
      </c>
      <c r="H37" s="5">
        <v>8</v>
      </c>
      <c r="I37" s="5">
        <v>11</v>
      </c>
      <c r="J37" s="5">
        <v>-19</v>
      </c>
      <c r="K37" s="5">
        <v>6</v>
      </c>
      <c r="L37" s="5">
        <v>12</v>
      </c>
      <c r="M37" s="5">
        <v>24</v>
      </c>
      <c r="N37" s="5">
        <v>18</v>
      </c>
      <c r="O37" s="5">
        <v>-5</v>
      </c>
      <c r="P37" s="5">
        <v>9</v>
      </c>
      <c r="Q37" s="5">
        <v>1</v>
      </c>
      <c r="R37" s="5">
        <v>35</v>
      </c>
      <c r="S37" s="5">
        <v>-3</v>
      </c>
      <c r="T37" s="5">
        <v>13</v>
      </c>
      <c r="U37" s="5">
        <v>24</v>
      </c>
      <c r="V37" s="5">
        <v>7</v>
      </c>
      <c r="W37" s="5">
        <v>21</v>
      </c>
      <c r="X37" s="5">
        <v>4</v>
      </c>
      <c r="Y37" s="5">
        <v>-11</v>
      </c>
      <c r="Z37" s="5">
        <v>4</v>
      </c>
      <c r="AA37" s="5">
        <v>-18</v>
      </c>
      <c r="AB37" s="5">
        <v>-3</v>
      </c>
      <c r="AC37" s="5">
        <v>0</v>
      </c>
      <c r="AD37" s="5">
        <v>-1</v>
      </c>
      <c r="AE37" s="5">
        <v>-5</v>
      </c>
      <c r="AF37" s="5">
        <v>-6</v>
      </c>
      <c r="AG37" s="5">
        <v>10</v>
      </c>
      <c r="AH37" s="5">
        <v>-22</v>
      </c>
      <c r="AI37" s="5">
        <v>-6</v>
      </c>
      <c r="AJ37" s="5">
        <v>-9</v>
      </c>
      <c r="AK37" s="5">
        <v>11</v>
      </c>
      <c r="AL37" s="6">
        <v>9</v>
      </c>
    </row>
    <row r="38" spans="1:38">
      <c r="A38" s="4">
        <v>-42</v>
      </c>
      <c r="B38" s="5">
        <v>-15</v>
      </c>
      <c r="C38" s="5">
        <v>-42</v>
      </c>
      <c r="D38" s="5">
        <v>6</v>
      </c>
      <c r="E38" s="5">
        <v>-14</v>
      </c>
      <c r="F38" s="5">
        <v>10</v>
      </c>
      <c r="G38" s="5">
        <v>-1</v>
      </c>
      <c r="H38" s="5">
        <v>30</v>
      </c>
      <c r="I38" s="5">
        <v>-34</v>
      </c>
      <c r="J38" s="5">
        <v>-2</v>
      </c>
      <c r="K38" s="5">
        <v>-12</v>
      </c>
      <c r="L38" s="5">
        <v>6</v>
      </c>
      <c r="M38" s="5">
        <v>8</v>
      </c>
      <c r="N38" s="5">
        <v>42</v>
      </c>
      <c r="O38" s="5">
        <v>1</v>
      </c>
      <c r="P38" s="5">
        <v>22</v>
      </c>
      <c r="Q38" s="5">
        <v>-3</v>
      </c>
      <c r="R38" s="5">
        <v>24</v>
      </c>
      <c r="S38" s="5">
        <v>44</v>
      </c>
      <c r="T38" s="5">
        <v>30</v>
      </c>
      <c r="U38" s="5">
        <v>-2</v>
      </c>
      <c r="V38" s="5">
        <v>-31</v>
      </c>
      <c r="W38" s="5">
        <v>-34</v>
      </c>
      <c r="X38" s="5">
        <v>22</v>
      </c>
      <c r="Y38" s="5">
        <v>2</v>
      </c>
      <c r="Z38" s="5">
        <v>19</v>
      </c>
      <c r="AA38" s="5">
        <v>-38</v>
      </c>
      <c r="AB38" s="5">
        <v>-14</v>
      </c>
      <c r="AC38" s="5">
        <v>-19</v>
      </c>
      <c r="AD38" s="5">
        <v>11</v>
      </c>
      <c r="AE38" s="5">
        <v>14</v>
      </c>
      <c r="AF38" s="5">
        <v>-11</v>
      </c>
      <c r="AG38" s="5">
        <v>-7</v>
      </c>
      <c r="AH38" s="5">
        <v>0</v>
      </c>
      <c r="AI38" s="5">
        <v>-43</v>
      </c>
      <c r="AJ38" s="5">
        <v>-22</v>
      </c>
      <c r="AK38" s="5">
        <v>0</v>
      </c>
      <c r="AL38" s="6">
        <v>-9</v>
      </c>
    </row>
    <row r="39" spans="1:38">
      <c r="A39" s="4">
        <v>-34</v>
      </c>
      <c r="B39" s="5">
        <v>7</v>
      </c>
      <c r="C39" s="5">
        <v>-22</v>
      </c>
      <c r="D39" s="5">
        <v>-6</v>
      </c>
      <c r="E39" s="5">
        <v>17</v>
      </c>
      <c r="F39" s="5">
        <v>-7</v>
      </c>
      <c r="G39" s="5">
        <v>0</v>
      </c>
      <c r="H39" s="5">
        <v>-13</v>
      </c>
      <c r="I39" s="5">
        <v>-29</v>
      </c>
      <c r="J39" s="5">
        <v>4</v>
      </c>
      <c r="K39" s="5">
        <v>-22</v>
      </c>
      <c r="L39" s="5">
        <v>32</v>
      </c>
      <c r="M39" s="5">
        <v>12</v>
      </c>
      <c r="N39" s="5">
        <v>-12</v>
      </c>
      <c r="O39" s="5">
        <v>-17</v>
      </c>
      <c r="P39" s="5">
        <v>-16</v>
      </c>
      <c r="Q39" s="5">
        <v>-21</v>
      </c>
      <c r="R39" s="5">
        <v>34</v>
      </c>
      <c r="S39" s="5">
        <v>20</v>
      </c>
      <c r="T39" s="5">
        <v>-22</v>
      </c>
      <c r="U39" s="5">
        <v>14</v>
      </c>
      <c r="V39" s="5">
        <v>22</v>
      </c>
      <c r="W39" s="5">
        <v>-28</v>
      </c>
      <c r="X39" s="5">
        <v>7</v>
      </c>
      <c r="Y39" s="5">
        <v>13</v>
      </c>
      <c r="Z39" s="5">
        <v>-12</v>
      </c>
      <c r="AA39" s="5">
        <v>3</v>
      </c>
      <c r="AB39" s="5">
        <v>2</v>
      </c>
      <c r="AC39" s="5">
        <v>12</v>
      </c>
      <c r="AD39" s="5">
        <v>-5</v>
      </c>
      <c r="AE39" s="5">
        <v>-33</v>
      </c>
      <c r="AF39" s="5">
        <v>-39</v>
      </c>
      <c r="AG39" s="5">
        <v>-7</v>
      </c>
      <c r="AH39" s="5">
        <v>6</v>
      </c>
      <c r="AI39" s="5">
        <v>9</v>
      </c>
      <c r="AJ39" s="5">
        <v>19</v>
      </c>
      <c r="AK39" s="5">
        <v>-7</v>
      </c>
      <c r="AL39" s="6">
        <v>5</v>
      </c>
    </row>
    <row r="40" spans="1:38">
      <c r="A40" s="4">
        <v>-53</v>
      </c>
      <c r="B40" s="5">
        <v>-14</v>
      </c>
      <c r="C40" s="5">
        <v>17</v>
      </c>
      <c r="D40" s="5">
        <v>23</v>
      </c>
      <c r="E40" s="5">
        <v>36</v>
      </c>
      <c r="F40" s="5">
        <v>20</v>
      </c>
      <c r="G40" s="5">
        <v>9</v>
      </c>
      <c r="H40" s="5">
        <v>-4</v>
      </c>
      <c r="I40" s="5">
        <v>-10</v>
      </c>
      <c r="J40" s="5">
        <v>-13</v>
      </c>
      <c r="K40" s="5">
        <v>-31</v>
      </c>
      <c r="L40" s="5">
        <v>12</v>
      </c>
      <c r="M40" s="5">
        <v>-7</v>
      </c>
      <c r="N40" s="5">
        <v>-33</v>
      </c>
      <c r="O40" s="5">
        <v>4</v>
      </c>
      <c r="P40" s="5">
        <v>7</v>
      </c>
      <c r="Q40" s="5">
        <v>-11</v>
      </c>
      <c r="R40" s="5">
        <v>11</v>
      </c>
      <c r="S40" s="5">
        <v>-1</v>
      </c>
      <c r="T40" s="5">
        <v>15</v>
      </c>
      <c r="U40" s="5">
        <v>-5</v>
      </c>
      <c r="V40" s="5">
        <v>-19</v>
      </c>
      <c r="W40" s="5">
        <v>10</v>
      </c>
      <c r="X40" s="5">
        <v>0</v>
      </c>
      <c r="Y40" s="5">
        <v>-10</v>
      </c>
      <c r="Z40" s="5">
        <v>21</v>
      </c>
      <c r="AA40" s="5">
        <v>-44</v>
      </c>
      <c r="AB40" s="5">
        <v>16</v>
      </c>
      <c r="AC40" s="5">
        <v>-5</v>
      </c>
      <c r="AD40" s="5">
        <v>-6</v>
      </c>
      <c r="AE40" s="5">
        <v>-15</v>
      </c>
      <c r="AF40" s="5">
        <v>-19</v>
      </c>
      <c r="AG40" s="5">
        <v>-23</v>
      </c>
      <c r="AH40" s="5">
        <v>5</v>
      </c>
      <c r="AI40" s="5">
        <v>12</v>
      </c>
      <c r="AJ40" s="5">
        <v>-4</v>
      </c>
      <c r="AK40" s="5">
        <v>-7</v>
      </c>
      <c r="AL40" s="6">
        <v>37</v>
      </c>
    </row>
    <row r="41" spans="1:38">
      <c r="A41" s="4">
        <v>14</v>
      </c>
      <c r="B41" s="5">
        <v>33</v>
      </c>
      <c r="C41" s="5">
        <v>1</v>
      </c>
      <c r="D41" s="5">
        <v>-10</v>
      </c>
      <c r="E41" s="5">
        <v>10</v>
      </c>
      <c r="F41" s="5">
        <v>0</v>
      </c>
      <c r="G41" s="5">
        <v>12</v>
      </c>
      <c r="H41" s="5">
        <v>27</v>
      </c>
      <c r="I41" s="5">
        <v>38</v>
      </c>
      <c r="J41" s="5">
        <v>-13</v>
      </c>
      <c r="K41" s="5">
        <v>-31</v>
      </c>
      <c r="L41" s="5">
        <v>-34</v>
      </c>
      <c r="M41" s="5">
        <v>-6</v>
      </c>
      <c r="N41" s="5">
        <v>-3</v>
      </c>
      <c r="O41" s="5">
        <v>12</v>
      </c>
      <c r="P41" s="5">
        <v>-37</v>
      </c>
      <c r="Q41" s="5">
        <v>5</v>
      </c>
      <c r="R41" s="5">
        <v>17</v>
      </c>
      <c r="S41" s="5">
        <v>9</v>
      </c>
      <c r="T41" s="5">
        <v>22</v>
      </c>
      <c r="U41" s="5">
        <v>3</v>
      </c>
      <c r="V41" s="5">
        <v>-4</v>
      </c>
      <c r="W41" s="5">
        <v>0</v>
      </c>
      <c r="X41" s="5">
        <v>19</v>
      </c>
      <c r="Y41" s="5">
        <v>11</v>
      </c>
      <c r="Z41" s="5">
        <v>21</v>
      </c>
      <c r="AA41" s="5">
        <v>38</v>
      </c>
      <c r="AB41" s="5">
        <v>-17</v>
      </c>
      <c r="AC41" s="5">
        <v>40</v>
      </c>
      <c r="AD41" s="5">
        <v>3</v>
      </c>
      <c r="AE41" s="5">
        <v>26</v>
      </c>
      <c r="AF41" s="5">
        <v>-20</v>
      </c>
      <c r="AG41" s="5">
        <v>-5</v>
      </c>
      <c r="AH41" s="5">
        <v>21</v>
      </c>
      <c r="AI41" s="5">
        <v>10</v>
      </c>
      <c r="AJ41" s="5">
        <v>-48</v>
      </c>
      <c r="AK41" s="5">
        <v>14</v>
      </c>
      <c r="AL41" s="6">
        <v>-38</v>
      </c>
    </row>
    <row r="42" spans="1:38">
      <c r="A42" s="4">
        <v>-1</v>
      </c>
      <c r="B42" s="5">
        <v>-3</v>
      </c>
      <c r="C42" s="5">
        <v>27</v>
      </c>
      <c r="D42" s="5">
        <v>12</v>
      </c>
      <c r="E42" s="5">
        <v>13</v>
      </c>
      <c r="F42" s="5">
        <v>-5</v>
      </c>
      <c r="G42" s="5">
        <v>-6</v>
      </c>
      <c r="H42" s="5">
        <v>5</v>
      </c>
      <c r="I42" s="5">
        <v>-4</v>
      </c>
      <c r="J42" s="5">
        <v>-13</v>
      </c>
      <c r="K42" s="5">
        <v>-3</v>
      </c>
      <c r="L42" s="5">
        <v>10</v>
      </c>
      <c r="M42" s="5">
        <v>7</v>
      </c>
      <c r="N42" s="5">
        <v>13</v>
      </c>
      <c r="O42" s="5">
        <v>14</v>
      </c>
      <c r="P42" s="5">
        <v>15</v>
      </c>
      <c r="Q42" s="5">
        <v>-5</v>
      </c>
      <c r="R42" s="5">
        <v>-6</v>
      </c>
      <c r="S42" s="5">
        <v>-2</v>
      </c>
      <c r="T42" s="5">
        <v>-11</v>
      </c>
      <c r="U42" s="5">
        <v>7</v>
      </c>
      <c r="V42" s="5">
        <v>-4</v>
      </c>
      <c r="W42" s="5">
        <v>12</v>
      </c>
      <c r="X42" s="5">
        <v>18</v>
      </c>
      <c r="Y42" s="5">
        <v>11</v>
      </c>
      <c r="Z42" s="5">
        <v>-12</v>
      </c>
      <c r="AA42" s="5">
        <v>7</v>
      </c>
      <c r="AB42" s="5">
        <v>5</v>
      </c>
      <c r="AC42" s="5">
        <v>18</v>
      </c>
      <c r="AD42" s="5">
        <v>15</v>
      </c>
      <c r="AE42" s="5">
        <v>-5</v>
      </c>
      <c r="AF42" s="5">
        <v>-8</v>
      </c>
      <c r="AG42" s="5">
        <v>18</v>
      </c>
      <c r="AH42" s="5">
        <v>8</v>
      </c>
      <c r="AI42" s="5">
        <v>11</v>
      </c>
      <c r="AJ42" s="5">
        <v>-5</v>
      </c>
      <c r="AK42" s="5">
        <v>-23</v>
      </c>
      <c r="AL42" s="6">
        <v>-13</v>
      </c>
    </row>
    <row r="43" spans="1:38">
      <c r="A43" s="4">
        <v>3</v>
      </c>
      <c r="B43" s="5">
        <v>9</v>
      </c>
      <c r="C43" s="5">
        <v>8</v>
      </c>
      <c r="D43" s="5">
        <v>3</v>
      </c>
      <c r="E43" s="5">
        <v>-2</v>
      </c>
      <c r="F43" s="5">
        <v>5</v>
      </c>
      <c r="G43" s="5">
        <v>0</v>
      </c>
      <c r="H43" s="5">
        <v>7</v>
      </c>
      <c r="I43" s="5">
        <v>1</v>
      </c>
      <c r="J43" s="5">
        <v>2</v>
      </c>
      <c r="K43" s="5">
        <v>3</v>
      </c>
      <c r="L43" s="5">
        <v>1</v>
      </c>
      <c r="M43" s="5">
        <v>14</v>
      </c>
      <c r="N43" s="5">
        <v>-7</v>
      </c>
      <c r="O43" s="5">
        <v>2</v>
      </c>
      <c r="P43" s="5">
        <v>-2</v>
      </c>
      <c r="Q43" s="5">
        <v>5</v>
      </c>
      <c r="R43" s="5">
        <v>-3</v>
      </c>
      <c r="S43" s="5">
        <v>11</v>
      </c>
      <c r="T43" s="5">
        <v>-11</v>
      </c>
      <c r="U43" s="5">
        <v>-13</v>
      </c>
      <c r="V43" s="5">
        <v>-8</v>
      </c>
      <c r="W43" s="5">
        <v>-7</v>
      </c>
      <c r="X43" s="5">
        <v>20</v>
      </c>
      <c r="Y43" s="5">
        <v>19</v>
      </c>
      <c r="Z43" s="5">
        <v>-8</v>
      </c>
      <c r="AA43" s="5">
        <v>6</v>
      </c>
      <c r="AB43" s="5">
        <v>-18</v>
      </c>
      <c r="AC43" s="5">
        <v>0</v>
      </c>
      <c r="AD43" s="5">
        <v>-19</v>
      </c>
      <c r="AE43" s="5">
        <v>-12</v>
      </c>
      <c r="AF43" s="5">
        <v>-2</v>
      </c>
      <c r="AG43" s="5">
        <v>-11</v>
      </c>
      <c r="AH43" s="5">
        <v>-13</v>
      </c>
      <c r="AI43" s="5">
        <v>-2</v>
      </c>
      <c r="AJ43" s="5">
        <v>16</v>
      </c>
      <c r="AK43" s="5">
        <v>-2</v>
      </c>
      <c r="AL43" s="6">
        <v>-5</v>
      </c>
    </row>
    <row r="44" spans="1:38">
      <c r="A44" s="4">
        <v>1</v>
      </c>
      <c r="B44" s="5">
        <v>16</v>
      </c>
      <c r="C44" s="5">
        <v>-5</v>
      </c>
      <c r="D44" s="5">
        <v>-2</v>
      </c>
      <c r="E44" s="5">
        <v>0</v>
      </c>
      <c r="F44" s="5">
        <v>-12</v>
      </c>
      <c r="G44" s="5">
        <v>5</v>
      </c>
      <c r="H44" s="5">
        <v>11</v>
      </c>
      <c r="I44" s="5">
        <v>17</v>
      </c>
      <c r="J44" s="5">
        <v>-14</v>
      </c>
      <c r="K44" s="5">
        <v>-10</v>
      </c>
      <c r="L44" s="5">
        <v>-24</v>
      </c>
      <c r="M44" s="5">
        <v>-6</v>
      </c>
      <c r="N44" s="5">
        <v>3</v>
      </c>
      <c r="O44" s="5">
        <v>-13</v>
      </c>
      <c r="P44" s="5">
        <v>-31</v>
      </c>
      <c r="Q44" s="5">
        <v>-16</v>
      </c>
      <c r="R44" s="5">
        <v>6</v>
      </c>
      <c r="S44" s="5">
        <v>-4</v>
      </c>
      <c r="T44" s="5">
        <v>49</v>
      </c>
      <c r="U44" s="5">
        <v>11</v>
      </c>
      <c r="V44" s="5">
        <v>13</v>
      </c>
      <c r="W44" s="5">
        <v>-3</v>
      </c>
      <c r="X44" s="5">
        <v>10</v>
      </c>
      <c r="Y44" s="5">
        <v>27</v>
      </c>
      <c r="Z44" s="5">
        <v>18</v>
      </c>
      <c r="AA44" s="5">
        <v>-12</v>
      </c>
      <c r="AB44" s="5">
        <v>20</v>
      </c>
      <c r="AC44" s="5">
        <v>-6</v>
      </c>
      <c r="AD44" s="5">
        <v>13</v>
      </c>
      <c r="AE44" s="5">
        <v>-9</v>
      </c>
      <c r="AF44" s="5">
        <v>8</v>
      </c>
      <c r="AG44" s="5">
        <v>-17</v>
      </c>
      <c r="AH44" s="5">
        <v>11</v>
      </c>
      <c r="AI44" s="5">
        <v>9</v>
      </c>
      <c r="AJ44" s="5">
        <v>12</v>
      </c>
      <c r="AK44" s="5">
        <v>23</v>
      </c>
      <c r="AL44" s="6">
        <v>4</v>
      </c>
    </row>
    <row r="45" spans="1:38">
      <c r="A45" s="4">
        <v>4</v>
      </c>
      <c r="B45" s="5">
        <v>8</v>
      </c>
      <c r="C45" s="5">
        <v>14</v>
      </c>
      <c r="D45" s="5">
        <v>-2</v>
      </c>
      <c r="E45" s="5">
        <v>-5</v>
      </c>
      <c r="F45" s="5">
        <v>15</v>
      </c>
      <c r="G45" s="5">
        <v>6</v>
      </c>
      <c r="H45" s="5">
        <v>6</v>
      </c>
      <c r="I45" s="5">
        <v>1</v>
      </c>
      <c r="J45" s="5">
        <v>-9</v>
      </c>
      <c r="K45" s="5">
        <v>-2</v>
      </c>
      <c r="L45" s="5">
        <v>7</v>
      </c>
      <c r="M45" s="5">
        <v>23</v>
      </c>
      <c r="N45" s="5">
        <v>0</v>
      </c>
      <c r="O45" s="5">
        <v>-6</v>
      </c>
      <c r="P45" s="5">
        <v>-3</v>
      </c>
      <c r="Q45" s="5">
        <v>20</v>
      </c>
      <c r="R45" s="5">
        <v>13</v>
      </c>
      <c r="S45" s="5">
        <v>24</v>
      </c>
      <c r="T45" s="5">
        <v>-4</v>
      </c>
      <c r="U45" s="5">
        <v>4</v>
      </c>
      <c r="V45" s="5">
        <v>19</v>
      </c>
      <c r="W45" s="5">
        <v>-21</v>
      </c>
      <c r="X45" s="5">
        <v>15</v>
      </c>
      <c r="Y45" s="5">
        <v>-8</v>
      </c>
      <c r="Z45" s="5">
        <v>-15</v>
      </c>
      <c r="AA45" s="5">
        <v>13</v>
      </c>
      <c r="AB45" s="5">
        <v>-7</v>
      </c>
      <c r="AC45" s="5">
        <v>-13</v>
      </c>
      <c r="AD45" s="5">
        <v>-14</v>
      </c>
      <c r="AE45" s="5">
        <v>-20</v>
      </c>
      <c r="AF45" s="5">
        <v>17</v>
      </c>
      <c r="AG45" s="5">
        <v>-20</v>
      </c>
      <c r="AH45" s="5">
        <v>-9</v>
      </c>
      <c r="AI45" s="5">
        <v>-7</v>
      </c>
      <c r="AJ45" s="5">
        <v>0</v>
      </c>
      <c r="AK45" s="5">
        <v>15</v>
      </c>
      <c r="AL45" s="6">
        <v>11</v>
      </c>
    </row>
    <row r="46" spans="1:38">
      <c r="A46" s="4">
        <v>3</v>
      </c>
      <c r="B46" s="5">
        <v>-2</v>
      </c>
      <c r="C46" s="5">
        <v>15</v>
      </c>
      <c r="D46" s="5">
        <v>-2</v>
      </c>
      <c r="E46" s="5">
        <v>-4</v>
      </c>
      <c r="F46" s="5">
        <v>5</v>
      </c>
      <c r="G46" s="5">
        <v>11</v>
      </c>
      <c r="H46" s="5">
        <v>-1</v>
      </c>
      <c r="I46" s="5">
        <v>-10</v>
      </c>
      <c r="J46" s="5">
        <v>-8</v>
      </c>
      <c r="K46" s="5">
        <v>5</v>
      </c>
      <c r="L46" s="5">
        <v>-1</v>
      </c>
      <c r="M46" s="5">
        <v>-6</v>
      </c>
      <c r="N46" s="5">
        <v>11</v>
      </c>
      <c r="O46" s="5">
        <v>14</v>
      </c>
      <c r="P46" s="5">
        <v>0</v>
      </c>
      <c r="Q46" s="5">
        <v>-6</v>
      </c>
      <c r="R46" s="5">
        <v>-4</v>
      </c>
      <c r="S46" s="5">
        <v>16</v>
      </c>
      <c r="T46" s="5">
        <v>-5</v>
      </c>
      <c r="U46" s="5">
        <v>-4</v>
      </c>
      <c r="V46" s="5">
        <v>-2</v>
      </c>
      <c r="W46" s="5">
        <v>1</v>
      </c>
      <c r="X46" s="5">
        <v>-14</v>
      </c>
      <c r="Y46" s="5">
        <v>7</v>
      </c>
      <c r="Z46" s="5">
        <v>-3</v>
      </c>
      <c r="AA46" s="5">
        <v>5</v>
      </c>
      <c r="AB46" s="5">
        <v>18</v>
      </c>
      <c r="AC46" s="5">
        <v>11</v>
      </c>
      <c r="AD46" s="5">
        <v>11</v>
      </c>
      <c r="AE46" s="5">
        <v>-13</v>
      </c>
      <c r="AF46" s="5">
        <v>-18</v>
      </c>
      <c r="AG46" s="5">
        <v>10</v>
      </c>
      <c r="AH46" s="5">
        <v>7</v>
      </c>
      <c r="AI46" s="5">
        <v>-16</v>
      </c>
      <c r="AJ46" s="5">
        <v>-9</v>
      </c>
      <c r="AK46" s="5">
        <v>-11</v>
      </c>
      <c r="AL46" s="6">
        <v>1</v>
      </c>
    </row>
    <row r="47" spans="1:38">
      <c r="A47" s="4">
        <v>2</v>
      </c>
      <c r="B47" s="5">
        <v>12</v>
      </c>
      <c r="C47" s="5">
        <v>3</v>
      </c>
      <c r="D47" s="5">
        <v>-4</v>
      </c>
      <c r="E47" s="5">
        <v>-9</v>
      </c>
      <c r="F47" s="5">
        <v>-20</v>
      </c>
      <c r="G47" s="5">
        <v>-2</v>
      </c>
      <c r="H47" s="5">
        <v>9</v>
      </c>
      <c r="I47" s="5">
        <v>3</v>
      </c>
      <c r="J47" s="5">
        <v>-12</v>
      </c>
      <c r="K47" s="5">
        <v>-3</v>
      </c>
      <c r="L47" s="5">
        <v>-9</v>
      </c>
      <c r="M47" s="5">
        <v>12</v>
      </c>
      <c r="N47" s="5">
        <v>-19</v>
      </c>
      <c r="O47" s="5">
        <v>-2</v>
      </c>
      <c r="P47" s="5">
        <v>-13</v>
      </c>
      <c r="Q47" s="5">
        <v>-19</v>
      </c>
      <c r="R47" s="5">
        <v>-6</v>
      </c>
      <c r="S47" s="5">
        <v>-28</v>
      </c>
      <c r="T47" s="5">
        <v>8</v>
      </c>
      <c r="U47" s="5">
        <v>-16</v>
      </c>
      <c r="V47" s="5">
        <v>7</v>
      </c>
      <c r="W47" s="5">
        <v>-3</v>
      </c>
      <c r="X47" s="5">
        <v>16</v>
      </c>
      <c r="Y47" s="5">
        <v>5</v>
      </c>
      <c r="Z47" s="5">
        <v>-11</v>
      </c>
      <c r="AA47" s="5">
        <v>-12</v>
      </c>
      <c r="AB47" s="5">
        <v>19</v>
      </c>
      <c r="AC47" s="5">
        <v>-8</v>
      </c>
      <c r="AD47" s="5">
        <v>-2</v>
      </c>
      <c r="AE47" s="5">
        <v>-11</v>
      </c>
      <c r="AF47" s="5">
        <v>-1</v>
      </c>
      <c r="AG47" s="5">
        <v>-21</v>
      </c>
      <c r="AH47" s="5">
        <v>12</v>
      </c>
      <c r="AI47" s="5">
        <v>-8</v>
      </c>
      <c r="AJ47" s="5">
        <v>4</v>
      </c>
      <c r="AK47" s="5">
        <v>-8</v>
      </c>
      <c r="AL47" s="6">
        <v>-12</v>
      </c>
    </row>
    <row r="48" spans="1:38">
      <c r="A48" s="4">
        <v>4</v>
      </c>
      <c r="B48" s="5">
        <v>3</v>
      </c>
      <c r="C48" s="5">
        <v>4</v>
      </c>
      <c r="D48" s="5">
        <v>-1</v>
      </c>
      <c r="E48" s="5">
        <v>0</v>
      </c>
      <c r="F48" s="5">
        <v>-7</v>
      </c>
      <c r="G48" s="5">
        <v>3</v>
      </c>
      <c r="H48" s="5">
        <v>1</v>
      </c>
      <c r="I48" s="5">
        <v>5</v>
      </c>
      <c r="J48" s="5">
        <v>-5</v>
      </c>
      <c r="K48" s="5">
        <v>-8</v>
      </c>
      <c r="L48" s="5">
        <v>-7</v>
      </c>
      <c r="M48" s="5">
        <v>-4</v>
      </c>
      <c r="N48" s="5">
        <v>-4</v>
      </c>
      <c r="O48" s="5">
        <v>1</v>
      </c>
      <c r="P48" s="5">
        <v>-2</v>
      </c>
      <c r="Q48" s="5">
        <v>-7</v>
      </c>
      <c r="R48" s="5">
        <v>4</v>
      </c>
      <c r="S48" s="5">
        <v>-4</v>
      </c>
      <c r="T48" s="5">
        <v>-3</v>
      </c>
      <c r="U48" s="5">
        <v>17</v>
      </c>
      <c r="V48" s="5">
        <v>1</v>
      </c>
      <c r="W48" s="5">
        <v>-8</v>
      </c>
      <c r="X48" s="5">
        <v>9</v>
      </c>
      <c r="Y48" s="5">
        <v>11</v>
      </c>
      <c r="Z48" s="5">
        <v>-3</v>
      </c>
      <c r="AA48" s="5">
        <v>-2</v>
      </c>
      <c r="AB48" s="5">
        <v>10</v>
      </c>
      <c r="AC48" s="5">
        <v>-8</v>
      </c>
      <c r="AD48" s="5">
        <v>9</v>
      </c>
      <c r="AE48" s="5">
        <v>0</v>
      </c>
      <c r="AF48" s="5">
        <v>10</v>
      </c>
      <c r="AG48" s="5">
        <v>-2</v>
      </c>
      <c r="AH48" s="5">
        <v>-1</v>
      </c>
      <c r="AI48" s="5">
        <v>-1</v>
      </c>
      <c r="AJ48" s="5">
        <v>-11</v>
      </c>
      <c r="AK48" s="5">
        <v>-15</v>
      </c>
      <c r="AL48" s="6">
        <v>-7</v>
      </c>
    </row>
    <row r="49" spans="1:38">
      <c r="A49" s="4">
        <v>2</v>
      </c>
      <c r="B49" s="5">
        <v>9</v>
      </c>
      <c r="C49" s="5">
        <v>2</v>
      </c>
      <c r="D49" s="5">
        <v>-4</v>
      </c>
      <c r="E49" s="5">
        <v>-2</v>
      </c>
      <c r="F49" s="5">
        <v>-13</v>
      </c>
      <c r="G49" s="5">
        <v>4</v>
      </c>
      <c r="H49" s="5">
        <v>-5</v>
      </c>
      <c r="I49" s="5">
        <v>5</v>
      </c>
      <c r="J49" s="5">
        <v>-6</v>
      </c>
      <c r="K49" s="5">
        <v>-7</v>
      </c>
      <c r="L49" s="5">
        <v>-11</v>
      </c>
      <c r="M49" s="5">
        <v>-5</v>
      </c>
      <c r="N49" s="5">
        <v>-9</v>
      </c>
      <c r="O49" s="5">
        <v>-8</v>
      </c>
      <c r="P49" s="5">
        <v>-25</v>
      </c>
      <c r="Q49" s="5">
        <v>4</v>
      </c>
      <c r="R49" s="5">
        <v>-2</v>
      </c>
      <c r="S49" s="5">
        <v>-14</v>
      </c>
      <c r="T49" s="5">
        <v>15</v>
      </c>
      <c r="U49" s="5">
        <v>-5</v>
      </c>
      <c r="V49" s="5">
        <v>0</v>
      </c>
      <c r="W49" s="5">
        <v>-4</v>
      </c>
      <c r="X49" s="5">
        <v>14</v>
      </c>
      <c r="Y49" s="5">
        <v>11</v>
      </c>
      <c r="Z49" s="5">
        <v>-17</v>
      </c>
      <c r="AA49" s="5">
        <v>-26</v>
      </c>
      <c r="AB49" s="5">
        <v>10</v>
      </c>
      <c r="AC49" s="5">
        <v>-10</v>
      </c>
      <c r="AD49" s="5">
        <v>2</v>
      </c>
      <c r="AE49" s="5">
        <v>-1</v>
      </c>
      <c r="AF49" s="5">
        <v>-3</v>
      </c>
      <c r="AG49" s="5">
        <v>-21</v>
      </c>
      <c r="AH49" s="5">
        <v>31</v>
      </c>
      <c r="AI49" s="5">
        <v>-11</v>
      </c>
      <c r="AJ49" s="5">
        <v>-1</v>
      </c>
      <c r="AK49" s="5">
        <v>-6</v>
      </c>
      <c r="AL49" s="6">
        <v>-18</v>
      </c>
    </row>
    <row r="50" spans="1:38">
      <c r="A50" s="4">
        <v>6</v>
      </c>
      <c r="B50" s="5">
        <v>6</v>
      </c>
      <c r="C50" s="5">
        <v>16</v>
      </c>
      <c r="D50" s="5">
        <v>-2</v>
      </c>
      <c r="E50" s="5">
        <v>-1</v>
      </c>
      <c r="F50" s="5">
        <v>19</v>
      </c>
      <c r="G50" s="5">
        <v>2</v>
      </c>
      <c r="H50" s="5">
        <v>3</v>
      </c>
      <c r="I50" s="5">
        <v>-20</v>
      </c>
      <c r="J50" s="5">
        <v>3</v>
      </c>
      <c r="K50" s="5">
        <v>5</v>
      </c>
      <c r="L50" s="5">
        <v>-4</v>
      </c>
      <c r="M50" s="5">
        <v>-5</v>
      </c>
      <c r="N50" s="5">
        <v>-3</v>
      </c>
      <c r="O50" s="5">
        <v>7</v>
      </c>
      <c r="P50" s="5">
        <v>1</v>
      </c>
      <c r="Q50" s="5">
        <v>-13</v>
      </c>
      <c r="R50" s="5">
        <v>2</v>
      </c>
      <c r="S50" s="5">
        <v>-12</v>
      </c>
      <c r="T50" s="5">
        <v>11</v>
      </c>
      <c r="U50" s="5">
        <v>0</v>
      </c>
      <c r="V50" s="5">
        <v>4</v>
      </c>
      <c r="W50" s="5">
        <v>2</v>
      </c>
      <c r="X50" s="5">
        <v>5</v>
      </c>
      <c r="Y50" s="5">
        <v>5</v>
      </c>
      <c r="Z50" s="5">
        <v>8</v>
      </c>
      <c r="AA50" s="5">
        <v>10</v>
      </c>
      <c r="AB50" s="5">
        <v>20</v>
      </c>
      <c r="AC50" s="5">
        <v>-8</v>
      </c>
      <c r="AD50" s="5">
        <v>-10</v>
      </c>
      <c r="AE50" s="5">
        <v>14</v>
      </c>
      <c r="AF50" s="5">
        <v>-13</v>
      </c>
      <c r="AG50" s="5">
        <v>-14</v>
      </c>
      <c r="AH50" s="5">
        <v>-11</v>
      </c>
      <c r="AI50" s="5">
        <v>-15</v>
      </c>
      <c r="AJ50" s="5">
        <v>-10</v>
      </c>
      <c r="AK50" s="5">
        <v>15</v>
      </c>
      <c r="AL50" s="6">
        <v>-1</v>
      </c>
    </row>
    <row r="51" spans="1:38">
      <c r="A51" s="4">
        <v>11</v>
      </c>
      <c r="B51" s="5">
        <v>9</v>
      </c>
      <c r="C51" s="5">
        <v>13</v>
      </c>
      <c r="D51" s="5">
        <v>1</v>
      </c>
      <c r="E51" s="5">
        <v>6</v>
      </c>
      <c r="F51" s="5">
        <v>8</v>
      </c>
      <c r="G51" s="5">
        <v>2</v>
      </c>
      <c r="H51" s="5">
        <v>-2</v>
      </c>
      <c r="I51" s="5">
        <v>-1</v>
      </c>
      <c r="J51" s="5">
        <v>4</v>
      </c>
      <c r="K51" s="5">
        <v>-14</v>
      </c>
      <c r="L51" s="5">
        <v>1</v>
      </c>
      <c r="M51" s="5">
        <v>9</v>
      </c>
      <c r="N51" s="5">
        <v>0</v>
      </c>
      <c r="O51" s="5">
        <v>13</v>
      </c>
      <c r="P51" s="5">
        <v>14</v>
      </c>
      <c r="Q51" s="5">
        <v>-16</v>
      </c>
      <c r="R51" s="5">
        <v>9</v>
      </c>
      <c r="S51" s="5">
        <v>-4</v>
      </c>
      <c r="T51" s="5">
        <v>-16</v>
      </c>
      <c r="U51" s="5">
        <v>13</v>
      </c>
      <c r="V51" s="5">
        <v>-4</v>
      </c>
      <c r="W51" s="5">
        <v>-2</v>
      </c>
      <c r="X51" s="5">
        <v>2</v>
      </c>
      <c r="Y51" s="5">
        <v>4</v>
      </c>
      <c r="Z51" s="5">
        <v>8</v>
      </c>
      <c r="AA51" s="5">
        <v>4</v>
      </c>
      <c r="AB51" s="5">
        <v>4</v>
      </c>
      <c r="AC51" s="5">
        <v>-3</v>
      </c>
      <c r="AD51" s="5">
        <v>-3</v>
      </c>
      <c r="AE51" s="5">
        <v>11</v>
      </c>
      <c r="AF51" s="5">
        <v>13</v>
      </c>
      <c r="AG51" s="5">
        <v>1</v>
      </c>
      <c r="AH51" s="5">
        <v>-10</v>
      </c>
      <c r="AI51" s="5">
        <v>4</v>
      </c>
      <c r="AJ51" s="5">
        <v>-6</v>
      </c>
      <c r="AK51" s="5">
        <v>6</v>
      </c>
      <c r="AL51" s="6">
        <v>-11</v>
      </c>
    </row>
    <row r="52" spans="1:38">
      <c r="A52" s="4">
        <v>2</v>
      </c>
      <c r="B52" s="5">
        <v>5</v>
      </c>
      <c r="C52" s="5">
        <v>7</v>
      </c>
      <c r="D52" s="5">
        <v>-3</v>
      </c>
      <c r="E52" s="5">
        <v>3</v>
      </c>
      <c r="F52" s="5">
        <v>7</v>
      </c>
      <c r="G52" s="5">
        <v>-1</v>
      </c>
      <c r="H52" s="5">
        <v>1</v>
      </c>
      <c r="I52" s="5">
        <v>-12</v>
      </c>
      <c r="J52" s="5">
        <v>4</v>
      </c>
      <c r="K52" s="5">
        <v>5</v>
      </c>
      <c r="L52" s="5">
        <v>-11</v>
      </c>
      <c r="M52" s="5">
        <v>-6</v>
      </c>
      <c r="N52" s="5">
        <v>2</v>
      </c>
      <c r="O52" s="5">
        <v>2</v>
      </c>
      <c r="P52" s="5">
        <v>0</v>
      </c>
      <c r="Q52" s="5">
        <v>-12</v>
      </c>
      <c r="R52" s="5">
        <v>19</v>
      </c>
      <c r="S52" s="5">
        <v>0</v>
      </c>
      <c r="T52" s="5">
        <v>5</v>
      </c>
      <c r="U52" s="5">
        <v>-6</v>
      </c>
      <c r="V52" s="5">
        <v>12</v>
      </c>
      <c r="W52" s="5">
        <v>-2</v>
      </c>
      <c r="X52" s="5">
        <v>1</v>
      </c>
      <c r="Y52" s="5">
        <v>-10</v>
      </c>
      <c r="Z52" s="5">
        <v>4</v>
      </c>
      <c r="AA52" s="5">
        <v>12</v>
      </c>
      <c r="AB52" s="5">
        <v>1</v>
      </c>
      <c r="AC52" s="5">
        <v>0</v>
      </c>
      <c r="AD52" s="5">
        <v>2</v>
      </c>
      <c r="AE52" s="5">
        <v>2</v>
      </c>
      <c r="AF52" s="5">
        <v>8</v>
      </c>
      <c r="AG52" s="5">
        <v>5</v>
      </c>
      <c r="AH52" s="5">
        <v>1</v>
      </c>
      <c r="AI52" s="5">
        <v>4</v>
      </c>
      <c r="AJ52" s="5">
        <v>3</v>
      </c>
      <c r="AK52" s="5">
        <v>-8</v>
      </c>
      <c r="AL52" s="6">
        <v>0</v>
      </c>
    </row>
    <row r="53" spans="1:38">
      <c r="A53" s="4">
        <v>-2</v>
      </c>
      <c r="B53" s="5">
        <v>1</v>
      </c>
      <c r="C53" s="5">
        <v>-1</v>
      </c>
      <c r="D53" s="5">
        <v>-4</v>
      </c>
      <c r="E53" s="5">
        <v>-15</v>
      </c>
      <c r="F53" s="5">
        <v>-13</v>
      </c>
      <c r="G53" s="5">
        <v>2</v>
      </c>
      <c r="H53" s="5">
        <v>-3</v>
      </c>
      <c r="I53" s="5">
        <v>-11</v>
      </c>
      <c r="J53" s="5">
        <v>-8</v>
      </c>
      <c r="K53" s="5">
        <v>-6</v>
      </c>
      <c r="L53" s="5">
        <v>-12</v>
      </c>
      <c r="M53" s="5">
        <v>-19</v>
      </c>
      <c r="N53" s="5">
        <v>-13</v>
      </c>
      <c r="O53" s="5">
        <v>8</v>
      </c>
      <c r="P53" s="5">
        <v>2</v>
      </c>
      <c r="Q53" s="5">
        <v>17</v>
      </c>
      <c r="R53" s="5">
        <v>-2</v>
      </c>
      <c r="S53" s="5">
        <v>20</v>
      </c>
      <c r="T53" s="5">
        <v>2</v>
      </c>
      <c r="U53" s="5">
        <v>1</v>
      </c>
      <c r="V53" s="5">
        <v>7</v>
      </c>
      <c r="W53" s="5">
        <v>25</v>
      </c>
      <c r="X53" s="5">
        <v>2</v>
      </c>
      <c r="Y53" s="5">
        <v>4</v>
      </c>
      <c r="Z53" s="5">
        <v>1</v>
      </c>
      <c r="AA53" s="5">
        <v>15</v>
      </c>
      <c r="AB53" s="5">
        <v>2</v>
      </c>
      <c r="AC53" s="5">
        <v>-3</v>
      </c>
      <c r="AD53" s="5">
        <v>-2</v>
      </c>
      <c r="AE53" s="5">
        <v>-13</v>
      </c>
      <c r="AF53" s="5">
        <v>2</v>
      </c>
      <c r="AG53" s="5">
        <v>1</v>
      </c>
      <c r="AH53" s="5">
        <v>-6</v>
      </c>
      <c r="AI53" s="5">
        <v>-18</v>
      </c>
      <c r="AJ53" s="5">
        <v>-14</v>
      </c>
      <c r="AK53" s="5">
        <v>-10</v>
      </c>
      <c r="AL53" s="6">
        <v>-10</v>
      </c>
    </row>
    <row r="54" spans="1:38">
      <c r="A54" s="4">
        <v>-10</v>
      </c>
      <c r="B54" s="5">
        <v>-51</v>
      </c>
      <c r="C54" s="5">
        <v>-13</v>
      </c>
      <c r="D54" s="5">
        <v>24</v>
      </c>
      <c r="E54" s="5">
        <v>-9</v>
      </c>
      <c r="F54" s="5">
        <v>-17</v>
      </c>
      <c r="G54" s="5">
        <v>16</v>
      </c>
      <c r="H54" s="5">
        <v>36</v>
      </c>
      <c r="I54" s="5">
        <v>5</v>
      </c>
      <c r="J54" s="5">
        <v>5</v>
      </c>
      <c r="K54" s="5">
        <v>-10</v>
      </c>
      <c r="L54" s="5">
        <v>-50</v>
      </c>
      <c r="M54" s="5">
        <v>8</v>
      </c>
      <c r="N54" s="5">
        <v>18</v>
      </c>
      <c r="O54" s="5">
        <v>18</v>
      </c>
      <c r="P54" s="5">
        <v>-26</v>
      </c>
      <c r="Q54" s="5">
        <v>6</v>
      </c>
      <c r="R54" s="5">
        <v>12</v>
      </c>
      <c r="S54" s="5">
        <v>1</v>
      </c>
      <c r="T54" s="5">
        <v>21</v>
      </c>
      <c r="U54" s="5">
        <v>2</v>
      </c>
      <c r="V54" s="5">
        <v>-10</v>
      </c>
      <c r="W54" s="5">
        <v>28</v>
      </c>
      <c r="X54" s="5">
        <v>-11</v>
      </c>
      <c r="Y54" s="5">
        <v>-8</v>
      </c>
      <c r="Z54" s="5">
        <v>33</v>
      </c>
      <c r="AA54" s="5">
        <v>6</v>
      </c>
      <c r="AB54" s="5">
        <v>6</v>
      </c>
      <c r="AC54" s="5">
        <v>41</v>
      </c>
      <c r="AD54" s="5">
        <v>-53</v>
      </c>
      <c r="AE54" s="5">
        <v>-14</v>
      </c>
      <c r="AF54" s="5">
        <v>1</v>
      </c>
      <c r="AG54" s="5">
        <v>7</v>
      </c>
      <c r="AH54" s="5">
        <v>4</v>
      </c>
      <c r="AI54" s="5">
        <v>18</v>
      </c>
      <c r="AJ54" s="5">
        <v>12</v>
      </c>
      <c r="AK54" s="5">
        <v>40</v>
      </c>
      <c r="AL54" s="6">
        <v>10</v>
      </c>
    </row>
    <row r="55" spans="1:38">
      <c r="A55" s="4">
        <v>-6</v>
      </c>
      <c r="B55" s="5">
        <v>-23</v>
      </c>
      <c r="C55" s="5">
        <v>0</v>
      </c>
      <c r="D55" s="5">
        <v>12</v>
      </c>
      <c r="E55" s="5">
        <v>-9</v>
      </c>
      <c r="F55" s="5">
        <v>-16</v>
      </c>
      <c r="G55" s="5">
        <v>-18</v>
      </c>
      <c r="H55" s="5">
        <v>23</v>
      </c>
      <c r="I55" s="5">
        <v>3</v>
      </c>
      <c r="J55" s="5">
        <v>-6</v>
      </c>
      <c r="K55" s="5">
        <v>-16</v>
      </c>
      <c r="L55" s="5">
        <v>-37</v>
      </c>
      <c r="M55" s="5">
        <v>-3</v>
      </c>
      <c r="N55" s="5">
        <v>5</v>
      </c>
      <c r="O55" s="5">
        <v>21</v>
      </c>
      <c r="P55" s="5">
        <v>-32</v>
      </c>
      <c r="Q55" s="5">
        <v>1</v>
      </c>
      <c r="R55" s="5">
        <v>11</v>
      </c>
      <c r="S55" s="5">
        <v>16</v>
      </c>
      <c r="T55" s="5">
        <v>25</v>
      </c>
      <c r="U55" s="5">
        <v>3</v>
      </c>
      <c r="V55" s="5">
        <v>-4</v>
      </c>
      <c r="W55" s="5">
        <v>29</v>
      </c>
      <c r="X55" s="5">
        <v>-12</v>
      </c>
      <c r="Y55" s="5">
        <v>-19</v>
      </c>
      <c r="Z55" s="5">
        <v>47</v>
      </c>
      <c r="AA55" s="5">
        <v>14</v>
      </c>
      <c r="AB55" s="5">
        <v>-6</v>
      </c>
      <c r="AC55" s="5">
        <v>29</v>
      </c>
      <c r="AD55" s="5">
        <v>-37</v>
      </c>
      <c r="AE55" s="5">
        <v>-20</v>
      </c>
      <c r="AF55" s="5">
        <v>-7</v>
      </c>
      <c r="AG55" s="5">
        <v>4</v>
      </c>
      <c r="AH55" s="5">
        <v>-3</v>
      </c>
      <c r="AI55" s="5">
        <v>-1</v>
      </c>
      <c r="AJ55" s="5">
        <v>18</v>
      </c>
      <c r="AK55" s="5">
        <v>19</v>
      </c>
      <c r="AL55" s="6">
        <v>5</v>
      </c>
    </row>
    <row r="56" spans="1:38">
      <c r="A56" s="4">
        <v>-3</v>
      </c>
      <c r="B56" s="5">
        <v>-29</v>
      </c>
      <c r="C56" s="5">
        <v>-12</v>
      </c>
      <c r="D56" s="5">
        <v>6</v>
      </c>
      <c r="E56" s="5">
        <v>-1</v>
      </c>
      <c r="F56" s="5">
        <v>4</v>
      </c>
      <c r="G56" s="5">
        <v>42</v>
      </c>
      <c r="H56" s="5">
        <v>-2</v>
      </c>
      <c r="I56" s="5">
        <v>0</v>
      </c>
      <c r="J56" s="5">
        <v>23</v>
      </c>
      <c r="K56" s="5">
        <v>16</v>
      </c>
      <c r="L56" s="5">
        <v>-3</v>
      </c>
      <c r="M56" s="5">
        <v>7</v>
      </c>
      <c r="N56" s="5">
        <v>14</v>
      </c>
      <c r="O56" s="5">
        <v>-1</v>
      </c>
      <c r="P56" s="5">
        <v>4</v>
      </c>
      <c r="Q56" s="5">
        <v>-5</v>
      </c>
      <c r="R56" s="5">
        <v>-15</v>
      </c>
      <c r="S56" s="5">
        <v>4</v>
      </c>
      <c r="T56" s="5">
        <v>7</v>
      </c>
      <c r="U56" s="5">
        <v>-9</v>
      </c>
      <c r="V56" s="5">
        <v>5</v>
      </c>
      <c r="W56" s="5">
        <v>-6</v>
      </c>
      <c r="X56" s="5">
        <v>-6</v>
      </c>
      <c r="Y56" s="5">
        <v>28</v>
      </c>
      <c r="Z56" s="5">
        <v>-19</v>
      </c>
      <c r="AA56" s="5">
        <v>-11</v>
      </c>
      <c r="AB56" s="5">
        <v>0</v>
      </c>
      <c r="AC56" s="5">
        <v>-1</v>
      </c>
      <c r="AD56" s="5">
        <v>0</v>
      </c>
      <c r="AE56" s="5">
        <v>-1</v>
      </c>
      <c r="AF56" s="5">
        <v>-6</v>
      </c>
      <c r="AG56" s="5">
        <v>8</v>
      </c>
      <c r="AH56" s="5">
        <v>-2</v>
      </c>
      <c r="AI56" s="5">
        <v>5</v>
      </c>
      <c r="AJ56" s="5">
        <v>-14</v>
      </c>
      <c r="AK56" s="5">
        <v>-11</v>
      </c>
      <c r="AL56" s="6">
        <v>-8</v>
      </c>
    </row>
    <row r="57" spans="1:38">
      <c r="A57" s="4">
        <v>0</v>
      </c>
      <c r="B57" s="5">
        <v>-14</v>
      </c>
      <c r="C57" s="5">
        <v>-2</v>
      </c>
      <c r="D57" s="5">
        <v>5</v>
      </c>
      <c r="E57" s="5">
        <v>-1</v>
      </c>
      <c r="F57" s="5">
        <v>0</v>
      </c>
      <c r="G57" s="5">
        <v>25</v>
      </c>
      <c r="H57" s="5">
        <v>4</v>
      </c>
      <c r="I57" s="5">
        <v>2</v>
      </c>
      <c r="J57" s="5">
        <v>18</v>
      </c>
      <c r="K57" s="5">
        <v>16</v>
      </c>
      <c r="L57" s="5">
        <v>3</v>
      </c>
      <c r="M57" s="5">
        <v>4</v>
      </c>
      <c r="N57" s="5">
        <v>8</v>
      </c>
      <c r="O57" s="5">
        <v>1</v>
      </c>
      <c r="P57" s="5">
        <v>1</v>
      </c>
      <c r="Q57" s="5">
        <v>-2</v>
      </c>
      <c r="R57" s="5">
        <v>-10</v>
      </c>
      <c r="S57" s="5">
        <v>9</v>
      </c>
      <c r="T57" s="5">
        <v>8</v>
      </c>
      <c r="U57" s="5">
        <v>-5</v>
      </c>
      <c r="V57" s="5">
        <v>6</v>
      </c>
      <c r="W57" s="5">
        <v>3</v>
      </c>
      <c r="X57" s="5">
        <v>-3</v>
      </c>
      <c r="Y57" s="5">
        <v>15</v>
      </c>
      <c r="Z57" s="5">
        <v>-14</v>
      </c>
      <c r="AA57" s="5">
        <v>-3</v>
      </c>
      <c r="AB57" s="5">
        <v>-9</v>
      </c>
      <c r="AC57" s="5">
        <v>0</v>
      </c>
      <c r="AD57" s="5">
        <v>-8</v>
      </c>
      <c r="AE57" s="5">
        <v>-9</v>
      </c>
      <c r="AF57" s="5">
        <v>-1</v>
      </c>
      <c r="AG57" s="5">
        <v>3</v>
      </c>
      <c r="AH57" s="5">
        <v>-6</v>
      </c>
      <c r="AI57" s="5">
        <v>-2</v>
      </c>
      <c r="AJ57" s="5">
        <v>-6</v>
      </c>
      <c r="AK57" s="5">
        <v>-8</v>
      </c>
      <c r="AL57" s="6">
        <v>-9</v>
      </c>
    </row>
    <row r="58" spans="1:38">
      <c r="A58" s="4">
        <v>-8</v>
      </c>
      <c r="B58" s="5">
        <v>-26</v>
      </c>
      <c r="C58" s="5">
        <v>2</v>
      </c>
      <c r="D58" s="5">
        <v>3</v>
      </c>
      <c r="E58" s="5">
        <v>-7</v>
      </c>
      <c r="F58" s="5">
        <v>-13</v>
      </c>
      <c r="G58" s="5">
        <v>6</v>
      </c>
      <c r="H58" s="5">
        <v>15</v>
      </c>
      <c r="I58" s="5">
        <v>-18</v>
      </c>
      <c r="J58" s="5">
        <v>26</v>
      </c>
      <c r="K58" s="5">
        <v>12</v>
      </c>
      <c r="L58" s="5">
        <v>-42</v>
      </c>
      <c r="M58" s="5">
        <v>-6</v>
      </c>
      <c r="N58" s="5">
        <v>12</v>
      </c>
      <c r="O58" s="5">
        <v>-9</v>
      </c>
      <c r="P58" s="5">
        <v>-16</v>
      </c>
      <c r="Q58" s="5">
        <v>-8</v>
      </c>
      <c r="R58" s="5">
        <v>19</v>
      </c>
      <c r="S58" s="5">
        <v>17</v>
      </c>
      <c r="T58" s="5">
        <v>21</v>
      </c>
      <c r="U58" s="5">
        <v>-12</v>
      </c>
      <c r="V58" s="5">
        <v>18</v>
      </c>
      <c r="W58" s="5">
        <v>14</v>
      </c>
      <c r="X58" s="5">
        <v>-24</v>
      </c>
      <c r="Y58" s="5">
        <v>-30</v>
      </c>
      <c r="Z58" s="5">
        <v>17</v>
      </c>
      <c r="AA58" s="5">
        <v>4</v>
      </c>
      <c r="AB58" s="5">
        <v>4</v>
      </c>
      <c r="AC58" s="5">
        <v>4</v>
      </c>
      <c r="AD58" s="5">
        <v>-13</v>
      </c>
      <c r="AE58" s="5">
        <v>10</v>
      </c>
      <c r="AF58" s="5">
        <v>6</v>
      </c>
      <c r="AG58" s="5">
        <v>12</v>
      </c>
      <c r="AH58" s="5">
        <v>-12</v>
      </c>
      <c r="AI58" s="5">
        <v>-9</v>
      </c>
      <c r="AJ58" s="5">
        <v>2</v>
      </c>
      <c r="AK58" s="5">
        <v>-17</v>
      </c>
      <c r="AL58" s="6">
        <v>26</v>
      </c>
    </row>
    <row r="59" spans="1:38">
      <c r="A59" s="4">
        <v>-13</v>
      </c>
      <c r="B59" s="5">
        <v>-38</v>
      </c>
      <c r="C59" s="5">
        <v>0</v>
      </c>
      <c r="D59" s="5">
        <v>6</v>
      </c>
      <c r="E59" s="5">
        <v>-6</v>
      </c>
      <c r="F59" s="5">
        <v>-15</v>
      </c>
      <c r="G59" s="5">
        <v>18</v>
      </c>
      <c r="H59" s="5">
        <v>14</v>
      </c>
      <c r="I59" s="5">
        <v>-6</v>
      </c>
      <c r="J59" s="5">
        <v>25</v>
      </c>
      <c r="K59" s="5">
        <v>3</v>
      </c>
      <c r="L59" s="5">
        <v>-29</v>
      </c>
      <c r="M59" s="5">
        <v>-2</v>
      </c>
      <c r="N59" s="5">
        <v>14</v>
      </c>
      <c r="O59" s="5">
        <v>1</v>
      </c>
      <c r="P59" s="5">
        <v>-15</v>
      </c>
      <c r="Q59" s="5">
        <v>-7</v>
      </c>
      <c r="R59" s="5">
        <v>6</v>
      </c>
      <c r="S59" s="5">
        <v>26</v>
      </c>
      <c r="T59" s="5">
        <v>22</v>
      </c>
      <c r="U59" s="5">
        <v>-15</v>
      </c>
      <c r="V59" s="5">
        <v>18</v>
      </c>
      <c r="W59" s="5">
        <v>20</v>
      </c>
      <c r="X59" s="5">
        <v>-29</v>
      </c>
      <c r="Y59" s="5">
        <v>-13</v>
      </c>
      <c r="Z59" s="5">
        <v>10</v>
      </c>
      <c r="AA59" s="5">
        <v>1</v>
      </c>
      <c r="AB59" s="5">
        <v>5</v>
      </c>
      <c r="AC59" s="5">
        <v>-2</v>
      </c>
      <c r="AD59" s="5">
        <v>-14</v>
      </c>
      <c r="AE59" s="5">
        <v>4</v>
      </c>
      <c r="AF59" s="5">
        <v>5</v>
      </c>
      <c r="AG59" s="5">
        <v>12</v>
      </c>
      <c r="AH59" s="5">
        <v>-3</v>
      </c>
      <c r="AI59" s="5">
        <v>-6</v>
      </c>
      <c r="AJ59" s="5">
        <v>-12</v>
      </c>
      <c r="AK59" s="5">
        <v>-10</v>
      </c>
      <c r="AL59" s="6">
        <v>12</v>
      </c>
    </row>
    <row r="60" spans="1:38">
      <c r="A60" s="4">
        <v>5</v>
      </c>
      <c r="B60" s="5">
        <v>1</v>
      </c>
      <c r="C60" s="5">
        <v>-3</v>
      </c>
      <c r="D60" s="5">
        <v>-3</v>
      </c>
      <c r="E60" s="5">
        <v>-1</v>
      </c>
      <c r="F60" s="5">
        <v>-8</v>
      </c>
      <c r="G60" s="5">
        <v>-3</v>
      </c>
      <c r="H60" s="5">
        <v>4</v>
      </c>
      <c r="I60" s="5">
        <v>-3</v>
      </c>
      <c r="J60" s="5">
        <v>3</v>
      </c>
      <c r="K60" s="5">
        <v>1</v>
      </c>
      <c r="L60" s="5">
        <v>6</v>
      </c>
      <c r="M60" s="5">
        <v>15</v>
      </c>
      <c r="N60" s="5">
        <v>0</v>
      </c>
      <c r="O60" s="5">
        <v>8</v>
      </c>
      <c r="P60" s="5">
        <v>1</v>
      </c>
      <c r="Q60" s="5">
        <v>-7</v>
      </c>
      <c r="R60" s="5">
        <v>0</v>
      </c>
      <c r="S60" s="5">
        <v>-19</v>
      </c>
      <c r="T60" s="5">
        <v>2</v>
      </c>
      <c r="U60" s="5">
        <v>2</v>
      </c>
      <c r="V60" s="5">
        <v>-6</v>
      </c>
      <c r="W60" s="5">
        <v>-3</v>
      </c>
      <c r="X60" s="5">
        <v>-3</v>
      </c>
      <c r="Y60" s="5">
        <v>-12</v>
      </c>
      <c r="Z60" s="5">
        <v>4</v>
      </c>
      <c r="AA60" s="5">
        <v>2</v>
      </c>
      <c r="AB60" s="5">
        <v>6</v>
      </c>
      <c r="AC60" s="5">
        <v>9</v>
      </c>
      <c r="AD60" s="5">
        <v>-4</v>
      </c>
      <c r="AE60" s="5">
        <v>-1</v>
      </c>
      <c r="AF60" s="5">
        <v>-20</v>
      </c>
      <c r="AG60" s="5">
        <v>-10</v>
      </c>
      <c r="AH60" s="5">
        <v>-3</v>
      </c>
      <c r="AI60" s="5">
        <v>9</v>
      </c>
      <c r="AJ60" s="5">
        <v>-6</v>
      </c>
      <c r="AK60" s="5">
        <v>-4</v>
      </c>
      <c r="AL60" s="6">
        <v>-3</v>
      </c>
    </row>
    <row r="61" spans="1:38">
      <c r="A61" s="4">
        <v>-1</v>
      </c>
      <c r="B61" s="5">
        <v>3</v>
      </c>
      <c r="C61" s="5">
        <v>-7</v>
      </c>
      <c r="D61" s="5">
        <v>3</v>
      </c>
      <c r="E61" s="5">
        <v>-20</v>
      </c>
      <c r="F61" s="5">
        <v>3</v>
      </c>
      <c r="G61" s="5">
        <v>16</v>
      </c>
      <c r="H61" s="5">
        <v>32</v>
      </c>
      <c r="I61" s="5">
        <v>25</v>
      </c>
      <c r="J61" s="5">
        <v>-3</v>
      </c>
      <c r="K61" s="5">
        <v>-2</v>
      </c>
      <c r="L61" s="5">
        <v>5</v>
      </c>
      <c r="M61" s="5">
        <v>11</v>
      </c>
      <c r="N61" s="5">
        <v>-10</v>
      </c>
      <c r="O61" s="5">
        <v>-5</v>
      </c>
      <c r="P61" s="5">
        <v>41</v>
      </c>
      <c r="Q61" s="5">
        <v>-4</v>
      </c>
      <c r="R61" s="5">
        <v>10</v>
      </c>
      <c r="S61" s="5">
        <v>-24</v>
      </c>
      <c r="T61" s="5">
        <v>13</v>
      </c>
      <c r="U61" s="5">
        <v>2</v>
      </c>
      <c r="V61" s="5">
        <v>4</v>
      </c>
      <c r="W61" s="5">
        <v>11</v>
      </c>
      <c r="X61" s="5">
        <v>9</v>
      </c>
      <c r="Y61" s="5">
        <v>-17</v>
      </c>
      <c r="Z61" s="5">
        <v>-12</v>
      </c>
      <c r="AA61" s="5">
        <v>-1</v>
      </c>
      <c r="AB61" s="5">
        <v>10</v>
      </c>
      <c r="AC61" s="5">
        <v>35</v>
      </c>
      <c r="AD61" s="5">
        <v>10</v>
      </c>
      <c r="AE61" s="5">
        <v>-41</v>
      </c>
      <c r="AF61" s="5">
        <v>1</v>
      </c>
      <c r="AG61" s="5">
        <v>12</v>
      </c>
      <c r="AH61" s="5">
        <v>2</v>
      </c>
      <c r="AI61" s="5">
        <v>3</v>
      </c>
      <c r="AJ61" s="5">
        <v>13</v>
      </c>
      <c r="AK61" s="5">
        <v>14</v>
      </c>
      <c r="AL61" s="6">
        <v>-10</v>
      </c>
    </row>
    <row r="62" spans="1:38">
      <c r="A62" s="4">
        <v>0</v>
      </c>
      <c r="B62" s="5">
        <v>0</v>
      </c>
      <c r="C62" s="5">
        <v>5</v>
      </c>
      <c r="D62" s="5">
        <v>0</v>
      </c>
      <c r="E62" s="5">
        <v>2</v>
      </c>
      <c r="F62" s="5">
        <v>-1</v>
      </c>
      <c r="G62" s="5">
        <v>8</v>
      </c>
      <c r="H62" s="5">
        <v>1</v>
      </c>
      <c r="I62" s="5">
        <v>-1</v>
      </c>
      <c r="J62" s="5">
        <v>2</v>
      </c>
      <c r="K62" s="5">
        <v>4</v>
      </c>
      <c r="L62" s="5">
        <v>-9</v>
      </c>
      <c r="M62" s="5">
        <v>3</v>
      </c>
      <c r="N62" s="5">
        <v>5</v>
      </c>
      <c r="O62" s="5">
        <v>-1</v>
      </c>
      <c r="P62" s="5">
        <v>4</v>
      </c>
      <c r="Q62" s="5">
        <v>2</v>
      </c>
      <c r="R62" s="5">
        <v>3</v>
      </c>
      <c r="S62" s="5">
        <v>-9</v>
      </c>
      <c r="T62" s="5">
        <v>4</v>
      </c>
      <c r="U62" s="5">
        <v>-2</v>
      </c>
      <c r="V62" s="5">
        <v>-1</v>
      </c>
      <c r="W62" s="5">
        <v>0</v>
      </c>
      <c r="X62" s="5">
        <v>-1</v>
      </c>
      <c r="Y62" s="5">
        <v>-4</v>
      </c>
      <c r="Z62" s="5">
        <v>-7</v>
      </c>
      <c r="AA62" s="5">
        <v>-7</v>
      </c>
      <c r="AB62" s="5">
        <v>3</v>
      </c>
      <c r="AC62" s="5">
        <v>7</v>
      </c>
      <c r="AD62" s="5">
        <v>-7</v>
      </c>
      <c r="AE62" s="5">
        <v>-8</v>
      </c>
      <c r="AF62" s="5">
        <v>-3</v>
      </c>
      <c r="AG62" s="5">
        <v>15</v>
      </c>
      <c r="AH62" s="5">
        <v>3</v>
      </c>
      <c r="AI62" s="5">
        <v>0</v>
      </c>
      <c r="AJ62" s="5">
        <v>8</v>
      </c>
      <c r="AK62" s="5">
        <v>-4</v>
      </c>
      <c r="AL62" s="6">
        <v>9</v>
      </c>
    </row>
    <row r="63" spans="1:38">
      <c r="A63" s="4">
        <v>3</v>
      </c>
      <c r="B63" s="5">
        <v>-1</v>
      </c>
      <c r="C63" s="5">
        <v>-2</v>
      </c>
      <c r="D63" s="5">
        <v>3</v>
      </c>
      <c r="E63" s="5">
        <v>-1</v>
      </c>
      <c r="F63" s="5">
        <v>-4</v>
      </c>
      <c r="G63" s="5">
        <v>5</v>
      </c>
      <c r="H63" s="5">
        <v>2</v>
      </c>
      <c r="I63" s="5">
        <v>2</v>
      </c>
      <c r="J63" s="5">
        <v>10</v>
      </c>
      <c r="K63" s="5">
        <v>5</v>
      </c>
      <c r="L63" s="5">
        <v>-9</v>
      </c>
      <c r="M63" s="5">
        <v>-8</v>
      </c>
      <c r="N63" s="5">
        <v>3</v>
      </c>
      <c r="O63" s="5">
        <v>-7</v>
      </c>
      <c r="P63" s="5">
        <v>-2</v>
      </c>
      <c r="Q63" s="5">
        <v>8</v>
      </c>
      <c r="R63" s="5">
        <v>0</v>
      </c>
      <c r="S63" s="5">
        <v>0</v>
      </c>
      <c r="T63" s="5">
        <v>-2</v>
      </c>
      <c r="U63" s="5">
        <v>4</v>
      </c>
      <c r="V63" s="5">
        <v>-7</v>
      </c>
      <c r="W63" s="5">
        <v>-8</v>
      </c>
      <c r="X63" s="5">
        <v>2</v>
      </c>
      <c r="Y63" s="5">
        <v>-6</v>
      </c>
      <c r="Z63" s="5">
        <v>-6</v>
      </c>
      <c r="AA63" s="5">
        <v>-1</v>
      </c>
      <c r="AB63" s="5">
        <v>1</v>
      </c>
      <c r="AC63" s="5">
        <v>2</v>
      </c>
      <c r="AD63" s="5">
        <v>7</v>
      </c>
      <c r="AE63" s="5">
        <v>7</v>
      </c>
      <c r="AF63" s="5">
        <v>5</v>
      </c>
      <c r="AG63" s="5">
        <v>-6</v>
      </c>
      <c r="AH63" s="5">
        <v>-2</v>
      </c>
      <c r="AI63" s="5">
        <v>0</v>
      </c>
      <c r="AJ63" s="5">
        <v>-2</v>
      </c>
      <c r="AK63" s="5">
        <v>7</v>
      </c>
      <c r="AL63" s="6">
        <v>10</v>
      </c>
    </row>
    <row r="64" spans="1:38">
      <c r="A64" s="4">
        <v>-3</v>
      </c>
      <c r="B64" s="5">
        <v>-3</v>
      </c>
      <c r="C64" s="5">
        <v>-1</v>
      </c>
      <c r="D64" s="5">
        <v>0</v>
      </c>
      <c r="E64" s="5">
        <v>-10</v>
      </c>
      <c r="F64" s="5">
        <v>-5</v>
      </c>
      <c r="G64" s="5">
        <v>14</v>
      </c>
      <c r="H64" s="5">
        <v>6</v>
      </c>
      <c r="I64" s="5">
        <v>3</v>
      </c>
      <c r="J64" s="5">
        <v>0</v>
      </c>
      <c r="K64" s="5">
        <v>3</v>
      </c>
      <c r="L64" s="5">
        <v>5</v>
      </c>
      <c r="M64" s="5">
        <v>-2</v>
      </c>
      <c r="N64" s="5">
        <v>-11</v>
      </c>
      <c r="O64" s="5">
        <v>0</v>
      </c>
      <c r="P64" s="5">
        <v>19</v>
      </c>
      <c r="Q64" s="5">
        <v>-3</v>
      </c>
      <c r="R64" s="5">
        <v>-5</v>
      </c>
      <c r="S64" s="5">
        <v>-5</v>
      </c>
      <c r="T64" s="5">
        <v>5</v>
      </c>
      <c r="U64" s="5">
        <v>-16</v>
      </c>
      <c r="V64" s="5">
        <v>14</v>
      </c>
      <c r="W64" s="5">
        <v>6</v>
      </c>
      <c r="X64" s="5">
        <v>-6</v>
      </c>
      <c r="Y64" s="5">
        <v>14</v>
      </c>
      <c r="Z64" s="5">
        <v>9</v>
      </c>
      <c r="AA64" s="5">
        <v>-5</v>
      </c>
      <c r="AB64" s="5">
        <v>-1</v>
      </c>
      <c r="AC64" s="5">
        <v>6</v>
      </c>
      <c r="AD64" s="5">
        <v>8</v>
      </c>
      <c r="AE64" s="5">
        <v>1</v>
      </c>
      <c r="AF64" s="5">
        <v>2</v>
      </c>
      <c r="AG64" s="5">
        <v>-3</v>
      </c>
      <c r="AH64" s="5">
        <v>1</v>
      </c>
      <c r="AI64" s="5">
        <v>-9</v>
      </c>
      <c r="AJ64" s="5">
        <v>2</v>
      </c>
      <c r="AK64" s="5">
        <v>9</v>
      </c>
      <c r="AL64" s="6">
        <v>0</v>
      </c>
    </row>
    <row r="65" spans="1:38">
      <c r="A65" s="4">
        <v>3</v>
      </c>
      <c r="B65" s="5">
        <v>7</v>
      </c>
      <c r="C65" s="5">
        <v>10</v>
      </c>
      <c r="D65" s="5">
        <v>1</v>
      </c>
      <c r="E65" s="5">
        <v>10</v>
      </c>
      <c r="F65" s="5">
        <v>2</v>
      </c>
      <c r="G65" s="5">
        <v>-2</v>
      </c>
      <c r="H65" s="5">
        <v>2</v>
      </c>
      <c r="I65" s="5">
        <v>-3</v>
      </c>
      <c r="J65" s="5">
        <v>-6</v>
      </c>
      <c r="K65" s="5">
        <v>-4</v>
      </c>
      <c r="L65" s="5">
        <v>-5</v>
      </c>
      <c r="M65" s="5">
        <v>-7</v>
      </c>
      <c r="N65" s="5">
        <v>7</v>
      </c>
      <c r="O65" s="5">
        <v>0</v>
      </c>
      <c r="P65" s="5">
        <v>6</v>
      </c>
      <c r="Q65" s="5">
        <v>-6</v>
      </c>
      <c r="R65" s="5">
        <v>14</v>
      </c>
      <c r="S65" s="5">
        <v>5</v>
      </c>
      <c r="T65" s="5">
        <v>-8</v>
      </c>
      <c r="U65" s="5">
        <v>-19</v>
      </c>
      <c r="V65" s="5">
        <v>-2</v>
      </c>
      <c r="W65" s="5">
        <v>-13</v>
      </c>
      <c r="X65" s="5">
        <v>-23</v>
      </c>
      <c r="Y65" s="5">
        <v>8</v>
      </c>
      <c r="Z65" s="5">
        <v>-1</v>
      </c>
      <c r="AA65" s="5">
        <v>1</v>
      </c>
      <c r="AB65" s="5">
        <v>18</v>
      </c>
      <c r="AC65" s="5">
        <v>-4</v>
      </c>
      <c r="AD65" s="5">
        <v>-2</v>
      </c>
      <c r="AE65" s="5">
        <v>-14</v>
      </c>
      <c r="AF65" s="5">
        <v>0</v>
      </c>
      <c r="AG65" s="5">
        <v>11</v>
      </c>
      <c r="AH65" s="5">
        <v>9</v>
      </c>
      <c r="AI65" s="5">
        <v>-5</v>
      </c>
      <c r="AJ65" s="5">
        <v>5</v>
      </c>
      <c r="AK65" s="5">
        <v>12</v>
      </c>
      <c r="AL65" s="6">
        <v>9</v>
      </c>
    </row>
    <row r="66" spans="1:38">
      <c r="A66" s="4">
        <v>0</v>
      </c>
      <c r="B66" s="5">
        <v>0</v>
      </c>
      <c r="C66" s="5">
        <v>1</v>
      </c>
      <c r="D66" s="5">
        <v>0</v>
      </c>
      <c r="E66" s="5">
        <v>-5</v>
      </c>
      <c r="F66" s="5">
        <v>-6</v>
      </c>
      <c r="G66" s="5">
        <v>0</v>
      </c>
      <c r="H66" s="5">
        <v>3</v>
      </c>
      <c r="I66" s="5">
        <v>-1</v>
      </c>
      <c r="J66" s="5">
        <v>-2</v>
      </c>
      <c r="K66" s="5">
        <v>-2</v>
      </c>
      <c r="L66" s="5">
        <v>-5</v>
      </c>
      <c r="M66" s="5">
        <v>-6</v>
      </c>
      <c r="N66" s="5">
        <v>0</v>
      </c>
      <c r="O66" s="5">
        <v>2</v>
      </c>
      <c r="P66" s="5">
        <v>4</v>
      </c>
      <c r="Q66" s="5">
        <v>2</v>
      </c>
      <c r="R66" s="5">
        <v>-1</v>
      </c>
      <c r="S66" s="5">
        <v>1</v>
      </c>
      <c r="T66" s="5">
        <v>0</v>
      </c>
      <c r="U66" s="5">
        <v>1</v>
      </c>
      <c r="V66" s="5">
        <v>1</v>
      </c>
      <c r="W66" s="5">
        <v>8</v>
      </c>
      <c r="X66" s="5">
        <v>6</v>
      </c>
      <c r="Y66" s="5">
        <v>-1</v>
      </c>
      <c r="Z66" s="5">
        <v>0</v>
      </c>
      <c r="AA66" s="5">
        <v>8</v>
      </c>
      <c r="AB66" s="5">
        <v>1</v>
      </c>
      <c r="AC66" s="5">
        <v>6</v>
      </c>
      <c r="AD66" s="5">
        <v>-4</v>
      </c>
      <c r="AE66" s="5">
        <v>5</v>
      </c>
      <c r="AF66" s="5">
        <v>1</v>
      </c>
      <c r="AG66" s="5">
        <v>-3</v>
      </c>
      <c r="AH66" s="5">
        <v>-2</v>
      </c>
      <c r="AI66" s="5">
        <v>0</v>
      </c>
      <c r="AJ66" s="5">
        <v>8</v>
      </c>
      <c r="AK66" s="5">
        <v>-3</v>
      </c>
      <c r="AL66" s="6">
        <v>5</v>
      </c>
    </row>
    <row r="67" spans="1:38">
      <c r="A67" s="4">
        <v>-10</v>
      </c>
      <c r="B67" s="5">
        <v>6</v>
      </c>
      <c r="C67" s="5">
        <v>9</v>
      </c>
      <c r="D67" s="5">
        <v>-4</v>
      </c>
      <c r="E67" s="5">
        <v>6</v>
      </c>
      <c r="F67" s="5">
        <v>35</v>
      </c>
      <c r="G67" s="5">
        <v>-21</v>
      </c>
      <c r="H67" s="5">
        <v>8</v>
      </c>
      <c r="I67" s="5">
        <v>-46</v>
      </c>
      <c r="J67" s="5">
        <v>4</v>
      </c>
      <c r="K67" s="5">
        <v>39</v>
      </c>
      <c r="L67" s="5">
        <v>-21</v>
      </c>
      <c r="M67" s="5">
        <v>-3</v>
      </c>
      <c r="N67" s="5">
        <v>-8</v>
      </c>
      <c r="O67" s="5">
        <v>5</v>
      </c>
      <c r="P67" s="5">
        <v>-7</v>
      </c>
      <c r="Q67" s="5">
        <v>23</v>
      </c>
      <c r="R67" s="5">
        <v>-1</v>
      </c>
      <c r="S67" s="5">
        <v>-41</v>
      </c>
      <c r="T67" s="5">
        <v>-5</v>
      </c>
      <c r="U67" s="5">
        <v>8</v>
      </c>
      <c r="V67" s="5">
        <v>7</v>
      </c>
      <c r="W67" s="5">
        <v>5</v>
      </c>
      <c r="X67" s="5">
        <v>-2</v>
      </c>
      <c r="Y67" s="5">
        <v>8</v>
      </c>
      <c r="Z67" s="5">
        <v>-9</v>
      </c>
      <c r="AA67" s="5">
        <v>0</v>
      </c>
      <c r="AB67" s="5">
        <v>-9</v>
      </c>
      <c r="AC67" s="5">
        <v>-27</v>
      </c>
      <c r="AD67" s="5">
        <v>38</v>
      </c>
      <c r="AE67" s="5">
        <v>-11</v>
      </c>
      <c r="AF67" s="5">
        <v>-19</v>
      </c>
      <c r="AG67" s="5">
        <v>5</v>
      </c>
      <c r="AH67" s="5">
        <v>-9</v>
      </c>
      <c r="AI67" s="5">
        <v>14</v>
      </c>
      <c r="AJ67" s="5">
        <v>-5</v>
      </c>
      <c r="AK67" s="5">
        <v>-15</v>
      </c>
      <c r="AL67" s="6">
        <v>-17</v>
      </c>
    </row>
    <row r="68" spans="1:38">
      <c r="A68" s="4">
        <v>-26</v>
      </c>
      <c r="B68" s="5">
        <v>13</v>
      </c>
      <c r="C68" s="5">
        <v>41</v>
      </c>
      <c r="D68" s="5">
        <v>-22</v>
      </c>
      <c r="E68" s="5">
        <v>-4</v>
      </c>
      <c r="F68" s="5">
        <v>-16</v>
      </c>
      <c r="G68" s="5">
        <v>-60</v>
      </c>
      <c r="H68" s="5">
        <v>34</v>
      </c>
      <c r="I68" s="5">
        <v>22</v>
      </c>
      <c r="J68" s="5">
        <v>32</v>
      </c>
      <c r="K68" s="5">
        <v>-23</v>
      </c>
      <c r="L68" s="5">
        <v>-7</v>
      </c>
      <c r="M68" s="5">
        <v>14</v>
      </c>
      <c r="N68" s="5">
        <v>29</v>
      </c>
      <c r="O68" s="5">
        <v>56</v>
      </c>
      <c r="P68" s="5">
        <v>31</v>
      </c>
      <c r="Q68" s="5">
        <v>8</v>
      </c>
      <c r="R68" s="5">
        <v>0</v>
      </c>
      <c r="S68" s="5">
        <v>-28</v>
      </c>
      <c r="T68" s="5">
        <v>55</v>
      </c>
      <c r="U68" s="5">
        <v>12</v>
      </c>
      <c r="V68" s="5">
        <v>-47</v>
      </c>
      <c r="W68" s="5">
        <v>-49</v>
      </c>
      <c r="X68" s="5">
        <v>-25</v>
      </c>
      <c r="Y68" s="5">
        <v>59</v>
      </c>
      <c r="Z68" s="5">
        <v>-29</v>
      </c>
      <c r="AA68" s="5">
        <v>30</v>
      </c>
      <c r="AB68" s="5">
        <v>-13</v>
      </c>
      <c r="AC68" s="5">
        <v>-30</v>
      </c>
      <c r="AD68" s="5">
        <v>0</v>
      </c>
      <c r="AE68" s="5">
        <v>46</v>
      </c>
      <c r="AF68" s="5">
        <v>11</v>
      </c>
      <c r="AG68" s="5">
        <v>-7</v>
      </c>
      <c r="AH68" s="5">
        <v>-29</v>
      </c>
      <c r="AI68" s="5">
        <v>-2</v>
      </c>
      <c r="AJ68" s="5">
        <v>-42</v>
      </c>
      <c r="AK68" s="5">
        <v>8</v>
      </c>
      <c r="AL68" s="6">
        <v>-12</v>
      </c>
    </row>
    <row r="69" spans="1:38">
      <c r="A69" s="4">
        <v>-19</v>
      </c>
      <c r="B69" s="5">
        <v>-6</v>
      </c>
      <c r="C69" s="5">
        <v>5</v>
      </c>
      <c r="D69" s="5">
        <v>10</v>
      </c>
      <c r="E69" s="5">
        <v>9</v>
      </c>
      <c r="F69" s="5">
        <v>-1</v>
      </c>
      <c r="G69" s="5">
        <v>-26</v>
      </c>
      <c r="H69" s="5">
        <v>6</v>
      </c>
      <c r="I69" s="5">
        <v>-4</v>
      </c>
      <c r="J69" s="5">
        <v>7</v>
      </c>
      <c r="K69" s="5">
        <v>-13</v>
      </c>
      <c r="L69" s="5">
        <v>2</v>
      </c>
      <c r="M69" s="5">
        <v>-3</v>
      </c>
      <c r="N69" s="5">
        <v>2</v>
      </c>
      <c r="O69" s="5">
        <v>14</v>
      </c>
      <c r="P69" s="5">
        <v>6</v>
      </c>
      <c r="Q69" s="5">
        <v>5</v>
      </c>
      <c r="R69" s="5">
        <v>-13</v>
      </c>
      <c r="S69" s="5">
        <v>-4</v>
      </c>
      <c r="T69" s="5">
        <v>18</v>
      </c>
      <c r="U69" s="5">
        <v>10</v>
      </c>
      <c r="V69" s="5">
        <v>-5</v>
      </c>
      <c r="W69" s="5">
        <v>-4</v>
      </c>
      <c r="X69" s="5">
        <v>-13</v>
      </c>
      <c r="Y69" s="5">
        <v>8</v>
      </c>
      <c r="Z69" s="5">
        <v>-1</v>
      </c>
      <c r="AA69" s="5">
        <v>-2</v>
      </c>
      <c r="AB69" s="5">
        <v>6</v>
      </c>
      <c r="AC69" s="5">
        <v>-26</v>
      </c>
      <c r="AD69" s="5">
        <v>15</v>
      </c>
      <c r="AE69" s="5">
        <v>26</v>
      </c>
      <c r="AF69" s="5">
        <v>8</v>
      </c>
      <c r="AG69" s="5">
        <v>6</v>
      </c>
      <c r="AH69" s="5">
        <v>-4</v>
      </c>
      <c r="AI69" s="5">
        <v>0</v>
      </c>
      <c r="AJ69" s="5">
        <v>-34</v>
      </c>
      <c r="AK69" s="5">
        <v>-13</v>
      </c>
      <c r="AL69" s="6">
        <v>1</v>
      </c>
    </row>
    <row r="70" spans="1:38">
      <c r="A70" s="4">
        <v>-22</v>
      </c>
      <c r="B70" s="5">
        <v>-24</v>
      </c>
      <c r="C70" s="5">
        <v>20</v>
      </c>
      <c r="D70" s="5">
        <v>-9</v>
      </c>
      <c r="E70" s="5">
        <v>-18</v>
      </c>
      <c r="F70" s="5">
        <v>6</v>
      </c>
      <c r="G70" s="5">
        <v>-43</v>
      </c>
      <c r="H70" s="5">
        <v>8</v>
      </c>
      <c r="I70" s="5">
        <v>17</v>
      </c>
      <c r="J70" s="5">
        <v>-9</v>
      </c>
      <c r="K70" s="5">
        <v>-33</v>
      </c>
      <c r="L70" s="5">
        <v>-27</v>
      </c>
      <c r="M70" s="5">
        <v>15</v>
      </c>
      <c r="N70" s="5">
        <v>15</v>
      </c>
      <c r="O70" s="5">
        <v>51</v>
      </c>
      <c r="P70" s="5">
        <v>12</v>
      </c>
      <c r="Q70" s="5">
        <v>-20</v>
      </c>
      <c r="R70" s="5">
        <v>5</v>
      </c>
      <c r="S70" s="5">
        <v>-2</v>
      </c>
      <c r="T70" s="5">
        <v>6</v>
      </c>
      <c r="U70" s="5">
        <v>4</v>
      </c>
      <c r="V70" s="5">
        <v>-3</v>
      </c>
      <c r="W70" s="5">
        <v>-29</v>
      </c>
      <c r="X70" s="5">
        <v>-16</v>
      </c>
      <c r="Y70" s="5">
        <v>42</v>
      </c>
      <c r="Z70" s="5">
        <v>-8</v>
      </c>
      <c r="AA70" s="5">
        <v>-15</v>
      </c>
      <c r="AB70" s="5">
        <v>1</v>
      </c>
      <c r="AC70" s="5">
        <v>32</v>
      </c>
      <c r="AD70" s="5">
        <v>-21</v>
      </c>
      <c r="AE70" s="5">
        <v>7</v>
      </c>
      <c r="AF70" s="5">
        <v>-4</v>
      </c>
      <c r="AG70" s="5">
        <v>9</v>
      </c>
      <c r="AH70" s="5">
        <v>-14</v>
      </c>
      <c r="AI70" s="5">
        <v>-13</v>
      </c>
      <c r="AJ70" s="5">
        <v>-25</v>
      </c>
      <c r="AK70" s="5">
        <v>-8</v>
      </c>
      <c r="AL70" s="6">
        <v>9</v>
      </c>
    </row>
    <row r="71" spans="1:38">
      <c r="A71" s="4">
        <v>-6</v>
      </c>
      <c r="B71" s="5">
        <v>1</v>
      </c>
      <c r="C71" s="5">
        <v>-3</v>
      </c>
      <c r="D71" s="5">
        <v>-9</v>
      </c>
      <c r="E71" s="5">
        <v>-8</v>
      </c>
      <c r="F71" s="5">
        <v>-9</v>
      </c>
      <c r="G71" s="5">
        <v>-6</v>
      </c>
      <c r="H71" s="5">
        <v>-6</v>
      </c>
      <c r="I71" s="5">
        <v>1</v>
      </c>
      <c r="J71" s="5">
        <v>-1</v>
      </c>
      <c r="K71" s="5">
        <v>-3</v>
      </c>
      <c r="L71" s="5">
        <v>-3</v>
      </c>
      <c r="M71" s="5">
        <v>2</v>
      </c>
      <c r="N71" s="5">
        <v>-10</v>
      </c>
      <c r="O71" s="5">
        <v>8</v>
      </c>
      <c r="P71" s="5">
        <v>5</v>
      </c>
      <c r="Q71" s="5">
        <v>-6</v>
      </c>
      <c r="R71" s="5">
        <v>-12</v>
      </c>
      <c r="S71" s="5">
        <v>4</v>
      </c>
      <c r="T71" s="5">
        <v>13</v>
      </c>
      <c r="U71" s="5">
        <v>6</v>
      </c>
      <c r="V71" s="5">
        <v>-4</v>
      </c>
      <c r="W71" s="5">
        <v>0</v>
      </c>
      <c r="X71" s="5">
        <v>-13</v>
      </c>
      <c r="Y71" s="5">
        <v>13</v>
      </c>
      <c r="Z71" s="5">
        <v>9</v>
      </c>
      <c r="AA71" s="5">
        <v>-3</v>
      </c>
      <c r="AB71" s="5">
        <v>-1</v>
      </c>
      <c r="AC71" s="5">
        <v>11</v>
      </c>
      <c r="AD71" s="5">
        <v>-2</v>
      </c>
      <c r="AE71" s="5">
        <v>16</v>
      </c>
      <c r="AF71" s="5">
        <v>-21</v>
      </c>
      <c r="AG71" s="5">
        <v>5</v>
      </c>
      <c r="AH71" s="5">
        <v>-1</v>
      </c>
      <c r="AI71" s="5">
        <v>22</v>
      </c>
      <c r="AJ71" s="5">
        <v>3</v>
      </c>
      <c r="AK71" s="5">
        <v>10</v>
      </c>
      <c r="AL71" s="6">
        <v>10</v>
      </c>
    </row>
    <row r="72" spans="1:38">
      <c r="A72" s="4">
        <v>1</v>
      </c>
      <c r="B72" s="5">
        <v>-10</v>
      </c>
      <c r="C72" s="5">
        <v>15</v>
      </c>
      <c r="D72" s="5">
        <v>-9</v>
      </c>
      <c r="E72" s="5">
        <v>-7</v>
      </c>
      <c r="F72" s="5">
        <v>-14</v>
      </c>
      <c r="G72" s="5">
        <v>-39</v>
      </c>
      <c r="H72" s="5">
        <v>-5</v>
      </c>
      <c r="I72" s="5">
        <v>10</v>
      </c>
      <c r="J72" s="5">
        <v>18</v>
      </c>
      <c r="K72" s="5">
        <v>11</v>
      </c>
      <c r="L72" s="5">
        <v>21</v>
      </c>
      <c r="M72" s="5">
        <v>6</v>
      </c>
      <c r="N72" s="5">
        <v>0</v>
      </c>
      <c r="O72" s="5">
        <v>9</v>
      </c>
      <c r="P72" s="5">
        <v>20</v>
      </c>
      <c r="Q72" s="5">
        <v>5</v>
      </c>
      <c r="R72" s="5">
        <v>1</v>
      </c>
      <c r="S72" s="5">
        <v>-17</v>
      </c>
      <c r="T72" s="5">
        <v>28</v>
      </c>
      <c r="U72" s="5">
        <v>2</v>
      </c>
      <c r="V72" s="5">
        <v>-8</v>
      </c>
      <c r="W72" s="5">
        <v>-5</v>
      </c>
      <c r="X72" s="5">
        <v>-29</v>
      </c>
      <c r="Y72" s="5">
        <v>29</v>
      </c>
      <c r="Z72" s="5">
        <v>-2</v>
      </c>
      <c r="AA72" s="5">
        <v>37</v>
      </c>
      <c r="AB72" s="5">
        <v>-4</v>
      </c>
      <c r="AC72" s="5">
        <v>-22</v>
      </c>
      <c r="AD72" s="5">
        <v>-17</v>
      </c>
      <c r="AE72" s="5">
        <v>4</v>
      </c>
      <c r="AF72" s="5">
        <v>13</v>
      </c>
      <c r="AG72" s="5">
        <v>-4</v>
      </c>
      <c r="AH72" s="5">
        <v>4</v>
      </c>
      <c r="AI72" s="5">
        <v>-10</v>
      </c>
      <c r="AJ72" s="5">
        <v>-7</v>
      </c>
      <c r="AK72" s="5">
        <v>5</v>
      </c>
      <c r="AL72" s="6">
        <v>-10</v>
      </c>
    </row>
    <row r="73" spans="1:38">
      <c r="A73" s="4">
        <v>-15</v>
      </c>
      <c r="B73" s="5">
        <v>6</v>
      </c>
      <c r="C73" s="5">
        <v>8</v>
      </c>
      <c r="D73" s="5">
        <v>5</v>
      </c>
      <c r="E73" s="5">
        <v>10</v>
      </c>
      <c r="F73" s="5">
        <v>1</v>
      </c>
      <c r="G73" s="5">
        <v>-39</v>
      </c>
      <c r="H73" s="5">
        <v>-3</v>
      </c>
      <c r="I73" s="5">
        <v>17</v>
      </c>
      <c r="J73" s="5">
        <v>27</v>
      </c>
      <c r="K73" s="5">
        <v>-13</v>
      </c>
      <c r="L73" s="5">
        <v>1</v>
      </c>
      <c r="M73" s="5">
        <v>9</v>
      </c>
      <c r="N73" s="5">
        <v>12</v>
      </c>
      <c r="O73" s="5">
        <v>23</v>
      </c>
      <c r="P73" s="5">
        <v>34</v>
      </c>
      <c r="Q73" s="5">
        <v>-3</v>
      </c>
      <c r="R73" s="5">
        <v>20</v>
      </c>
      <c r="S73" s="5">
        <v>-20</v>
      </c>
      <c r="T73" s="5">
        <v>36</v>
      </c>
      <c r="U73" s="5">
        <v>-20</v>
      </c>
      <c r="V73" s="5">
        <v>-38</v>
      </c>
      <c r="W73" s="5">
        <v>-9</v>
      </c>
      <c r="X73" s="5">
        <v>-28</v>
      </c>
      <c r="Y73" s="5">
        <v>12</v>
      </c>
      <c r="Z73" s="5">
        <v>-9</v>
      </c>
      <c r="AA73" s="5">
        <v>24</v>
      </c>
      <c r="AB73" s="5">
        <v>-28</v>
      </c>
      <c r="AC73" s="5">
        <v>-59</v>
      </c>
      <c r="AD73" s="5">
        <v>-15</v>
      </c>
      <c r="AE73" s="5">
        <v>25</v>
      </c>
      <c r="AF73" s="5">
        <v>8</v>
      </c>
      <c r="AG73" s="5">
        <v>9</v>
      </c>
      <c r="AH73" s="5">
        <v>13</v>
      </c>
      <c r="AI73" s="5">
        <v>-39</v>
      </c>
      <c r="AJ73" s="5">
        <v>-2</v>
      </c>
      <c r="AK73" s="5">
        <v>-19</v>
      </c>
      <c r="AL73" s="6">
        <v>-8</v>
      </c>
    </row>
    <row r="74" spans="1:38">
      <c r="A74" s="4">
        <v>-10</v>
      </c>
      <c r="B74" s="5">
        <v>-14</v>
      </c>
      <c r="C74" s="5">
        <v>11</v>
      </c>
      <c r="D74" s="5">
        <v>2</v>
      </c>
      <c r="E74" s="5">
        <v>-4</v>
      </c>
      <c r="F74" s="5">
        <v>-2</v>
      </c>
      <c r="G74" s="5">
        <v>-22</v>
      </c>
      <c r="H74" s="5">
        <v>-13</v>
      </c>
      <c r="I74" s="5">
        <v>-1</v>
      </c>
      <c r="J74" s="5">
        <v>-1</v>
      </c>
      <c r="K74" s="5">
        <v>-8</v>
      </c>
      <c r="L74" s="5">
        <v>6</v>
      </c>
      <c r="M74" s="5">
        <v>2</v>
      </c>
      <c r="N74" s="5">
        <v>-3</v>
      </c>
      <c r="O74" s="5">
        <v>5</v>
      </c>
      <c r="P74" s="5">
        <v>22</v>
      </c>
      <c r="Q74" s="5">
        <v>1</v>
      </c>
      <c r="R74" s="5">
        <v>-10</v>
      </c>
      <c r="S74" s="5">
        <v>1</v>
      </c>
      <c r="T74" s="5">
        <v>11</v>
      </c>
      <c r="U74" s="5">
        <v>2</v>
      </c>
      <c r="V74" s="5">
        <v>-4</v>
      </c>
      <c r="W74" s="5">
        <v>-5</v>
      </c>
      <c r="X74" s="5">
        <v>-9</v>
      </c>
      <c r="Y74" s="5">
        <v>9</v>
      </c>
      <c r="Z74" s="5">
        <v>-13</v>
      </c>
      <c r="AA74" s="5">
        <v>4</v>
      </c>
      <c r="AB74" s="5">
        <v>-6</v>
      </c>
      <c r="AC74" s="5">
        <v>3</v>
      </c>
      <c r="AD74" s="5">
        <v>-14</v>
      </c>
      <c r="AE74" s="5">
        <v>1</v>
      </c>
      <c r="AF74" s="5">
        <v>-4</v>
      </c>
      <c r="AG74" s="5">
        <v>12</v>
      </c>
      <c r="AH74" s="5">
        <v>5</v>
      </c>
      <c r="AI74" s="5">
        <v>-7</v>
      </c>
      <c r="AJ74" s="5">
        <v>-8</v>
      </c>
      <c r="AK74" s="5">
        <v>-4</v>
      </c>
      <c r="AL74" s="6">
        <v>8</v>
      </c>
    </row>
    <row r="75" spans="1:38">
      <c r="A75" s="4">
        <v>-6</v>
      </c>
      <c r="B75" s="5">
        <v>11</v>
      </c>
      <c r="C75" s="5">
        <v>30</v>
      </c>
      <c r="D75" s="5">
        <v>-14</v>
      </c>
      <c r="E75" s="5">
        <v>-23</v>
      </c>
      <c r="F75" s="5">
        <v>0</v>
      </c>
      <c r="G75" s="5">
        <v>-11</v>
      </c>
      <c r="H75" s="5">
        <v>8</v>
      </c>
      <c r="I75" s="5">
        <v>-2</v>
      </c>
      <c r="J75" s="5">
        <v>23</v>
      </c>
      <c r="K75" s="5">
        <v>3</v>
      </c>
      <c r="L75" s="5">
        <v>16</v>
      </c>
      <c r="M75" s="5">
        <v>15</v>
      </c>
      <c r="N75" s="5">
        <v>17</v>
      </c>
      <c r="O75" s="5">
        <v>49</v>
      </c>
      <c r="P75" s="5">
        <v>14</v>
      </c>
      <c r="Q75" s="5">
        <v>9</v>
      </c>
      <c r="R75" s="5">
        <v>-11</v>
      </c>
      <c r="S75" s="5">
        <v>-22</v>
      </c>
      <c r="T75" s="5">
        <v>28</v>
      </c>
      <c r="U75" s="5">
        <v>15</v>
      </c>
      <c r="V75" s="5">
        <v>-31</v>
      </c>
      <c r="W75" s="5">
        <v>-8</v>
      </c>
      <c r="X75" s="5">
        <v>3</v>
      </c>
      <c r="Y75" s="5">
        <v>35</v>
      </c>
      <c r="Z75" s="5">
        <v>-22</v>
      </c>
      <c r="AA75" s="5">
        <v>71</v>
      </c>
      <c r="AB75" s="5">
        <v>-13</v>
      </c>
      <c r="AC75" s="5">
        <v>-29</v>
      </c>
      <c r="AD75" s="5">
        <v>-13</v>
      </c>
      <c r="AE75" s="5">
        <v>2</v>
      </c>
      <c r="AF75" s="5">
        <v>-27</v>
      </c>
      <c r="AG75" s="5">
        <v>8</v>
      </c>
      <c r="AH75" s="5">
        <v>-21</v>
      </c>
      <c r="AI75" s="5">
        <v>4</v>
      </c>
      <c r="AJ75" s="5">
        <v>9</v>
      </c>
      <c r="AK75" s="5">
        <v>29</v>
      </c>
      <c r="AL75" s="6">
        <v>-11</v>
      </c>
    </row>
    <row r="76" spans="1:38">
      <c r="A76" s="4">
        <v>10</v>
      </c>
      <c r="B76" s="5">
        <v>18</v>
      </c>
      <c r="C76" s="5">
        <v>-7</v>
      </c>
      <c r="D76" s="5">
        <v>10</v>
      </c>
      <c r="E76" s="5">
        <v>9</v>
      </c>
      <c r="F76" s="5">
        <v>3</v>
      </c>
      <c r="G76" s="5">
        <v>2</v>
      </c>
      <c r="H76" s="5">
        <v>2</v>
      </c>
      <c r="I76" s="5">
        <v>20</v>
      </c>
      <c r="J76" s="5">
        <v>5</v>
      </c>
      <c r="K76" s="5">
        <v>-4</v>
      </c>
      <c r="L76" s="5">
        <v>2</v>
      </c>
      <c r="M76" s="5">
        <v>-11</v>
      </c>
      <c r="N76" s="5">
        <v>2</v>
      </c>
      <c r="O76" s="5">
        <v>-5</v>
      </c>
      <c r="P76" s="5">
        <v>14</v>
      </c>
      <c r="Q76" s="5">
        <v>-2</v>
      </c>
      <c r="R76" s="5">
        <v>-20</v>
      </c>
      <c r="S76" s="5">
        <v>0</v>
      </c>
      <c r="T76" s="5">
        <v>5</v>
      </c>
      <c r="U76" s="5">
        <v>-16</v>
      </c>
      <c r="V76" s="5">
        <v>-1</v>
      </c>
      <c r="W76" s="5">
        <v>4</v>
      </c>
      <c r="X76" s="5">
        <v>10</v>
      </c>
      <c r="Y76" s="5">
        <v>11</v>
      </c>
      <c r="Z76" s="5">
        <v>-1</v>
      </c>
      <c r="AA76" s="5">
        <v>-8</v>
      </c>
      <c r="AB76" s="5">
        <v>6</v>
      </c>
      <c r="AC76" s="5">
        <v>1</v>
      </c>
      <c r="AD76" s="5">
        <v>-9</v>
      </c>
      <c r="AE76" s="5">
        <v>27</v>
      </c>
      <c r="AF76" s="5">
        <v>17</v>
      </c>
      <c r="AG76" s="5">
        <v>4</v>
      </c>
      <c r="AH76" s="5">
        <v>-11</v>
      </c>
      <c r="AI76" s="5">
        <v>9</v>
      </c>
      <c r="AJ76" s="5">
        <v>26</v>
      </c>
      <c r="AK76" s="5">
        <v>-17</v>
      </c>
      <c r="AL76" s="6">
        <v>27</v>
      </c>
    </row>
    <row r="77" spans="1:38">
      <c r="A77" s="4">
        <v>3</v>
      </c>
      <c r="B77" s="5">
        <v>3</v>
      </c>
      <c r="C77" s="5">
        <v>-3</v>
      </c>
      <c r="D77" s="5">
        <v>1</v>
      </c>
      <c r="E77" s="5">
        <v>2</v>
      </c>
      <c r="F77" s="5">
        <v>0</v>
      </c>
      <c r="G77" s="5">
        <v>-4</v>
      </c>
      <c r="H77" s="5">
        <v>-5</v>
      </c>
      <c r="I77" s="5">
        <v>1</v>
      </c>
      <c r="J77" s="5">
        <v>2</v>
      </c>
      <c r="K77" s="5">
        <v>-4</v>
      </c>
      <c r="L77" s="5">
        <v>1</v>
      </c>
      <c r="M77" s="5">
        <v>-1</v>
      </c>
      <c r="N77" s="5">
        <v>0</v>
      </c>
      <c r="O77" s="5">
        <v>3</v>
      </c>
      <c r="P77" s="5">
        <v>-4</v>
      </c>
      <c r="Q77" s="5">
        <v>4</v>
      </c>
      <c r="R77" s="5">
        <v>1</v>
      </c>
      <c r="S77" s="5">
        <v>9</v>
      </c>
      <c r="T77" s="5">
        <v>14</v>
      </c>
      <c r="U77" s="5">
        <v>-1</v>
      </c>
      <c r="V77" s="5">
        <v>-2</v>
      </c>
      <c r="W77" s="5">
        <v>6</v>
      </c>
      <c r="X77" s="5">
        <v>1</v>
      </c>
      <c r="Y77" s="5">
        <v>7</v>
      </c>
      <c r="Z77" s="5">
        <v>5</v>
      </c>
      <c r="AA77" s="5">
        <v>-8</v>
      </c>
      <c r="AB77" s="5">
        <v>-1</v>
      </c>
      <c r="AC77" s="5">
        <v>1</v>
      </c>
      <c r="AD77" s="5">
        <v>0</v>
      </c>
      <c r="AE77" s="5">
        <v>3</v>
      </c>
      <c r="AF77" s="5">
        <v>2</v>
      </c>
      <c r="AG77" s="5">
        <v>1</v>
      </c>
      <c r="AH77" s="5">
        <v>1</v>
      </c>
      <c r="AI77" s="5">
        <v>2</v>
      </c>
      <c r="AJ77" s="5">
        <v>9</v>
      </c>
      <c r="AK77" s="5">
        <v>-6</v>
      </c>
      <c r="AL77" s="6">
        <v>-6</v>
      </c>
    </row>
    <row r="78" spans="1:38">
      <c r="A78" s="4">
        <v>6</v>
      </c>
      <c r="B78" s="5">
        <v>6</v>
      </c>
      <c r="C78" s="5">
        <v>4</v>
      </c>
      <c r="D78" s="5">
        <v>-5</v>
      </c>
      <c r="E78" s="5">
        <v>7</v>
      </c>
      <c r="F78" s="5">
        <v>-18</v>
      </c>
      <c r="G78" s="5">
        <v>-2</v>
      </c>
      <c r="H78" s="5">
        <v>-12</v>
      </c>
      <c r="I78" s="5">
        <v>-17</v>
      </c>
      <c r="J78" s="5">
        <v>-9</v>
      </c>
      <c r="K78" s="5">
        <v>-26</v>
      </c>
      <c r="L78" s="5">
        <v>-1</v>
      </c>
      <c r="M78" s="5">
        <v>-26</v>
      </c>
      <c r="N78" s="5">
        <v>3</v>
      </c>
      <c r="O78" s="5">
        <v>5</v>
      </c>
      <c r="P78" s="5">
        <v>6</v>
      </c>
      <c r="Q78" s="5">
        <v>7</v>
      </c>
      <c r="R78" s="5">
        <v>36</v>
      </c>
      <c r="S78" s="5">
        <v>16</v>
      </c>
      <c r="T78" s="5">
        <v>3</v>
      </c>
      <c r="U78" s="5">
        <v>-24</v>
      </c>
      <c r="V78" s="5">
        <v>19</v>
      </c>
      <c r="W78" s="5">
        <v>10</v>
      </c>
      <c r="X78" s="5">
        <v>2</v>
      </c>
      <c r="Y78" s="5">
        <v>14</v>
      </c>
      <c r="Z78" s="5">
        <v>-4</v>
      </c>
      <c r="AA78" s="5">
        <v>19</v>
      </c>
      <c r="AB78" s="5">
        <v>-6</v>
      </c>
      <c r="AC78" s="5">
        <v>-12</v>
      </c>
      <c r="AD78" s="5">
        <v>14</v>
      </c>
      <c r="AE78" s="5">
        <v>-10</v>
      </c>
      <c r="AF78" s="5">
        <v>8</v>
      </c>
      <c r="AG78" s="5">
        <v>11</v>
      </c>
      <c r="AH78" s="5">
        <v>14</v>
      </c>
      <c r="AI78" s="5">
        <v>6</v>
      </c>
      <c r="AJ78" s="5">
        <v>16</v>
      </c>
      <c r="AK78" s="5">
        <v>8</v>
      </c>
      <c r="AL78" s="6">
        <v>14</v>
      </c>
    </row>
    <row r="79" spans="1:38">
      <c r="A79" s="4">
        <v>9</v>
      </c>
      <c r="B79" s="5">
        <v>0</v>
      </c>
      <c r="C79" s="5">
        <v>-10</v>
      </c>
      <c r="D79" s="5">
        <v>-1</v>
      </c>
      <c r="E79" s="5">
        <v>5</v>
      </c>
      <c r="F79" s="5">
        <v>4</v>
      </c>
      <c r="G79" s="5">
        <v>9</v>
      </c>
      <c r="H79" s="5">
        <v>-6</v>
      </c>
      <c r="I79" s="5">
        <v>-2</v>
      </c>
      <c r="J79" s="5">
        <v>17</v>
      </c>
      <c r="K79" s="5">
        <v>-4</v>
      </c>
      <c r="L79" s="5">
        <v>6</v>
      </c>
      <c r="M79" s="5">
        <v>5</v>
      </c>
      <c r="N79" s="5">
        <v>-2</v>
      </c>
      <c r="O79" s="5">
        <v>6</v>
      </c>
      <c r="P79" s="5">
        <v>-3</v>
      </c>
      <c r="Q79" s="5">
        <v>-3</v>
      </c>
      <c r="R79" s="5">
        <v>-3</v>
      </c>
      <c r="S79" s="5">
        <v>5</v>
      </c>
      <c r="T79" s="5">
        <v>7</v>
      </c>
      <c r="U79" s="5">
        <v>3</v>
      </c>
      <c r="V79" s="5">
        <v>5</v>
      </c>
      <c r="W79" s="5">
        <v>-1</v>
      </c>
      <c r="X79" s="5">
        <v>-4</v>
      </c>
      <c r="Y79" s="5">
        <v>10</v>
      </c>
      <c r="Z79" s="5">
        <v>-9</v>
      </c>
      <c r="AA79" s="5">
        <v>7</v>
      </c>
      <c r="AB79" s="5">
        <v>1</v>
      </c>
      <c r="AC79" s="5">
        <v>6</v>
      </c>
      <c r="AD79" s="5">
        <v>6</v>
      </c>
      <c r="AE79" s="5">
        <v>9</v>
      </c>
      <c r="AF79" s="5">
        <v>-4</v>
      </c>
      <c r="AG79" s="5">
        <v>3</v>
      </c>
      <c r="AH79" s="5">
        <v>-3</v>
      </c>
      <c r="AI79" s="5">
        <v>0</v>
      </c>
      <c r="AJ79" s="5">
        <v>6</v>
      </c>
      <c r="AK79" s="5">
        <v>7</v>
      </c>
      <c r="AL79" s="6">
        <v>9</v>
      </c>
    </row>
    <row r="80" spans="1:38">
      <c r="A80" s="4">
        <v>26</v>
      </c>
      <c r="B80" s="5">
        <v>9</v>
      </c>
      <c r="C80" s="5">
        <v>-35</v>
      </c>
      <c r="D80" s="5">
        <v>3</v>
      </c>
      <c r="E80" s="5">
        <v>16</v>
      </c>
      <c r="F80" s="5">
        <v>5</v>
      </c>
      <c r="G80" s="5">
        <v>1</v>
      </c>
      <c r="H80" s="5">
        <v>-14</v>
      </c>
      <c r="I80" s="5">
        <v>0</v>
      </c>
      <c r="J80" s="5">
        <v>28</v>
      </c>
      <c r="K80" s="5">
        <v>-21</v>
      </c>
      <c r="L80" s="5">
        <v>9</v>
      </c>
      <c r="M80" s="5">
        <v>8</v>
      </c>
      <c r="N80" s="5">
        <v>-21</v>
      </c>
      <c r="O80" s="5">
        <v>18</v>
      </c>
      <c r="P80" s="5">
        <v>-10</v>
      </c>
      <c r="Q80" s="5">
        <v>5</v>
      </c>
      <c r="R80" s="5">
        <v>-10</v>
      </c>
      <c r="S80" s="5">
        <v>17</v>
      </c>
      <c r="T80" s="5">
        <v>28</v>
      </c>
      <c r="U80" s="5">
        <v>0</v>
      </c>
      <c r="V80" s="5">
        <v>0</v>
      </c>
      <c r="W80" s="5">
        <v>13</v>
      </c>
      <c r="X80" s="5">
        <v>7</v>
      </c>
      <c r="Y80" s="5">
        <v>-9</v>
      </c>
      <c r="Z80" s="5">
        <v>-34</v>
      </c>
      <c r="AA80" s="5">
        <v>5</v>
      </c>
      <c r="AB80" s="5">
        <v>-1</v>
      </c>
      <c r="AC80" s="5">
        <v>28</v>
      </c>
      <c r="AD80" s="5">
        <v>21</v>
      </c>
      <c r="AE80" s="5">
        <v>5</v>
      </c>
      <c r="AF80" s="5">
        <v>-12</v>
      </c>
      <c r="AG80" s="5">
        <v>9</v>
      </c>
      <c r="AH80" s="5">
        <v>-1</v>
      </c>
      <c r="AI80" s="5">
        <v>-7</v>
      </c>
      <c r="AJ80" s="5">
        <v>12</v>
      </c>
      <c r="AK80" s="5">
        <v>11</v>
      </c>
      <c r="AL80" s="6">
        <v>24</v>
      </c>
    </row>
    <row r="81" spans="1:38">
      <c r="A81" s="4">
        <v>19</v>
      </c>
      <c r="B81" s="5">
        <v>10</v>
      </c>
      <c r="C81" s="5">
        <v>-18</v>
      </c>
      <c r="D81" s="5">
        <v>3</v>
      </c>
      <c r="E81" s="5">
        <v>13</v>
      </c>
      <c r="F81" s="5">
        <v>4</v>
      </c>
      <c r="G81" s="5">
        <v>4</v>
      </c>
      <c r="H81" s="5">
        <v>-8</v>
      </c>
      <c r="I81" s="5">
        <v>5</v>
      </c>
      <c r="J81" s="5">
        <v>22</v>
      </c>
      <c r="K81" s="5">
        <v>-19</v>
      </c>
      <c r="L81" s="5">
        <v>-1</v>
      </c>
      <c r="M81" s="5">
        <v>8</v>
      </c>
      <c r="N81" s="5">
        <v>-14</v>
      </c>
      <c r="O81" s="5">
        <v>14</v>
      </c>
      <c r="P81" s="5">
        <v>-4</v>
      </c>
      <c r="Q81" s="5">
        <v>11</v>
      </c>
      <c r="R81" s="5">
        <v>-7</v>
      </c>
      <c r="S81" s="5">
        <v>14</v>
      </c>
      <c r="T81" s="5">
        <v>23</v>
      </c>
      <c r="U81" s="5">
        <v>7</v>
      </c>
      <c r="V81" s="5">
        <v>-10</v>
      </c>
      <c r="W81" s="5">
        <v>8</v>
      </c>
      <c r="X81" s="5">
        <v>8</v>
      </c>
      <c r="Y81" s="5">
        <v>5</v>
      </c>
      <c r="Z81" s="5">
        <v>-25</v>
      </c>
      <c r="AA81" s="5">
        <v>9</v>
      </c>
      <c r="AB81" s="5">
        <v>-1</v>
      </c>
      <c r="AC81" s="5">
        <v>14</v>
      </c>
      <c r="AD81" s="5">
        <v>18</v>
      </c>
      <c r="AE81" s="5">
        <v>3</v>
      </c>
      <c r="AF81" s="5">
        <v>7</v>
      </c>
      <c r="AG81" s="5">
        <v>3</v>
      </c>
      <c r="AH81" s="5">
        <v>-4</v>
      </c>
      <c r="AI81" s="5">
        <v>5</v>
      </c>
      <c r="AJ81" s="5">
        <v>-4</v>
      </c>
      <c r="AK81" s="5">
        <v>15</v>
      </c>
      <c r="AL81" s="6">
        <v>9</v>
      </c>
    </row>
    <row r="82" spans="1:38">
      <c r="A82" s="4">
        <v>-31</v>
      </c>
      <c r="B82" s="5">
        <v>-1</v>
      </c>
      <c r="C82" s="5">
        <v>-25</v>
      </c>
      <c r="D82" s="5">
        <v>-14</v>
      </c>
      <c r="E82" s="5">
        <v>-5</v>
      </c>
      <c r="F82" s="5">
        <v>-10</v>
      </c>
      <c r="G82" s="5">
        <v>6</v>
      </c>
      <c r="H82" s="5">
        <v>1</v>
      </c>
      <c r="I82" s="5">
        <v>-36</v>
      </c>
      <c r="J82" s="5">
        <v>14</v>
      </c>
      <c r="K82" s="5">
        <v>-7</v>
      </c>
      <c r="L82" s="5">
        <v>23</v>
      </c>
      <c r="M82" s="5">
        <v>3</v>
      </c>
      <c r="N82" s="5">
        <v>-26</v>
      </c>
      <c r="O82" s="5">
        <v>-18</v>
      </c>
      <c r="P82" s="5">
        <v>-22</v>
      </c>
      <c r="Q82" s="5">
        <v>-15</v>
      </c>
      <c r="R82" s="5">
        <v>-9</v>
      </c>
      <c r="S82" s="5">
        <v>15</v>
      </c>
      <c r="T82" s="5">
        <v>-6</v>
      </c>
      <c r="U82" s="5">
        <v>-1</v>
      </c>
      <c r="V82" s="5">
        <v>-13</v>
      </c>
      <c r="W82" s="5">
        <v>-15</v>
      </c>
      <c r="X82" s="5">
        <v>-5</v>
      </c>
      <c r="Y82" s="5">
        <v>27</v>
      </c>
      <c r="Z82" s="5">
        <v>-9</v>
      </c>
      <c r="AA82" s="5">
        <v>9</v>
      </c>
      <c r="AB82" s="5">
        <v>6</v>
      </c>
      <c r="AC82" s="5">
        <v>9</v>
      </c>
      <c r="AD82" s="5">
        <v>-14</v>
      </c>
      <c r="AE82" s="5">
        <v>-12</v>
      </c>
      <c r="AF82" s="5">
        <v>2</v>
      </c>
      <c r="AG82" s="5">
        <v>-13</v>
      </c>
      <c r="AH82" s="5">
        <v>-11</v>
      </c>
      <c r="AI82" s="5">
        <v>9</v>
      </c>
      <c r="AJ82" s="5">
        <v>9</v>
      </c>
      <c r="AK82" s="5">
        <v>6</v>
      </c>
      <c r="AL82" s="6">
        <v>2</v>
      </c>
    </row>
    <row r="83" spans="1:38">
      <c r="A83" s="4">
        <v>-3</v>
      </c>
      <c r="B83" s="5">
        <v>-17</v>
      </c>
      <c r="C83" s="5">
        <v>0</v>
      </c>
      <c r="D83" s="5">
        <v>2</v>
      </c>
      <c r="E83" s="5">
        <v>10</v>
      </c>
      <c r="F83" s="5">
        <v>7</v>
      </c>
      <c r="G83" s="5">
        <v>-10</v>
      </c>
      <c r="H83" s="5">
        <v>0</v>
      </c>
      <c r="I83" s="5">
        <v>-5</v>
      </c>
      <c r="J83" s="5">
        <v>1</v>
      </c>
      <c r="K83" s="5">
        <v>-3</v>
      </c>
      <c r="L83" s="5">
        <v>0</v>
      </c>
      <c r="M83" s="5">
        <v>-9</v>
      </c>
      <c r="N83" s="5">
        <v>1</v>
      </c>
      <c r="O83" s="5">
        <v>4</v>
      </c>
      <c r="P83" s="5">
        <v>5</v>
      </c>
      <c r="Q83" s="5">
        <v>8</v>
      </c>
      <c r="R83" s="5">
        <v>-5</v>
      </c>
      <c r="S83" s="5">
        <v>20</v>
      </c>
      <c r="T83" s="5">
        <v>-1</v>
      </c>
      <c r="U83" s="5">
        <v>8</v>
      </c>
      <c r="V83" s="5">
        <v>6</v>
      </c>
      <c r="W83" s="5">
        <v>-12</v>
      </c>
      <c r="X83" s="5">
        <v>6</v>
      </c>
      <c r="Y83" s="5">
        <v>15</v>
      </c>
      <c r="Z83" s="5">
        <v>13</v>
      </c>
      <c r="AA83" s="5">
        <v>-10</v>
      </c>
      <c r="AB83" s="5">
        <v>9</v>
      </c>
      <c r="AC83" s="5">
        <v>1</v>
      </c>
      <c r="AD83" s="5">
        <v>11</v>
      </c>
      <c r="AE83" s="5">
        <v>-5</v>
      </c>
      <c r="AF83" s="5">
        <v>-10</v>
      </c>
      <c r="AG83" s="5">
        <v>16</v>
      </c>
      <c r="AH83" s="5">
        <v>-5</v>
      </c>
      <c r="AI83" s="5">
        <v>5</v>
      </c>
      <c r="AJ83" s="5">
        <v>15</v>
      </c>
      <c r="AK83" s="5">
        <v>-7</v>
      </c>
      <c r="AL83" s="6">
        <v>13</v>
      </c>
    </row>
    <row r="84" spans="1:38">
      <c r="A84" s="4">
        <v>9</v>
      </c>
      <c r="B84" s="5">
        <v>-19</v>
      </c>
      <c r="C84" s="5">
        <v>-2</v>
      </c>
      <c r="D84" s="5">
        <v>3</v>
      </c>
      <c r="E84" s="5">
        <v>-6</v>
      </c>
      <c r="F84" s="5">
        <v>6</v>
      </c>
      <c r="G84" s="5">
        <v>13</v>
      </c>
      <c r="H84" s="5">
        <v>-5</v>
      </c>
      <c r="I84" s="5">
        <v>5</v>
      </c>
      <c r="J84" s="5">
        <v>9</v>
      </c>
      <c r="K84" s="5">
        <v>22</v>
      </c>
      <c r="L84" s="5">
        <v>3</v>
      </c>
      <c r="M84" s="5">
        <v>-1</v>
      </c>
      <c r="N84" s="5">
        <v>8</v>
      </c>
      <c r="O84" s="5">
        <v>-3</v>
      </c>
      <c r="P84" s="5">
        <v>-7</v>
      </c>
      <c r="Q84" s="5">
        <v>16</v>
      </c>
      <c r="R84" s="5">
        <v>3</v>
      </c>
      <c r="S84" s="5">
        <v>7</v>
      </c>
      <c r="T84" s="5">
        <v>-10</v>
      </c>
      <c r="U84" s="5">
        <v>32</v>
      </c>
      <c r="V84" s="5">
        <v>27</v>
      </c>
      <c r="W84" s="5">
        <v>-14</v>
      </c>
      <c r="X84" s="5">
        <v>-11</v>
      </c>
      <c r="Y84" s="5">
        <v>9</v>
      </c>
      <c r="Z84" s="5">
        <v>8</v>
      </c>
      <c r="AA84" s="5">
        <v>7</v>
      </c>
      <c r="AB84" s="5">
        <v>-6</v>
      </c>
      <c r="AC84" s="5">
        <v>3</v>
      </c>
      <c r="AD84" s="5">
        <v>9</v>
      </c>
      <c r="AE84" s="5">
        <v>3</v>
      </c>
      <c r="AF84" s="5">
        <v>19</v>
      </c>
      <c r="AG84" s="5">
        <v>-2</v>
      </c>
      <c r="AH84" s="5">
        <v>9</v>
      </c>
      <c r="AI84" s="5">
        <v>24</v>
      </c>
      <c r="AJ84" s="5">
        <v>-2</v>
      </c>
      <c r="AK84" s="5">
        <v>-12</v>
      </c>
      <c r="AL84" s="6">
        <v>24</v>
      </c>
    </row>
    <row r="85" spans="1:38">
      <c r="A85" s="4">
        <v>13</v>
      </c>
      <c r="B85" s="5">
        <v>-6</v>
      </c>
      <c r="C85" s="5">
        <v>-5</v>
      </c>
      <c r="D85" s="5">
        <v>8</v>
      </c>
      <c r="E85" s="5">
        <v>1</v>
      </c>
      <c r="F85" s="5">
        <v>6</v>
      </c>
      <c r="G85" s="5">
        <v>1</v>
      </c>
      <c r="H85" s="5">
        <v>5</v>
      </c>
      <c r="I85" s="5">
        <v>-12</v>
      </c>
      <c r="J85" s="5">
        <v>-3</v>
      </c>
      <c r="K85" s="5">
        <v>-10</v>
      </c>
      <c r="L85" s="5">
        <v>2</v>
      </c>
      <c r="M85" s="5">
        <v>-4</v>
      </c>
      <c r="N85" s="5">
        <v>8</v>
      </c>
      <c r="O85" s="5">
        <v>15</v>
      </c>
      <c r="P85" s="5">
        <v>-7</v>
      </c>
      <c r="Q85" s="5">
        <v>5</v>
      </c>
      <c r="R85" s="5">
        <v>-34</v>
      </c>
      <c r="S85" s="5">
        <v>19</v>
      </c>
      <c r="T85" s="5">
        <v>28</v>
      </c>
      <c r="U85" s="5">
        <v>26</v>
      </c>
      <c r="V85" s="5">
        <v>20</v>
      </c>
      <c r="W85" s="5">
        <v>6</v>
      </c>
      <c r="X85" s="5">
        <v>13</v>
      </c>
      <c r="Y85" s="5">
        <v>13</v>
      </c>
      <c r="Z85" s="5">
        <v>40</v>
      </c>
      <c r="AA85" s="5">
        <v>-5</v>
      </c>
      <c r="AB85" s="5">
        <v>14</v>
      </c>
      <c r="AC85" s="5">
        <v>-27</v>
      </c>
      <c r="AD85" s="5">
        <v>5</v>
      </c>
      <c r="AE85" s="5">
        <v>-17</v>
      </c>
      <c r="AF85" s="5">
        <v>-14</v>
      </c>
      <c r="AG85" s="5">
        <v>33</v>
      </c>
      <c r="AH85" s="5">
        <v>20</v>
      </c>
      <c r="AI85" s="5">
        <v>-6</v>
      </c>
      <c r="AJ85" s="5">
        <v>-18</v>
      </c>
      <c r="AK85" s="5">
        <v>-2</v>
      </c>
      <c r="AL85" s="6">
        <v>7</v>
      </c>
    </row>
    <row r="86" spans="1:38">
      <c r="A86" s="4">
        <v>-25</v>
      </c>
      <c r="B86" s="5">
        <v>-14</v>
      </c>
      <c r="C86" s="5">
        <v>18</v>
      </c>
      <c r="D86" s="5">
        <v>-3</v>
      </c>
      <c r="E86" s="5">
        <v>45</v>
      </c>
      <c r="F86" s="5">
        <v>24</v>
      </c>
      <c r="G86" s="5">
        <v>18</v>
      </c>
      <c r="H86" s="5">
        <v>-12</v>
      </c>
      <c r="I86" s="5">
        <v>-10</v>
      </c>
      <c r="J86" s="5">
        <v>-16</v>
      </c>
      <c r="K86" s="5">
        <v>-8</v>
      </c>
      <c r="L86" s="5">
        <v>0</v>
      </c>
      <c r="M86" s="5">
        <v>-10</v>
      </c>
      <c r="N86" s="5">
        <v>-30</v>
      </c>
      <c r="O86" s="5">
        <v>-16</v>
      </c>
      <c r="P86" s="5">
        <v>5</v>
      </c>
      <c r="Q86" s="5">
        <v>-12</v>
      </c>
      <c r="R86" s="5">
        <v>0</v>
      </c>
      <c r="S86" s="5">
        <v>-10</v>
      </c>
      <c r="T86" s="5">
        <v>15</v>
      </c>
      <c r="U86" s="5">
        <v>6</v>
      </c>
      <c r="V86" s="5">
        <v>-21</v>
      </c>
      <c r="W86" s="5">
        <v>-2</v>
      </c>
      <c r="X86" s="5">
        <v>8</v>
      </c>
      <c r="Y86" s="5">
        <v>-5</v>
      </c>
      <c r="Z86" s="5">
        <v>5</v>
      </c>
      <c r="AA86" s="5">
        <v>-3</v>
      </c>
      <c r="AB86" s="5">
        <v>23</v>
      </c>
      <c r="AC86" s="5">
        <v>9</v>
      </c>
      <c r="AD86" s="5">
        <v>2</v>
      </c>
      <c r="AE86" s="5">
        <v>10</v>
      </c>
      <c r="AF86" s="5">
        <v>12</v>
      </c>
      <c r="AG86" s="5">
        <v>22</v>
      </c>
      <c r="AH86" s="5">
        <v>-22</v>
      </c>
      <c r="AI86" s="5">
        <v>-19</v>
      </c>
      <c r="AJ86" s="5">
        <v>-2</v>
      </c>
      <c r="AK86" s="5">
        <v>17</v>
      </c>
      <c r="AL86" s="6">
        <v>17</v>
      </c>
    </row>
    <row r="87" spans="1:38">
      <c r="A87" s="4">
        <v>6</v>
      </c>
      <c r="B87" s="5">
        <v>-2</v>
      </c>
      <c r="C87" s="5">
        <v>38</v>
      </c>
      <c r="D87" s="5">
        <v>35</v>
      </c>
      <c r="E87" s="5">
        <v>-6</v>
      </c>
      <c r="F87" s="5">
        <v>-16</v>
      </c>
      <c r="G87" s="5">
        <v>-11</v>
      </c>
      <c r="H87" s="5">
        <v>36</v>
      </c>
      <c r="I87" s="5">
        <v>13</v>
      </c>
      <c r="J87" s="5">
        <v>-6</v>
      </c>
      <c r="K87" s="5">
        <v>23</v>
      </c>
      <c r="L87" s="5">
        <v>41</v>
      </c>
      <c r="M87" s="5">
        <v>-27</v>
      </c>
      <c r="N87" s="5">
        <v>-1</v>
      </c>
      <c r="O87" s="5">
        <v>4</v>
      </c>
      <c r="P87" s="5">
        <v>-34</v>
      </c>
      <c r="Q87" s="5">
        <v>-38</v>
      </c>
      <c r="R87" s="5">
        <v>-5</v>
      </c>
      <c r="S87" s="5">
        <v>34</v>
      </c>
      <c r="T87" s="5">
        <v>-14</v>
      </c>
      <c r="U87" s="5">
        <v>-5</v>
      </c>
      <c r="V87" s="5">
        <v>-17</v>
      </c>
      <c r="W87" s="5">
        <v>8</v>
      </c>
      <c r="X87" s="5">
        <v>19</v>
      </c>
      <c r="Y87" s="5">
        <v>-6</v>
      </c>
      <c r="Z87" s="5">
        <v>-21</v>
      </c>
      <c r="AA87" s="5">
        <v>-17</v>
      </c>
      <c r="AB87" s="5">
        <v>2</v>
      </c>
      <c r="AC87" s="5">
        <v>-4</v>
      </c>
      <c r="AD87" s="5">
        <v>27</v>
      </c>
      <c r="AE87" s="5">
        <v>-8</v>
      </c>
      <c r="AF87" s="5">
        <v>-1</v>
      </c>
      <c r="AG87" s="5">
        <v>9</v>
      </c>
      <c r="AH87" s="5">
        <v>-6</v>
      </c>
      <c r="AI87" s="5">
        <v>-6</v>
      </c>
      <c r="AJ87" s="5">
        <v>2</v>
      </c>
      <c r="AK87" s="5">
        <v>10</v>
      </c>
      <c r="AL87" s="6">
        <v>-3</v>
      </c>
    </row>
    <row r="88" spans="1:38">
      <c r="A88" s="4">
        <v>-18</v>
      </c>
      <c r="B88" s="5">
        <v>-8</v>
      </c>
      <c r="C88" s="5">
        <v>26</v>
      </c>
      <c r="D88" s="5">
        <v>20</v>
      </c>
      <c r="E88" s="5">
        <v>52</v>
      </c>
      <c r="F88" s="5">
        <v>10</v>
      </c>
      <c r="G88" s="5">
        <v>31</v>
      </c>
      <c r="H88" s="5">
        <v>-27</v>
      </c>
      <c r="I88" s="5">
        <v>8</v>
      </c>
      <c r="J88" s="5">
        <v>-10</v>
      </c>
      <c r="K88" s="5">
        <v>-25</v>
      </c>
      <c r="L88" s="5">
        <v>-34</v>
      </c>
      <c r="M88" s="5">
        <v>7</v>
      </c>
      <c r="N88" s="5">
        <v>5</v>
      </c>
      <c r="O88" s="5">
        <v>20</v>
      </c>
      <c r="P88" s="5">
        <v>-3</v>
      </c>
      <c r="Q88" s="5">
        <v>-4</v>
      </c>
      <c r="R88" s="5">
        <v>6</v>
      </c>
      <c r="S88" s="5">
        <v>-22</v>
      </c>
      <c r="T88" s="5">
        <v>-15</v>
      </c>
      <c r="U88" s="5">
        <v>42</v>
      </c>
      <c r="V88" s="5">
        <v>16</v>
      </c>
      <c r="W88" s="5">
        <v>17</v>
      </c>
      <c r="X88" s="5">
        <v>21</v>
      </c>
      <c r="Y88" s="5">
        <v>19</v>
      </c>
      <c r="Z88" s="5">
        <v>15</v>
      </c>
      <c r="AA88" s="5">
        <v>-13</v>
      </c>
      <c r="AB88" s="5">
        <v>14</v>
      </c>
      <c r="AC88" s="5">
        <v>44</v>
      </c>
      <c r="AD88" s="5">
        <v>10</v>
      </c>
      <c r="AE88" s="5">
        <v>-6</v>
      </c>
      <c r="AF88" s="5">
        <v>22</v>
      </c>
      <c r="AG88" s="5">
        <v>-1</v>
      </c>
      <c r="AH88" s="5">
        <v>-6</v>
      </c>
      <c r="AI88" s="5">
        <v>3</v>
      </c>
      <c r="AJ88" s="5">
        <v>-6</v>
      </c>
      <c r="AK88" s="5">
        <v>-21</v>
      </c>
      <c r="AL88" s="6">
        <v>-1</v>
      </c>
    </row>
    <row r="89" spans="1:38">
      <c r="A89" s="4">
        <v>0</v>
      </c>
      <c r="B89" s="5">
        <v>-43</v>
      </c>
      <c r="C89" s="5">
        <v>-8</v>
      </c>
      <c r="D89" s="5">
        <v>-2</v>
      </c>
      <c r="E89" s="5">
        <v>-11</v>
      </c>
      <c r="F89" s="5">
        <v>30</v>
      </c>
      <c r="G89" s="5">
        <v>-55</v>
      </c>
      <c r="H89" s="5">
        <v>54</v>
      </c>
      <c r="I89" s="5">
        <v>-30</v>
      </c>
      <c r="J89" s="5">
        <v>-12</v>
      </c>
      <c r="K89" s="5">
        <v>-49</v>
      </c>
      <c r="L89" s="5">
        <v>-43</v>
      </c>
      <c r="M89" s="5">
        <v>25</v>
      </c>
      <c r="N89" s="5">
        <v>-6</v>
      </c>
      <c r="O89" s="5">
        <v>-7</v>
      </c>
      <c r="P89" s="5">
        <v>57</v>
      </c>
      <c r="Q89" s="5">
        <v>-12</v>
      </c>
      <c r="R89" s="5">
        <v>-18</v>
      </c>
      <c r="S89" s="5">
        <v>26</v>
      </c>
      <c r="T89" s="5">
        <v>-25</v>
      </c>
      <c r="U89" s="5">
        <v>33</v>
      </c>
      <c r="V89" s="5">
        <v>-23</v>
      </c>
      <c r="W89" s="5">
        <v>-29</v>
      </c>
      <c r="X89" s="5">
        <v>45</v>
      </c>
      <c r="Y89" s="5">
        <v>6</v>
      </c>
      <c r="Z89" s="5">
        <v>8</v>
      </c>
      <c r="AA89" s="5">
        <v>12</v>
      </c>
      <c r="AB89" s="5">
        <v>29</v>
      </c>
      <c r="AC89" s="5">
        <v>39</v>
      </c>
      <c r="AD89" s="5">
        <v>62</v>
      </c>
      <c r="AE89" s="5">
        <v>-12</v>
      </c>
      <c r="AF89" s="5">
        <v>-2</v>
      </c>
      <c r="AG89" s="5">
        <v>21</v>
      </c>
      <c r="AH89" s="5">
        <v>-12</v>
      </c>
      <c r="AI89" s="5">
        <v>-10</v>
      </c>
      <c r="AJ89" s="5">
        <v>46</v>
      </c>
      <c r="AK89" s="5">
        <v>5</v>
      </c>
      <c r="AL89" s="6">
        <v>-17</v>
      </c>
    </row>
    <row r="90" spans="1:38">
      <c r="A90" s="4">
        <v>-6</v>
      </c>
      <c r="B90" s="5">
        <v>-13</v>
      </c>
      <c r="C90" s="5">
        <v>4</v>
      </c>
      <c r="D90" s="5">
        <v>-33</v>
      </c>
      <c r="E90" s="5">
        <v>-30</v>
      </c>
      <c r="F90" s="5">
        <v>-31</v>
      </c>
      <c r="G90" s="5">
        <v>-17</v>
      </c>
      <c r="H90" s="5">
        <v>-26</v>
      </c>
      <c r="I90" s="5">
        <v>0</v>
      </c>
      <c r="J90" s="5">
        <v>36</v>
      </c>
      <c r="K90" s="5">
        <v>-5</v>
      </c>
      <c r="L90" s="5">
        <v>-4</v>
      </c>
      <c r="M90" s="5">
        <v>8</v>
      </c>
      <c r="N90" s="5">
        <v>-12</v>
      </c>
      <c r="O90" s="5">
        <v>18</v>
      </c>
      <c r="P90" s="5">
        <v>-10</v>
      </c>
      <c r="Q90" s="5">
        <v>9</v>
      </c>
      <c r="R90" s="5">
        <v>-3</v>
      </c>
      <c r="S90" s="5">
        <v>-32</v>
      </c>
      <c r="T90" s="5">
        <v>-10</v>
      </c>
      <c r="U90" s="5">
        <v>4</v>
      </c>
      <c r="V90" s="5">
        <v>-13</v>
      </c>
      <c r="W90" s="5">
        <v>41</v>
      </c>
      <c r="X90" s="5">
        <v>0</v>
      </c>
      <c r="Y90" s="5">
        <v>-4</v>
      </c>
      <c r="Z90" s="5">
        <v>-54</v>
      </c>
      <c r="AA90" s="5">
        <v>-27</v>
      </c>
      <c r="AB90" s="5">
        <v>14</v>
      </c>
      <c r="AC90" s="5">
        <v>-8</v>
      </c>
      <c r="AD90" s="5">
        <v>-32</v>
      </c>
      <c r="AE90" s="5">
        <v>9</v>
      </c>
      <c r="AF90" s="5">
        <v>20</v>
      </c>
      <c r="AG90" s="5">
        <v>33</v>
      </c>
      <c r="AH90" s="5">
        <v>-29</v>
      </c>
      <c r="AI90" s="5">
        <v>-38</v>
      </c>
      <c r="AJ90" s="5">
        <v>59</v>
      </c>
      <c r="AK90" s="5">
        <v>4</v>
      </c>
      <c r="AL90" s="6">
        <v>9</v>
      </c>
    </row>
    <row r="91" spans="1:38">
      <c r="A91" s="4">
        <v>16</v>
      </c>
      <c r="B91" s="5">
        <v>4</v>
      </c>
      <c r="C91" s="5">
        <v>-2</v>
      </c>
      <c r="D91" s="5">
        <v>-9</v>
      </c>
      <c r="E91" s="5">
        <v>-1</v>
      </c>
      <c r="F91" s="5">
        <v>3</v>
      </c>
      <c r="G91" s="5">
        <v>-6</v>
      </c>
      <c r="H91" s="5">
        <v>-6</v>
      </c>
      <c r="I91" s="5">
        <v>-11</v>
      </c>
      <c r="J91" s="5">
        <v>5</v>
      </c>
      <c r="K91" s="5">
        <v>2</v>
      </c>
      <c r="L91" s="5">
        <v>14</v>
      </c>
      <c r="M91" s="5">
        <v>6</v>
      </c>
      <c r="N91" s="5">
        <v>0</v>
      </c>
      <c r="O91" s="5">
        <v>0</v>
      </c>
      <c r="P91" s="5">
        <v>-5</v>
      </c>
      <c r="Q91" s="5">
        <v>1</v>
      </c>
      <c r="R91" s="5">
        <v>16</v>
      </c>
      <c r="S91" s="5">
        <v>7</v>
      </c>
      <c r="T91" s="5">
        <v>-2</v>
      </c>
      <c r="U91" s="5">
        <v>24</v>
      </c>
      <c r="V91" s="5">
        <v>19</v>
      </c>
      <c r="W91" s="5">
        <v>10</v>
      </c>
      <c r="X91" s="5">
        <v>-13</v>
      </c>
      <c r="Y91" s="5">
        <v>-5</v>
      </c>
      <c r="Z91" s="5">
        <v>2</v>
      </c>
      <c r="AA91" s="5">
        <v>-4</v>
      </c>
      <c r="AB91" s="5">
        <v>-2</v>
      </c>
      <c r="AC91" s="5">
        <v>3</v>
      </c>
      <c r="AD91" s="5">
        <v>-3</v>
      </c>
      <c r="AE91" s="5">
        <v>-4</v>
      </c>
      <c r="AF91" s="5">
        <v>5</v>
      </c>
      <c r="AG91" s="5">
        <v>6</v>
      </c>
      <c r="AH91" s="5">
        <v>0</v>
      </c>
      <c r="AI91" s="5">
        <v>13</v>
      </c>
      <c r="AJ91" s="5">
        <v>1</v>
      </c>
      <c r="AK91" s="5">
        <v>-10</v>
      </c>
      <c r="AL91" s="6">
        <v>17</v>
      </c>
    </row>
    <row r="92" spans="1:38">
      <c r="A92" s="4">
        <v>36</v>
      </c>
      <c r="B92" s="5">
        <v>0</v>
      </c>
      <c r="C92" s="5">
        <v>-21</v>
      </c>
      <c r="D92" s="5">
        <v>-7</v>
      </c>
      <c r="E92" s="5">
        <v>-9</v>
      </c>
      <c r="F92" s="5">
        <v>19</v>
      </c>
      <c r="G92" s="5">
        <v>-6</v>
      </c>
      <c r="H92" s="5">
        <v>-1</v>
      </c>
      <c r="I92" s="5">
        <v>-10</v>
      </c>
      <c r="J92" s="5">
        <v>22</v>
      </c>
      <c r="K92" s="5">
        <v>8</v>
      </c>
      <c r="L92" s="5">
        <v>11</v>
      </c>
      <c r="M92" s="5">
        <v>-7</v>
      </c>
      <c r="N92" s="5">
        <v>-14</v>
      </c>
      <c r="O92" s="5">
        <v>18</v>
      </c>
      <c r="P92" s="5">
        <v>-16</v>
      </c>
      <c r="Q92" s="5">
        <v>9</v>
      </c>
      <c r="R92" s="5">
        <v>12</v>
      </c>
      <c r="S92" s="5">
        <v>5</v>
      </c>
      <c r="T92" s="5">
        <v>-3</v>
      </c>
      <c r="U92" s="5">
        <v>43</v>
      </c>
      <c r="V92" s="5">
        <v>-4</v>
      </c>
      <c r="W92" s="5">
        <v>-5</v>
      </c>
      <c r="X92" s="5">
        <v>-35</v>
      </c>
      <c r="Y92" s="5">
        <v>-19</v>
      </c>
      <c r="Z92" s="5">
        <v>-17</v>
      </c>
      <c r="AA92" s="5">
        <v>8</v>
      </c>
      <c r="AB92" s="5">
        <v>2</v>
      </c>
      <c r="AC92" s="5">
        <v>9</v>
      </c>
      <c r="AD92" s="5">
        <v>3</v>
      </c>
      <c r="AE92" s="5">
        <v>-16</v>
      </c>
      <c r="AF92" s="5">
        <v>34</v>
      </c>
      <c r="AG92" s="5">
        <v>3</v>
      </c>
      <c r="AH92" s="5">
        <v>-17</v>
      </c>
      <c r="AI92" s="5">
        <v>26</v>
      </c>
      <c r="AJ92" s="5">
        <v>-13</v>
      </c>
      <c r="AK92" s="5">
        <v>-12</v>
      </c>
      <c r="AL92" s="6">
        <v>10</v>
      </c>
    </row>
    <row r="93" spans="1:38">
      <c r="A93" s="4">
        <v>23</v>
      </c>
      <c r="B93" s="5">
        <v>-24</v>
      </c>
      <c r="C93" s="5">
        <v>-25</v>
      </c>
      <c r="D93" s="5">
        <v>-18</v>
      </c>
      <c r="E93" s="5">
        <v>-13</v>
      </c>
      <c r="F93" s="5">
        <v>8</v>
      </c>
      <c r="G93" s="5">
        <v>-38</v>
      </c>
      <c r="H93" s="5">
        <v>6</v>
      </c>
      <c r="I93" s="5">
        <v>-4</v>
      </c>
      <c r="J93" s="5">
        <v>15</v>
      </c>
      <c r="K93" s="5">
        <v>-4</v>
      </c>
      <c r="L93" s="5">
        <v>10</v>
      </c>
      <c r="M93" s="5">
        <v>-5</v>
      </c>
      <c r="N93" s="5">
        <v>-11</v>
      </c>
      <c r="O93" s="5">
        <v>-10</v>
      </c>
      <c r="P93" s="5">
        <v>-16</v>
      </c>
      <c r="Q93" s="5">
        <v>-1</v>
      </c>
      <c r="R93" s="5">
        <v>23</v>
      </c>
      <c r="S93" s="5">
        <v>-2</v>
      </c>
      <c r="T93" s="5">
        <v>-19</v>
      </c>
      <c r="U93" s="5">
        <v>56</v>
      </c>
      <c r="V93" s="5">
        <v>23</v>
      </c>
      <c r="W93" s="5">
        <v>-26</v>
      </c>
      <c r="X93" s="5">
        <v>-43</v>
      </c>
      <c r="Y93" s="5">
        <v>28</v>
      </c>
      <c r="Z93" s="5">
        <v>16</v>
      </c>
      <c r="AA93" s="5">
        <v>-21</v>
      </c>
      <c r="AB93" s="5">
        <v>9</v>
      </c>
      <c r="AC93" s="5">
        <v>31</v>
      </c>
      <c r="AD93" s="5">
        <v>1</v>
      </c>
      <c r="AE93" s="5">
        <v>-1</v>
      </c>
      <c r="AF93" s="5">
        <v>36</v>
      </c>
      <c r="AG93" s="5">
        <v>-1</v>
      </c>
      <c r="AH93" s="5">
        <v>5</v>
      </c>
      <c r="AI93" s="5">
        <v>34</v>
      </c>
      <c r="AJ93" s="5">
        <v>4</v>
      </c>
      <c r="AK93" s="5">
        <v>2</v>
      </c>
      <c r="AL93" s="6">
        <v>13</v>
      </c>
    </row>
    <row r="94" spans="1:38">
      <c r="A94" s="4">
        <v>2</v>
      </c>
      <c r="B94" s="5">
        <v>-12</v>
      </c>
      <c r="C94" s="5">
        <v>38</v>
      </c>
      <c r="D94" s="5">
        <v>32</v>
      </c>
      <c r="E94" s="5">
        <v>-9</v>
      </c>
      <c r="F94" s="5">
        <v>-23</v>
      </c>
      <c r="G94" s="5">
        <v>-9</v>
      </c>
      <c r="H94" s="5">
        <v>49</v>
      </c>
      <c r="I94" s="5">
        <v>4</v>
      </c>
      <c r="J94" s="5">
        <v>-4</v>
      </c>
      <c r="K94" s="5">
        <v>21</v>
      </c>
      <c r="L94" s="5">
        <v>41</v>
      </c>
      <c r="M94" s="5">
        <v>-33</v>
      </c>
      <c r="N94" s="5">
        <v>-11</v>
      </c>
      <c r="O94" s="5">
        <v>2</v>
      </c>
      <c r="P94" s="5">
        <v>-31</v>
      </c>
      <c r="Q94" s="5">
        <v>-29</v>
      </c>
      <c r="R94" s="5">
        <v>14</v>
      </c>
      <c r="S94" s="5">
        <v>25</v>
      </c>
      <c r="T94" s="5">
        <v>2</v>
      </c>
      <c r="U94" s="5">
        <v>0</v>
      </c>
      <c r="V94" s="5">
        <v>-6</v>
      </c>
      <c r="W94" s="5">
        <v>18</v>
      </c>
      <c r="X94" s="5">
        <v>16</v>
      </c>
      <c r="Y94" s="5">
        <v>-11</v>
      </c>
      <c r="Z94" s="5">
        <v>-22</v>
      </c>
      <c r="AA94" s="5">
        <v>-8</v>
      </c>
      <c r="AB94" s="5">
        <v>-11</v>
      </c>
      <c r="AC94" s="5">
        <v>-2</v>
      </c>
      <c r="AD94" s="5">
        <v>44</v>
      </c>
      <c r="AE94" s="5">
        <v>8</v>
      </c>
      <c r="AF94" s="5">
        <v>4</v>
      </c>
      <c r="AG94" s="5">
        <v>7</v>
      </c>
      <c r="AH94" s="5">
        <v>-3</v>
      </c>
      <c r="AI94" s="5">
        <v>4</v>
      </c>
      <c r="AJ94" s="5">
        <v>-6</v>
      </c>
      <c r="AK94" s="5">
        <v>18</v>
      </c>
      <c r="AL94" s="6">
        <v>2</v>
      </c>
    </row>
    <row r="95" spans="1:38">
      <c r="A95" s="4">
        <v>4</v>
      </c>
      <c r="B95" s="5">
        <v>7</v>
      </c>
      <c r="C95" s="5">
        <v>-10</v>
      </c>
      <c r="D95" s="5">
        <v>0</v>
      </c>
      <c r="E95" s="5">
        <v>6</v>
      </c>
      <c r="F95" s="5">
        <v>-4</v>
      </c>
      <c r="G95" s="5">
        <v>-11</v>
      </c>
      <c r="H95" s="5">
        <v>-5</v>
      </c>
      <c r="I95" s="5">
        <v>7</v>
      </c>
      <c r="J95" s="5">
        <v>3</v>
      </c>
      <c r="K95" s="5">
        <v>2</v>
      </c>
      <c r="L95" s="5">
        <v>6</v>
      </c>
      <c r="M95" s="5">
        <v>4</v>
      </c>
      <c r="N95" s="5">
        <v>-7</v>
      </c>
      <c r="O95" s="5">
        <v>-13</v>
      </c>
      <c r="P95" s="5">
        <v>-26</v>
      </c>
      <c r="Q95" s="5">
        <v>-21</v>
      </c>
      <c r="R95" s="5">
        <v>4</v>
      </c>
      <c r="S95" s="5">
        <v>-6</v>
      </c>
      <c r="T95" s="5">
        <v>16</v>
      </c>
      <c r="U95" s="5">
        <v>-4</v>
      </c>
      <c r="V95" s="5">
        <v>16</v>
      </c>
      <c r="W95" s="5">
        <v>-1</v>
      </c>
      <c r="X95" s="5">
        <v>7</v>
      </c>
      <c r="Y95" s="5">
        <v>14</v>
      </c>
      <c r="Z95" s="5">
        <v>8</v>
      </c>
      <c r="AA95" s="5">
        <v>-8</v>
      </c>
      <c r="AB95" s="5">
        <v>-11</v>
      </c>
      <c r="AC95" s="5">
        <v>17</v>
      </c>
      <c r="AD95" s="5">
        <v>-6</v>
      </c>
      <c r="AE95" s="5">
        <v>1</v>
      </c>
      <c r="AF95" s="5">
        <v>-2</v>
      </c>
      <c r="AG95" s="5">
        <v>2</v>
      </c>
      <c r="AH95" s="5">
        <v>0</v>
      </c>
      <c r="AI95" s="5">
        <v>10</v>
      </c>
      <c r="AJ95" s="5">
        <v>10</v>
      </c>
      <c r="AK95" s="5">
        <v>4</v>
      </c>
      <c r="AL95" s="6">
        <v>14</v>
      </c>
    </row>
    <row r="96" spans="1:38">
      <c r="A96" s="4">
        <v>11</v>
      </c>
      <c r="B96" s="5">
        <v>-17</v>
      </c>
      <c r="C96" s="5">
        <v>-9</v>
      </c>
      <c r="D96" s="5">
        <v>-6</v>
      </c>
      <c r="E96" s="5">
        <v>-17</v>
      </c>
      <c r="F96" s="5">
        <v>6</v>
      </c>
      <c r="G96" s="5">
        <v>-5</v>
      </c>
      <c r="H96" s="5">
        <v>10</v>
      </c>
      <c r="I96" s="5">
        <v>-8</v>
      </c>
      <c r="J96" s="5">
        <v>6</v>
      </c>
      <c r="K96" s="5">
        <v>3</v>
      </c>
      <c r="L96" s="5">
        <v>-2</v>
      </c>
      <c r="M96" s="5">
        <v>15</v>
      </c>
      <c r="N96" s="5">
        <v>-12</v>
      </c>
      <c r="O96" s="5">
        <v>-6</v>
      </c>
      <c r="P96" s="5">
        <v>-12</v>
      </c>
      <c r="Q96" s="5">
        <v>-6</v>
      </c>
      <c r="R96" s="5">
        <v>-17</v>
      </c>
      <c r="S96" s="5">
        <v>-9</v>
      </c>
      <c r="T96" s="5">
        <v>-13</v>
      </c>
      <c r="U96" s="5">
        <v>14</v>
      </c>
      <c r="V96" s="5">
        <v>20</v>
      </c>
      <c r="W96" s="5">
        <v>-8</v>
      </c>
      <c r="X96" s="5">
        <v>-31</v>
      </c>
      <c r="Y96" s="5">
        <v>21</v>
      </c>
      <c r="Z96" s="5">
        <v>-4</v>
      </c>
      <c r="AA96" s="5">
        <v>-21</v>
      </c>
      <c r="AB96" s="5">
        <v>11</v>
      </c>
      <c r="AC96" s="5">
        <v>4</v>
      </c>
      <c r="AD96" s="5">
        <v>-20</v>
      </c>
      <c r="AE96" s="5">
        <v>8</v>
      </c>
      <c r="AF96" s="5">
        <v>23</v>
      </c>
      <c r="AG96" s="5">
        <v>-11</v>
      </c>
      <c r="AH96" s="5">
        <v>2</v>
      </c>
      <c r="AI96" s="5">
        <v>20</v>
      </c>
      <c r="AJ96" s="5">
        <v>-10</v>
      </c>
      <c r="AK96" s="5">
        <v>14</v>
      </c>
      <c r="AL96" s="6">
        <v>29</v>
      </c>
    </row>
    <row r="97" spans="1:38">
      <c r="A97" s="4">
        <v>-9</v>
      </c>
      <c r="B97" s="5">
        <v>-8</v>
      </c>
      <c r="C97" s="5">
        <v>-3</v>
      </c>
      <c r="D97" s="5">
        <v>-12</v>
      </c>
      <c r="E97" s="5">
        <v>-15</v>
      </c>
      <c r="F97" s="5">
        <v>-9</v>
      </c>
      <c r="G97" s="5">
        <v>-24</v>
      </c>
      <c r="H97" s="5">
        <v>4</v>
      </c>
      <c r="I97" s="5">
        <v>7</v>
      </c>
      <c r="J97" s="5">
        <v>15</v>
      </c>
      <c r="K97" s="5">
        <v>4</v>
      </c>
      <c r="L97" s="5">
        <v>3</v>
      </c>
      <c r="M97" s="5">
        <v>-2</v>
      </c>
      <c r="N97" s="5">
        <v>-12</v>
      </c>
      <c r="O97" s="5">
        <v>5</v>
      </c>
      <c r="P97" s="5">
        <v>0</v>
      </c>
      <c r="Q97" s="5">
        <v>-11</v>
      </c>
      <c r="R97" s="5">
        <v>-4</v>
      </c>
      <c r="S97" s="5">
        <v>4</v>
      </c>
      <c r="T97" s="5">
        <v>5</v>
      </c>
      <c r="U97" s="5">
        <v>4</v>
      </c>
      <c r="V97" s="5">
        <v>12</v>
      </c>
      <c r="W97" s="5">
        <v>-8</v>
      </c>
      <c r="X97" s="5">
        <v>-17</v>
      </c>
      <c r="Y97" s="5">
        <v>30</v>
      </c>
      <c r="Z97" s="5">
        <v>-1</v>
      </c>
      <c r="AA97" s="5">
        <v>6</v>
      </c>
      <c r="AB97" s="5">
        <v>-4</v>
      </c>
      <c r="AC97" s="5">
        <v>7</v>
      </c>
      <c r="AD97" s="5">
        <v>-18</v>
      </c>
      <c r="AE97" s="5">
        <v>-3</v>
      </c>
      <c r="AF97" s="5">
        <v>21</v>
      </c>
      <c r="AG97" s="5">
        <v>21</v>
      </c>
      <c r="AH97" s="5">
        <v>6</v>
      </c>
      <c r="AI97" s="5">
        <v>-31</v>
      </c>
      <c r="AJ97" s="5">
        <v>1</v>
      </c>
      <c r="AK97" s="5">
        <v>19</v>
      </c>
      <c r="AL97" s="6">
        <v>24</v>
      </c>
    </row>
    <row r="98" spans="1:38">
      <c r="A98" s="4">
        <v>-3</v>
      </c>
      <c r="B98" s="5">
        <v>-7</v>
      </c>
      <c r="C98" s="5">
        <v>1</v>
      </c>
      <c r="D98" s="5">
        <v>-8</v>
      </c>
      <c r="E98" s="5">
        <v>-11</v>
      </c>
      <c r="F98" s="5">
        <v>-18</v>
      </c>
      <c r="G98" s="5">
        <v>-33</v>
      </c>
      <c r="H98" s="5">
        <v>-5</v>
      </c>
      <c r="I98" s="5">
        <v>14</v>
      </c>
      <c r="J98" s="5">
        <v>37</v>
      </c>
      <c r="K98" s="5">
        <v>2</v>
      </c>
      <c r="L98" s="5">
        <v>4</v>
      </c>
      <c r="M98" s="5">
        <v>0</v>
      </c>
      <c r="N98" s="5">
        <v>-6</v>
      </c>
      <c r="O98" s="5">
        <v>-20</v>
      </c>
      <c r="P98" s="5">
        <v>11</v>
      </c>
      <c r="Q98" s="5">
        <v>-10</v>
      </c>
      <c r="R98" s="5">
        <v>0</v>
      </c>
      <c r="S98" s="5">
        <v>2</v>
      </c>
      <c r="T98" s="5">
        <v>17</v>
      </c>
      <c r="U98" s="5">
        <v>33</v>
      </c>
      <c r="V98" s="5">
        <v>0</v>
      </c>
      <c r="W98" s="5">
        <v>-6</v>
      </c>
      <c r="X98" s="5">
        <v>-26</v>
      </c>
      <c r="Y98" s="5">
        <v>24</v>
      </c>
      <c r="Z98" s="5">
        <v>4</v>
      </c>
      <c r="AA98" s="5">
        <v>1</v>
      </c>
      <c r="AB98" s="5">
        <v>-4</v>
      </c>
      <c r="AC98" s="5">
        <v>0</v>
      </c>
      <c r="AD98" s="5">
        <v>-9</v>
      </c>
      <c r="AE98" s="5">
        <v>-6</v>
      </c>
      <c r="AF98" s="5">
        <v>26</v>
      </c>
      <c r="AG98" s="5">
        <v>19</v>
      </c>
      <c r="AH98" s="5">
        <v>22</v>
      </c>
      <c r="AI98" s="5">
        <v>-34</v>
      </c>
      <c r="AJ98" s="5">
        <v>-25</v>
      </c>
      <c r="AK98" s="5">
        <v>-1</v>
      </c>
      <c r="AL98" s="6">
        <v>2</v>
      </c>
    </row>
    <row r="99" spans="1:38">
      <c r="A99" s="4">
        <v>-9</v>
      </c>
      <c r="B99" s="5">
        <v>-13</v>
      </c>
      <c r="C99" s="5">
        <v>-19</v>
      </c>
      <c r="D99" s="5">
        <v>-14</v>
      </c>
      <c r="E99" s="5">
        <v>-20</v>
      </c>
      <c r="F99" s="5">
        <v>-10</v>
      </c>
      <c r="G99" s="5">
        <v>-21</v>
      </c>
      <c r="H99" s="5">
        <v>12</v>
      </c>
      <c r="I99" s="5">
        <v>3</v>
      </c>
      <c r="J99" s="5">
        <v>6</v>
      </c>
      <c r="K99" s="5">
        <v>4</v>
      </c>
      <c r="L99" s="5">
        <v>14</v>
      </c>
      <c r="M99" s="5">
        <v>-11</v>
      </c>
      <c r="N99" s="5">
        <v>9</v>
      </c>
      <c r="O99" s="5">
        <v>24</v>
      </c>
      <c r="P99" s="5">
        <v>-2</v>
      </c>
      <c r="Q99" s="5">
        <v>-14</v>
      </c>
      <c r="R99" s="5">
        <v>5</v>
      </c>
      <c r="S99" s="5">
        <v>9</v>
      </c>
      <c r="T99" s="5">
        <v>-8</v>
      </c>
      <c r="U99" s="5">
        <v>22</v>
      </c>
      <c r="V99" s="5">
        <v>29</v>
      </c>
      <c r="W99" s="5">
        <v>-39</v>
      </c>
      <c r="X99" s="5">
        <v>-35</v>
      </c>
      <c r="Y99" s="5">
        <v>25</v>
      </c>
      <c r="Z99" s="5">
        <v>7</v>
      </c>
      <c r="AA99" s="5">
        <v>-12</v>
      </c>
      <c r="AB99" s="5">
        <v>2</v>
      </c>
      <c r="AC99" s="5">
        <v>22</v>
      </c>
      <c r="AD99" s="5">
        <v>-11</v>
      </c>
      <c r="AE99" s="5">
        <v>1</v>
      </c>
      <c r="AF99" s="5">
        <v>17</v>
      </c>
      <c r="AG99" s="5">
        <v>-40</v>
      </c>
      <c r="AH99" s="5">
        <v>25</v>
      </c>
      <c r="AI99" s="5">
        <v>30</v>
      </c>
      <c r="AJ99" s="5">
        <v>4</v>
      </c>
      <c r="AK99" s="5">
        <v>-11</v>
      </c>
      <c r="AL99" s="6">
        <v>23</v>
      </c>
    </row>
    <row r="100" spans="1:38">
      <c r="A100" s="4">
        <v>-13</v>
      </c>
      <c r="B100" s="5">
        <v>1</v>
      </c>
      <c r="C100" s="5">
        <v>1</v>
      </c>
      <c r="D100" s="5">
        <v>0</v>
      </c>
      <c r="E100" s="5">
        <v>6</v>
      </c>
      <c r="F100" s="5">
        <v>-3</v>
      </c>
      <c r="G100" s="5">
        <v>-15</v>
      </c>
      <c r="H100" s="5">
        <v>-8</v>
      </c>
      <c r="I100" s="5">
        <v>-2</v>
      </c>
      <c r="J100" s="5">
        <v>10</v>
      </c>
      <c r="K100" s="5">
        <v>2</v>
      </c>
      <c r="L100" s="5">
        <v>2</v>
      </c>
      <c r="M100" s="5">
        <v>-3</v>
      </c>
      <c r="N100" s="5">
        <v>-4</v>
      </c>
      <c r="O100" s="5">
        <v>6</v>
      </c>
      <c r="P100" s="5">
        <v>-4</v>
      </c>
      <c r="Q100" s="5">
        <v>-7</v>
      </c>
      <c r="R100" s="5">
        <v>-11</v>
      </c>
      <c r="S100" s="5">
        <v>-7</v>
      </c>
      <c r="T100" s="5">
        <v>-5</v>
      </c>
      <c r="U100" s="5">
        <v>15</v>
      </c>
      <c r="V100" s="5">
        <v>6</v>
      </c>
      <c r="W100" s="5">
        <v>11</v>
      </c>
      <c r="X100" s="5">
        <v>19</v>
      </c>
      <c r="Y100" s="5">
        <v>17</v>
      </c>
      <c r="Z100" s="5">
        <v>2</v>
      </c>
      <c r="AA100" s="5">
        <v>10</v>
      </c>
      <c r="AB100" s="5">
        <v>-17</v>
      </c>
      <c r="AC100" s="5">
        <v>6</v>
      </c>
      <c r="AD100" s="5">
        <v>-8</v>
      </c>
      <c r="AE100" s="5">
        <v>12</v>
      </c>
      <c r="AF100" s="5">
        <v>-4</v>
      </c>
      <c r="AG100" s="5">
        <v>-10</v>
      </c>
      <c r="AH100" s="5">
        <v>-6</v>
      </c>
      <c r="AI100" s="5">
        <v>-3</v>
      </c>
      <c r="AJ100" s="5">
        <v>-5</v>
      </c>
      <c r="AK100" s="5">
        <v>-6</v>
      </c>
      <c r="AL100" s="6">
        <v>-4</v>
      </c>
    </row>
    <row r="101" spans="1:38">
      <c r="A101" s="4">
        <v>-14</v>
      </c>
      <c r="B101" s="5">
        <v>20</v>
      </c>
      <c r="C101" s="5">
        <v>0</v>
      </c>
      <c r="D101" s="5">
        <v>-7</v>
      </c>
      <c r="E101" s="5">
        <v>6</v>
      </c>
      <c r="F101" s="5">
        <v>3</v>
      </c>
      <c r="G101" s="5">
        <v>-25</v>
      </c>
      <c r="H101" s="5">
        <v>1</v>
      </c>
      <c r="I101" s="5">
        <v>-13</v>
      </c>
      <c r="J101" s="5">
        <v>21</v>
      </c>
      <c r="K101" s="5">
        <v>14</v>
      </c>
      <c r="L101" s="5">
        <v>8</v>
      </c>
      <c r="M101" s="5">
        <v>6</v>
      </c>
      <c r="N101" s="5">
        <v>9</v>
      </c>
      <c r="O101" s="5">
        <v>-6</v>
      </c>
      <c r="P101" s="5">
        <v>-8</v>
      </c>
      <c r="Q101" s="5">
        <v>0</v>
      </c>
      <c r="R101" s="5">
        <v>-12</v>
      </c>
      <c r="S101" s="5">
        <v>-21</v>
      </c>
      <c r="T101" s="5">
        <v>12</v>
      </c>
      <c r="U101" s="5">
        <v>33</v>
      </c>
      <c r="V101" s="5">
        <v>9</v>
      </c>
      <c r="W101" s="5">
        <v>5</v>
      </c>
      <c r="X101" s="5">
        <v>-18</v>
      </c>
      <c r="Y101" s="5">
        <v>41</v>
      </c>
      <c r="Z101" s="5">
        <v>2</v>
      </c>
      <c r="AA101" s="5">
        <v>24</v>
      </c>
      <c r="AB101" s="5">
        <v>7</v>
      </c>
      <c r="AC101" s="5">
        <v>5</v>
      </c>
      <c r="AD101" s="5">
        <v>-19</v>
      </c>
      <c r="AE101" s="5">
        <v>-8</v>
      </c>
      <c r="AF101" s="5">
        <v>11</v>
      </c>
      <c r="AG101" s="5">
        <v>-29</v>
      </c>
      <c r="AH101" s="5">
        <v>-2</v>
      </c>
      <c r="AI101" s="5">
        <v>-7</v>
      </c>
      <c r="AJ101" s="5">
        <v>-15</v>
      </c>
      <c r="AK101" s="5">
        <v>38</v>
      </c>
      <c r="AL101" s="6">
        <v>-16</v>
      </c>
    </row>
    <row r="102" spans="1:38">
      <c r="A102" s="4">
        <v>-24</v>
      </c>
      <c r="B102" s="5">
        <v>13</v>
      </c>
      <c r="C102" s="5">
        <v>-17</v>
      </c>
      <c r="D102" s="5">
        <v>-8</v>
      </c>
      <c r="E102" s="5">
        <v>10</v>
      </c>
      <c r="F102" s="5">
        <v>-6</v>
      </c>
      <c r="G102" s="5">
        <v>-19</v>
      </c>
      <c r="H102" s="5">
        <v>4</v>
      </c>
      <c r="I102" s="5">
        <v>-10</v>
      </c>
      <c r="J102" s="5">
        <v>11</v>
      </c>
      <c r="K102" s="5">
        <v>9</v>
      </c>
      <c r="L102" s="5">
        <v>20</v>
      </c>
      <c r="M102" s="5">
        <v>2</v>
      </c>
      <c r="N102" s="5">
        <v>5</v>
      </c>
      <c r="O102" s="5">
        <v>-12</v>
      </c>
      <c r="P102" s="5">
        <v>-18</v>
      </c>
      <c r="Q102" s="5">
        <v>-12</v>
      </c>
      <c r="R102" s="5">
        <v>-7</v>
      </c>
      <c r="S102" s="5">
        <v>-12</v>
      </c>
      <c r="T102" s="5">
        <v>-10</v>
      </c>
      <c r="U102" s="5">
        <v>23</v>
      </c>
      <c r="V102" s="5">
        <v>-1</v>
      </c>
      <c r="W102" s="5">
        <v>12</v>
      </c>
      <c r="X102" s="5">
        <v>-6</v>
      </c>
      <c r="Y102" s="5">
        <v>38</v>
      </c>
      <c r="Z102" s="5">
        <v>-9</v>
      </c>
      <c r="AA102" s="5">
        <v>12</v>
      </c>
      <c r="AB102" s="5">
        <v>7</v>
      </c>
      <c r="AC102" s="5">
        <v>10</v>
      </c>
      <c r="AD102" s="5">
        <v>-12</v>
      </c>
      <c r="AE102" s="5">
        <v>-14</v>
      </c>
      <c r="AF102" s="5">
        <v>6</v>
      </c>
      <c r="AG102" s="5">
        <v>-10</v>
      </c>
      <c r="AH102" s="5">
        <v>-2</v>
      </c>
      <c r="AI102" s="5">
        <v>-15</v>
      </c>
      <c r="AJ102" s="5">
        <v>-6</v>
      </c>
      <c r="AK102" s="5">
        <v>16</v>
      </c>
      <c r="AL102" s="6">
        <v>-21</v>
      </c>
    </row>
    <row r="103" spans="1:38">
      <c r="A103" s="4">
        <v>16</v>
      </c>
      <c r="B103" s="5">
        <v>1</v>
      </c>
      <c r="C103" s="5">
        <v>-4</v>
      </c>
      <c r="D103" s="5">
        <v>-11</v>
      </c>
      <c r="E103" s="5">
        <v>4</v>
      </c>
      <c r="F103" s="5">
        <v>8</v>
      </c>
      <c r="G103" s="5">
        <v>3</v>
      </c>
      <c r="H103" s="5">
        <v>-5</v>
      </c>
      <c r="I103" s="5">
        <v>0</v>
      </c>
      <c r="J103" s="5">
        <v>13</v>
      </c>
      <c r="K103" s="5">
        <v>3</v>
      </c>
      <c r="L103" s="5">
        <v>9</v>
      </c>
      <c r="M103" s="5">
        <v>-7</v>
      </c>
      <c r="N103" s="5">
        <v>-2</v>
      </c>
      <c r="O103" s="5">
        <v>8</v>
      </c>
      <c r="P103" s="5">
        <v>8</v>
      </c>
      <c r="Q103" s="5">
        <v>-13</v>
      </c>
      <c r="R103" s="5">
        <v>11</v>
      </c>
      <c r="S103" s="5">
        <v>-6</v>
      </c>
      <c r="T103" s="5">
        <v>-4</v>
      </c>
      <c r="U103" s="5">
        <v>-1</v>
      </c>
      <c r="V103" s="5">
        <v>1</v>
      </c>
      <c r="W103" s="5">
        <v>-8</v>
      </c>
      <c r="X103" s="5">
        <v>3</v>
      </c>
      <c r="Y103" s="5">
        <v>-4</v>
      </c>
      <c r="Z103" s="5">
        <v>-5</v>
      </c>
      <c r="AA103" s="5">
        <v>2</v>
      </c>
      <c r="AB103" s="5">
        <v>-16</v>
      </c>
      <c r="AC103" s="5">
        <v>3</v>
      </c>
      <c r="AD103" s="5">
        <v>-8</v>
      </c>
      <c r="AE103" s="5">
        <v>-1</v>
      </c>
      <c r="AF103" s="5">
        <v>-1</v>
      </c>
      <c r="AG103" s="5">
        <v>-28</v>
      </c>
      <c r="AH103" s="5">
        <v>7</v>
      </c>
      <c r="AI103" s="5">
        <v>3</v>
      </c>
      <c r="AJ103" s="5">
        <v>0</v>
      </c>
      <c r="AK103" s="5">
        <v>17</v>
      </c>
      <c r="AL103" s="6">
        <v>13</v>
      </c>
    </row>
    <row r="104" spans="1:38">
      <c r="A104" s="4">
        <v>17</v>
      </c>
      <c r="B104" s="5">
        <v>13</v>
      </c>
      <c r="C104" s="5">
        <v>-16</v>
      </c>
      <c r="D104" s="5">
        <v>2</v>
      </c>
      <c r="E104" s="5">
        <v>14</v>
      </c>
      <c r="F104" s="5">
        <v>1</v>
      </c>
      <c r="G104" s="5">
        <v>-6</v>
      </c>
      <c r="H104" s="5">
        <v>-8</v>
      </c>
      <c r="I104" s="5">
        <v>0</v>
      </c>
      <c r="J104" s="5">
        <v>18</v>
      </c>
      <c r="K104" s="5">
        <v>-10</v>
      </c>
      <c r="L104" s="5">
        <v>17</v>
      </c>
      <c r="M104" s="5">
        <v>5</v>
      </c>
      <c r="N104" s="5">
        <v>-3</v>
      </c>
      <c r="O104" s="5">
        <v>23</v>
      </c>
      <c r="P104" s="5">
        <v>-9</v>
      </c>
      <c r="Q104" s="5">
        <v>4</v>
      </c>
      <c r="R104" s="5">
        <v>-5</v>
      </c>
      <c r="S104" s="5">
        <v>4</v>
      </c>
      <c r="T104" s="5">
        <v>16</v>
      </c>
      <c r="U104" s="5">
        <v>-1</v>
      </c>
      <c r="V104" s="5">
        <v>-6</v>
      </c>
      <c r="W104" s="5">
        <v>10</v>
      </c>
      <c r="X104" s="5">
        <v>1</v>
      </c>
      <c r="Y104" s="5">
        <v>-21</v>
      </c>
      <c r="Z104" s="5">
        <v>-8</v>
      </c>
      <c r="AA104" s="5">
        <v>0</v>
      </c>
      <c r="AB104" s="5">
        <v>-4</v>
      </c>
      <c r="AC104" s="5">
        <v>12</v>
      </c>
      <c r="AD104" s="5">
        <v>-3</v>
      </c>
      <c r="AE104" s="5">
        <v>0</v>
      </c>
      <c r="AF104" s="5">
        <v>10</v>
      </c>
      <c r="AG104" s="5">
        <v>-15</v>
      </c>
      <c r="AH104" s="5">
        <v>4</v>
      </c>
      <c r="AI104" s="5">
        <v>5</v>
      </c>
      <c r="AJ104" s="5">
        <v>-13</v>
      </c>
      <c r="AK104" s="5">
        <v>-6</v>
      </c>
      <c r="AL104" s="6">
        <v>0</v>
      </c>
    </row>
    <row r="105" spans="1:38">
      <c r="A105" s="4">
        <v>14</v>
      </c>
      <c r="B105" s="5">
        <v>-20</v>
      </c>
      <c r="C105" s="5">
        <v>-13</v>
      </c>
      <c r="D105" s="5">
        <v>-20</v>
      </c>
      <c r="E105" s="5">
        <v>-25</v>
      </c>
      <c r="F105" s="5">
        <v>-11</v>
      </c>
      <c r="G105" s="5">
        <v>-18</v>
      </c>
      <c r="H105" s="5">
        <v>-11</v>
      </c>
      <c r="I105" s="5">
        <v>-14</v>
      </c>
      <c r="J105" s="5">
        <v>4</v>
      </c>
      <c r="K105" s="5">
        <v>5</v>
      </c>
      <c r="L105" s="5">
        <v>3</v>
      </c>
      <c r="M105" s="5">
        <v>-25</v>
      </c>
      <c r="N105" s="5">
        <v>-14</v>
      </c>
      <c r="O105" s="5">
        <v>7</v>
      </c>
      <c r="P105" s="5">
        <v>31</v>
      </c>
      <c r="Q105" s="5">
        <v>9</v>
      </c>
      <c r="R105" s="5">
        <v>10</v>
      </c>
      <c r="S105" s="5">
        <v>-17</v>
      </c>
      <c r="T105" s="5">
        <v>-10</v>
      </c>
      <c r="U105" s="5">
        <v>-12</v>
      </c>
      <c r="V105" s="5">
        <v>1</v>
      </c>
      <c r="W105" s="5">
        <v>15</v>
      </c>
      <c r="X105" s="5">
        <v>18</v>
      </c>
      <c r="Y105" s="5">
        <v>-5</v>
      </c>
      <c r="Z105" s="5">
        <v>-20</v>
      </c>
      <c r="AA105" s="5">
        <v>8</v>
      </c>
      <c r="AB105" s="5">
        <v>-10</v>
      </c>
      <c r="AC105" s="5">
        <v>14</v>
      </c>
      <c r="AD105" s="5">
        <v>-15</v>
      </c>
      <c r="AE105" s="5">
        <v>-7</v>
      </c>
      <c r="AF105" s="5">
        <v>13</v>
      </c>
      <c r="AG105" s="5">
        <v>-24</v>
      </c>
      <c r="AH105" s="5">
        <v>-1</v>
      </c>
      <c r="AI105" s="5">
        <v>-20</v>
      </c>
      <c r="AJ105" s="5">
        <v>2</v>
      </c>
      <c r="AK105" s="5">
        <v>14</v>
      </c>
      <c r="AL105" s="6">
        <v>33</v>
      </c>
    </row>
    <row r="106" spans="1:38">
      <c r="A106" s="4">
        <v>14</v>
      </c>
      <c r="B106" s="5">
        <v>-21</v>
      </c>
      <c r="C106" s="5">
        <v>-12</v>
      </c>
      <c r="D106" s="5">
        <v>-15</v>
      </c>
      <c r="E106" s="5">
        <v>-17</v>
      </c>
      <c r="F106" s="5">
        <v>-7</v>
      </c>
      <c r="G106" s="5">
        <v>-6</v>
      </c>
      <c r="H106" s="5">
        <v>-10</v>
      </c>
      <c r="I106" s="5">
        <v>-12</v>
      </c>
      <c r="J106" s="5">
        <v>7</v>
      </c>
      <c r="K106" s="5">
        <v>8</v>
      </c>
      <c r="L106" s="5">
        <v>2</v>
      </c>
      <c r="M106" s="5">
        <v>-15</v>
      </c>
      <c r="N106" s="5">
        <v>-6</v>
      </c>
      <c r="O106" s="5">
        <v>13</v>
      </c>
      <c r="P106" s="5">
        <v>16</v>
      </c>
      <c r="Q106" s="5">
        <v>8</v>
      </c>
      <c r="R106" s="5">
        <v>5</v>
      </c>
      <c r="S106" s="5">
        <v>-9</v>
      </c>
      <c r="T106" s="5">
        <v>-16</v>
      </c>
      <c r="U106" s="5">
        <v>-15</v>
      </c>
      <c r="V106" s="5">
        <v>8</v>
      </c>
      <c r="W106" s="5">
        <v>13</v>
      </c>
      <c r="X106" s="5">
        <v>9</v>
      </c>
      <c r="Y106" s="5">
        <v>1</v>
      </c>
      <c r="Z106" s="5">
        <v>-15</v>
      </c>
      <c r="AA106" s="5">
        <v>8</v>
      </c>
      <c r="AB106" s="5">
        <v>-4</v>
      </c>
      <c r="AC106" s="5">
        <v>10</v>
      </c>
      <c r="AD106" s="5">
        <v>-10</v>
      </c>
      <c r="AE106" s="5">
        <v>-4</v>
      </c>
      <c r="AF106" s="5">
        <v>8</v>
      </c>
      <c r="AG106" s="5">
        <v>-15</v>
      </c>
      <c r="AH106" s="5">
        <v>-5</v>
      </c>
      <c r="AI106" s="5">
        <v>-4</v>
      </c>
      <c r="AJ106" s="5">
        <v>1</v>
      </c>
      <c r="AK106" s="5">
        <v>12</v>
      </c>
      <c r="AL106" s="6">
        <v>21</v>
      </c>
    </row>
    <row r="107" spans="1:38">
      <c r="A107" s="4">
        <v>7</v>
      </c>
      <c r="B107" s="5">
        <v>6</v>
      </c>
      <c r="C107" s="5">
        <v>-7</v>
      </c>
      <c r="D107" s="5">
        <v>-4</v>
      </c>
      <c r="E107" s="5">
        <v>0</v>
      </c>
      <c r="F107" s="5">
        <v>3</v>
      </c>
      <c r="G107" s="5">
        <v>-1</v>
      </c>
      <c r="H107" s="5">
        <v>-3</v>
      </c>
      <c r="I107" s="5">
        <v>2</v>
      </c>
      <c r="J107" s="5">
        <v>12</v>
      </c>
      <c r="K107" s="5">
        <v>2</v>
      </c>
      <c r="L107" s="5">
        <v>7</v>
      </c>
      <c r="M107" s="5">
        <v>2</v>
      </c>
      <c r="N107" s="5">
        <v>-5</v>
      </c>
      <c r="O107" s="5">
        <v>6</v>
      </c>
      <c r="P107" s="5">
        <v>8</v>
      </c>
      <c r="Q107" s="5">
        <v>1</v>
      </c>
      <c r="R107" s="5">
        <v>-1</v>
      </c>
      <c r="S107" s="5">
        <v>-2</v>
      </c>
      <c r="T107" s="5">
        <v>6</v>
      </c>
      <c r="U107" s="5">
        <v>0</v>
      </c>
      <c r="V107" s="5">
        <v>3</v>
      </c>
      <c r="W107" s="5">
        <v>0</v>
      </c>
      <c r="X107" s="5">
        <v>8</v>
      </c>
      <c r="Y107" s="5">
        <v>-11</v>
      </c>
      <c r="Z107" s="5">
        <v>-2</v>
      </c>
      <c r="AA107" s="5">
        <v>2</v>
      </c>
      <c r="AB107" s="5">
        <v>-8</v>
      </c>
      <c r="AC107" s="5">
        <v>5</v>
      </c>
      <c r="AD107" s="5">
        <v>1</v>
      </c>
      <c r="AE107" s="5">
        <v>-7</v>
      </c>
      <c r="AF107" s="5">
        <v>9</v>
      </c>
      <c r="AG107" s="5">
        <v>-12</v>
      </c>
      <c r="AH107" s="5">
        <v>-2</v>
      </c>
      <c r="AI107" s="5">
        <v>7</v>
      </c>
      <c r="AJ107" s="5">
        <v>-6</v>
      </c>
      <c r="AK107" s="5">
        <v>6</v>
      </c>
      <c r="AL107" s="6">
        <v>5</v>
      </c>
    </row>
    <row r="108" spans="1:38">
      <c r="A108" s="4">
        <v>-26</v>
      </c>
      <c r="B108" s="5">
        <v>16</v>
      </c>
      <c r="C108" s="5">
        <v>-3</v>
      </c>
      <c r="D108" s="5">
        <v>-16</v>
      </c>
      <c r="E108" s="5">
        <v>-27</v>
      </c>
      <c r="F108" s="5">
        <v>-24</v>
      </c>
      <c r="G108" s="5">
        <v>-4</v>
      </c>
      <c r="H108" s="5">
        <v>23</v>
      </c>
      <c r="I108" s="5">
        <v>24</v>
      </c>
      <c r="J108" s="5">
        <v>-12</v>
      </c>
      <c r="K108" s="5">
        <v>-10</v>
      </c>
      <c r="L108" s="5">
        <v>-15</v>
      </c>
      <c r="M108" s="5">
        <v>4</v>
      </c>
      <c r="N108" s="5">
        <v>9</v>
      </c>
      <c r="O108" s="5">
        <v>51</v>
      </c>
      <c r="P108" s="5">
        <v>27</v>
      </c>
      <c r="Q108" s="5">
        <v>-34</v>
      </c>
      <c r="R108" s="5">
        <v>1</v>
      </c>
      <c r="S108" s="5">
        <v>-15</v>
      </c>
      <c r="T108" s="5">
        <v>-57</v>
      </c>
      <c r="U108" s="5">
        <v>4</v>
      </c>
      <c r="V108" s="5">
        <v>26</v>
      </c>
      <c r="W108" s="5">
        <v>-51</v>
      </c>
      <c r="X108" s="5">
        <v>-15</v>
      </c>
      <c r="Y108" s="5">
        <v>5</v>
      </c>
      <c r="Z108" s="5">
        <v>-17</v>
      </c>
      <c r="AA108" s="5">
        <v>-13</v>
      </c>
      <c r="AB108" s="5">
        <v>14</v>
      </c>
      <c r="AC108" s="5">
        <v>-9</v>
      </c>
      <c r="AD108" s="5">
        <v>-11</v>
      </c>
      <c r="AE108" s="5">
        <v>8</v>
      </c>
      <c r="AF108" s="5">
        <v>-27</v>
      </c>
      <c r="AG108" s="5">
        <v>25</v>
      </c>
      <c r="AH108" s="5">
        <v>9</v>
      </c>
      <c r="AI108" s="5">
        <v>16</v>
      </c>
      <c r="AJ108" s="5">
        <v>-8</v>
      </c>
      <c r="AK108" s="5">
        <v>-56</v>
      </c>
      <c r="AL108" s="6">
        <v>27</v>
      </c>
    </row>
    <row r="109" spans="1:38">
      <c r="A109" s="4">
        <v>7</v>
      </c>
      <c r="B109" s="5">
        <v>3</v>
      </c>
      <c r="C109" s="5">
        <v>4</v>
      </c>
      <c r="D109" s="5">
        <v>-10</v>
      </c>
      <c r="E109" s="5">
        <v>-4</v>
      </c>
      <c r="F109" s="5">
        <v>-4</v>
      </c>
      <c r="G109" s="5">
        <v>-5</v>
      </c>
      <c r="H109" s="5">
        <v>4</v>
      </c>
      <c r="I109" s="5">
        <v>-8</v>
      </c>
      <c r="J109" s="5">
        <v>-6</v>
      </c>
      <c r="K109" s="5">
        <v>3</v>
      </c>
      <c r="L109" s="5">
        <v>6</v>
      </c>
      <c r="M109" s="5">
        <v>1</v>
      </c>
      <c r="N109" s="5">
        <v>-5</v>
      </c>
      <c r="O109" s="5">
        <v>11</v>
      </c>
      <c r="P109" s="5">
        <v>2</v>
      </c>
      <c r="Q109" s="5">
        <v>-4</v>
      </c>
      <c r="R109" s="5">
        <v>5</v>
      </c>
      <c r="S109" s="5">
        <v>-20</v>
      </c>
      <c r="T109" s="5">
        <v>-3</v>
      </c>
      <c r="U109" s="5">
        <v>-4</v>
      </c>
      <c r="V109" s="5">
        <v>6</v>
      </c>
      <c r="W109" s="5">
        <v>16</v>
      </c>
      <c r="X109" s="5">
        <v>-3</v>
      </c>
      <c r="Y109" s="5">
        <v>3</v>
      </c>
      <c r="Z109" s="5">
        <v>2</v>
      </c>
      <c r="AA109" s="5">
        <v>4</v>
      </c>
      <c r="AB109" s="5">
        <v>-9</v>
      </c>
      <c r="AC109" s="5">
        <v>-5</v>
      </c>
      <c r="AD109" s="5">
        <v>18</v>
      </c>
      <c r="AE109" s="5">
        <v>-3</v>
      </c>
      <c r="AF109" s="5">
        <v>-12</v>
      </c>
      <c r="AG109" s="5">
        <v>-5</v>
      </c>
      <c r="AH109" s="5">
        <v>5</v>
      </c>
      <c r="AI109" s="5">
        <v>-9</v>
      </c>
      <c r="AJ109" s="5">
        <v>-9</v>
      </c>
      <c r="AK109" s="5">
        <v>7</v>
      </c>
      <c r="AL109" s="6">
        <v>-6</v>
      </c>
    </row>
    <row r="110" spans="1:38">
      <c r="A110" s="4">
        <v>5</v>
      </c>
      <c r="B110" s="5">
        <v>8</v>
      </c>
      <c r="C110" s="5">
        <v>-4</v>
      </c>
      <c r="D110" s="5">
        <v>-4</v>
      </c>
      <c r="E110" s="5">
        <v>15</v>
      </c>
      <c r="F110" s="5">
        <v>-7</v>
      </c>
      <c r="G110" s="5">
        <v>-15</v>
      </c>
      <c r="H110" s="5">
        <v>-3</v>
      </c>
      <c r="I110" s="5">
        <v>-1</v>
      </c>
      <c r="J110" s="5">
        <v>6</v>
      </c>
      <c r="K110" s="5">
        <v>-16</v>
      </c>
      <c r="L110" s="5">
        <v>1</v>
      </c>
      <c r="M110" s="5">
        <v>-5</v>
      </c>
      <c r="N110" s="5">
        <v>2</v>
      </c>
      <c r="O110" s="5">
        <v>8</v>
      </c>
      <c r="P110" s="5">
        <v>7</v>
      </c>
      <c r="Q110" s="5">
        <v>-29</v>
      </c>
      <c r="R110" s="5">
        <v>-13</v>
      </c>
      <c r="S110" s="5">
        <v>-8</v>
      </c>
      <c r="T110" s="5">
        <v>-2</v>
      </c>
      <c r="U110" s="5">
        <v>21</v>
      </c>
      <c r="V110" s="5">
        <v>3</v>
      </c>
      <c r="W110" s="5">
        <v>17</v>
      </c>
      <c r="X110" s="5">
        <v>22</v>
      </c>
      <c r="Y110" s="5">
        <v>-9</v>
      </c>
      <c r="Z110" s="5">
        <v>-17</v>
      </c>
      <c r="AA110" s="5">
        <v>-23</v>
      </c>
      <c r="AB110" s="5">
        <v>-14</v>
      </c>
      <c r="AC110" s="5">
        <v>-6</v>
      </c>
      <c r="AD110" s="5">
        <v>-17</v>
      </c>
      <c r="AE110" s="5">
        <v>2</v>
      </c>
      <c r="AF110" s="5">
        <v>-3</v>
      </c>
      <c r="AG110" s="5">
        <v>-3</v>
      </c>
      <c r="AH110" s="5">
        <v>-7</v>
      </c>
      <c r="AI110" s="5">
        <v>-13</v>
      </c>
      <c r="AJ110" s="5">
        <v>0</v>
      </c>
      <c r="AK110" s="5">
        <v>-1</v>
      </c>
      <c r="AL110" s="6">
        <v>3</v>
      </c>
    </row>
    <row r="111" spans="1:38">
      <c r="A111" s="4">
        <v>0</v>
      </c>
      <c r="B111" s="5">
        <v>-2</v>
      </c>
      <c r="C111" s="5">
        <v>11</v>
      </c>
      <c r="D111" s="5">
        <v>-5</v>
      </c>
      <c r="E111" s="5">
        <v>10</v>
      </c>
      <c r="F111" s="5">
        <v>-8</v>
      </c>
      <c r="G111" s="5">
        <v>-22</v>
      </c>
      <c r="H111" s="5">
        <v>-13</v>
      </c>
      <c r="I111" s="5">
        <v>2</v>
      </c>
      <c r="J111" s="5">
        <v>3</v>
      </c>
      <c r="K111" s="5">
        <v>-20</v>
      </c>
      <c r="L111" s="5">
        <v>-2</v>
      </c>
      <c r="M111" s="5">
        <v>6</v>
      </c>
      <c r="N111" s="5">
        <v>0</v>
      </c>
      <c r="O111" s="5">
        <v>19</v>
      </c>
      <c r="P111" s="5">
        <v>10</v>
      </c>
      <c r="Q111" s="5">
        <v>-15</v>
      </c>
      <c r="R111" s="5">
        <v>6</v>
      </c>
      <c r="S111" s="5">
        <v>-6</v>
      </c>
      <c r="T111" s="5">
        <v>-11</v>
      </c>
      <c r="U111" s="5">
        <v>31</v>
      </c>
      <c r="V111" s="5">
        <v>-2</v>
      </c>
      <c r="W111" s="5">
        <v>13</v>
      </c>
      <c r="X111" s="5">
        <v>35</v>
      </c>
      <c r="Y111" s="5">
        <v>17</v>
      </c>
      <c r="Z111" s="5">
        <v>-22</v>
      </c>
      <c r="AA111" s="5">
        <v>-13</v>
      </c>
      <c r="AB111" s="5">
        <v>-30</v>
      </c>
      <c r="AC111" s="5">
        <v>11</v>
      </c>
      <c r="AD111" s="5">
        <v>-10</v>
      </c>
      <c r="AE111" s="5">
        <v>22</v>
      </c>
      <c r="AF111" s="5">
        <v>-2</v>
      </c>
      <c r="AG111" s="5">
        <v>-4</v>
      </c>
      <c r="AH111" s="5">
        <v>-9</v>
      </c>
      <c r="AI111" s="5">
        <v>-12</v>
      </c>
      <c r="AJ111" s="5">
        <v>3</v>
      </c>
      <c r="AK111" s="5">
        <v>-17</v>
      </c>
      <c r="AL111" s="6">
        <v>0</v>
      </c>
    </row>
    <row r="112" spans="1:38">
      <c r="A112" s="4">
        <v>-38</v>
      </c>
      <c r="B112" s="5">
        <v>10</v>
      </c>
      <c r="C112" s="5">
        <v>16</v>
      </c>
      <c r="D112" s="5">
        <v>2</v>
      </c>
      <c r="E112" s="5">
        <v>22</v>
      </c>
      <c r="F112" s="5">
        <v>-9</v>
      </c>
      <c r="G112" s="5">
        <v>-35</v>
      </c>
      <c r="H112" s="5">
        <v>-2</v>
      </c>
      <c r="I112" s="5">
        <v>8</v>
      </c>
      <c r="J112" s="5">
        <v>9</v>
      </c>
      <c r="K112" s="5">
        <v>-24</v>
      </c>
      <c r="L112" s="5">
        <v>0</v>
      </c>
      <c r="M112" s="5">
        <v>18</v>
      </c>
      <c r="N112" s="5">
        <v>42</v>
      </c>
      <c r="O112" s="5">
        <v>25</v>
      </c>
      <c r="P112" s="5">
        <v>-7</v>
      </c>
      <c r="Q112" s="5">
        <v>-14</v>
      </c>
      <c r="R112" s="5">
        <v>16</v>
      </c>
      <c r="S112" s="5">
        <v>-3</v>
      </c>
      <c r="T112" s="5">
        <v>-2</v>
      </c>
      <c r="U112" s="5">
        <v>56</v>
      </c>
      <c r="V112" s="5">
        <v>63</v>
      </c>
      <c r="W112" s="5">
        <v>5</v>
      </c>
      <c r="X112" s="5">
        <v>9</v>
      </c>
      <c r="Y112" s="5">
        <v>-18</v>
      </c>
      <c r="Z112" s="5">
        <v>-24</v>
      </c>
      <c r="AA112" s="5">
        <v>11</v>
      </c>
      <c r="AB112" s="5">
        <v>-22</v>
      </c>
      <c r="AC112" s="5">
        <v>14</v>
      </c>
      <c r="AD112" s="5">
        <v>17</v>
      </c>
      <c r="AE112" s="5">
        <v>13</v>
      </c>
      <c r="AF112" s="5">
        <v>-17</v>
      </c>
      <c r="AG112" s="5">
        <v>-26</v>
      </c>
      <c r="AH112" s="5">
        <v>-33</v>
      </c>
      <c r="AI112" s="5">
        <v>-27</v>
      </c>
      <c r="AJ112" s="5">
        <v>-31</v>
      </c>
      <c r="AK112" s="5">
        <v>-10</v>
      </c>
      <c r="AL112" s="6">
        <v>-9</v>
      </c>
    </row>
    <row r="113" spans="1:38">
      <c r="A113" s="4">
        <v>0</v>
      </c>
      <c r="B113" s="5">
        <v>6</v>
      </c>
      <c r="C113" s="5">
        <v>2</v>
      </c>
      <c r="D113" s="5">
        <v>-5</v>
      </c>
      <c r="E113" s="5">
        <v>3</v>
      </c>
      <c r="F113" s="5">
        <v>9</v>
      </c>
      <c r="G113" s="5">
        <v>-3</v>
      </c>
      <c r="H113" s="5">
        <v>-12</v>
      </c>
      <c r="I113" s="5">
        <v>-1</v>
      </c>
      <c r="J113" s="5">
        <v>-8</v>
      </c>
      <c r="K113" s="5">
        <v>-14</v>
      </c>
      <c r="L113" s="5">
        <v>6</v>
      </c>
      <c r="M113" s="5">
        <v>7</v>
      </c>
      <c r="N113" s="5">
        <v>11</v>
      </c>
      <c r="O113" s="5">
        <v>2</v>
      </c>
      <c r="P113" s="5">
        <v>-2</v>
      </c>
      <c r="Q113" s="5">
        <v>7</v>
      </c>
      <c r="R113" s="5">
        <v>12</v>
      </c>
      <c r="S113" s="5">
        <v>9</v>
      </c>
      <c r="T113" s="5">
        <v>-5</v>
      </c>
      <c r="U113" s="5">
        <v>27</v>
      </c>
      <c r="V113" s="5">
        <v>26</v>
      </c>
      <c r="W113" s="5">
        <v>-11</v>
      </c>
      <c r="X113" s="5">
        <v>-1</v>
      </c>
      <c r="Y113" s="5">
        <v>-15</v>
      </c>
      <c r="Z113" s="5">
        <v>-22</v>
      </c>
      <c r="AA113" s="5">
        <v>12</v>
      </c>
      <c r="AB113" s="5">
        <v>-7</v>
      </c>
      <c r="AC113" s="5">
        <v>2</v>
      </c>
      <c r="AD113" s="5">
        <v>8</v>
      </c>
      <c r="AE113" s="5">
        <v>2</v>
      </c>
      <c r="AF113" s="5">
        <v>-6</v>
      </c>
      <c r="AG113" s="5">
        <v>16</v>
      </c>
      <c r="AH113" s="5">
        <v>0</v>
      </c>
      <c r="AI113" s="5">
        <v>1</v>
      </c>
      <c r="AJ113" s="5">
        <v>3</v>
      </c>
      <c r="AK113" s="5">
        <v>2</v>
      </c>
      <c r="AL113" s="6">
        <v>-14</v>
      </c>
    </row>
    <row r="114" spans="1:38">
      <c r="A114" s="4">
        <v>11</v>
      </c>
      <c r="B114" s="5">
        <v>-8</v>
      </c>
      <c r="C114" s="5">
        <v>5</v>
      </c>
      <c r="D114" s="5">
        <v>-23</v>
      </c>
      <c r="E114" s="5">
        <v>1</v>
      </c>
      <c r="F114" s="5">
        <v>4</v>
      </c>
      <c r="G114" s="5">
        <v>7</v>
      </c>
      <c r="H114" s="5">
        <v>-1</v>
      </c>
      <c r="I114" s="5">
        <v>-11</v>
      </c>
      <c r="J114" s="5">
        <v>-7</v>
      </c>
      <c r="K114" s="5">
        <v>26</v>
      </c>
      <c r="L114" s="5">
        <v>12</v>
      </c>
      <c r="M114" s="5">
        <v>7</v>
      </c>
      <c r="N114" s="5">
        <v>-14</v>
      </c>
      <c r="O114" s="5">
        <v>-1</v>
      </c>
      <c r="P114" s="5">
        <v>4</v>
      </c>
      <c r="Q114" s="5">
        <v>3</v>
      </c>
      <c r="R114" s="5">
        <v>-21</v>
      </c>
      <c r="S114" s="5">
        <v>7</v>
      </c>
      <c r="T114" s="5">
        <v>5</v>
      </c>
      <c r="U114" s="5">
        <v>-20</v>
      </c>
      <c r="V114" s="5">
        <v>4</v>
      </c>
      <c r="W114" s="5">
        <v>4</v>
      </c>
      <c r="X114" s="5">
        <v>45</v>
      </c>
      <c r="Y114" s="5">
        <v>7</v>
      </c>
      <c r="Z114" s="5">
        <v>7</v>
      </c>
      <c r="AA114" s="5">
        <v>-9</v>
      </c>
      <c r="AB114" s="5">
        <v>-12</v>
      </c>
      <c r="AC114" s="5">
        <v>-2</v>
      </c>
      <c r="AD114" s="5">
        <v>2</v>
      </c>
      <c r="AE114" s="5">
        <v>-11</v>
      </c>
      <c r="AF114" s="5">
        <v>4</v>
      </c>
      <c r="AG114" s="5">
        <v>-34</v>
      </c>
      <c r="AH114" s="5">
        <v>-11</v>
      </c>
      <c r="AI114" s="5">
        <v>7</v>
      </c>
      <c r="AJ114" s="5">
        <v>9</v>
      </c>
      <c r="AK114" s="5">
        <v>1</v>
      </c>
      <c r="AL114" s="6">
        <v>9</v>
      </c>
    </row>
    <row r="115" spans="1:38">
      <c r="A115" s="4">
        <v>-1</v>
      </c>
      <c r="B115" s="5">
        <v>-21</v>
      </c>
      <c r="C115" s="5">
        <v>32</v>
      </c>
      <c r="D115" s="5">
        <v>-2</v>
      </c>
      <c r="E115" s="5">
        <v>11</v>
      </c>
      <c r="F115" s="5">
        <v>10</v>
      </c>
      <c r="G115" s="5">
        <v>-19</v>
      </c>
      <c r="H115" s="5">
        <v>-8</v>
      </c>
      <c r="I115" s="5">
        <v>-1</v>
      </c>
      <c r="J115" s="5">
        <v>-14</v>
      </c>
      <c r="K115" s="5">
        <v>-24</v>
      </c>
      <c r="L115" s="5">
        <v>-34</v>
      </c>
      <c r="M115" s="5">
        <v>-8</v>
      </c>
      <c r="N115" s="5">
        <v>16</v>
      </c>
      <c r="O115" s="5">
        <v>7</v>
      </c>
      <c r="P115" s="5">
        <v>29</v>
      </c>
      <c r="Q115" s="5">
        <v>-39</v>
      </c>
      <c r="R115" s="5">
        <v>-22</v>
      </c>
      <c r="S115" s="5">
        <v>12</v>
      </c>
      <c r="T115" s="5">
        <v>-6</v>
      </c>
      <c r="U115" s="5">
        <v>28</v>
      </c>
      <c r="V115" s="5">
        <v>0</v>
      </c>
      <c r="W115" s="5">
        <v>-5</v>
      </c>
      <c r="X115" s="5">
        <v>-7</v>
      </c>
      <c r="Y115" s="5">
        <v>-27</v>
      </c>
      <c r="Z115" s="5">
        <v>3</v>
      </c>
      <c r="AA115" s="5">
        <v>-22</v>
      </c>
      <c r="AB115" s="5">
        <v>-10</v>
      </c>
      <c r="AC115" s="5">
        <v>18</v>
      </c>
      <c r="AD115" s="5">
        <v>6</v>
      </c>
      <c r="AE115" s="5">
        <v>0</v>
      </c>
      <c r="AF115" s="5">
        <v>38</v>
      </c>
      <c r="AG115" s="5">
        <v>-36</v>
      </c>
      <c r="AH115" s="5">
        <v>-29</v>
      </c>
      <c r="AI115" s="5">
        <v>-3</v>
      </c>
      <c r="AJ115" s="5">
        <v>9</v>
      </c>
      <c r="AK115" s="5">
        <v>14</v>
      </c>
      <c r="AL115" s="6">
        <v>-36</v>
      </c>
    </row>
    <row r="116" spans="1:38">
      <c r="A116" s="4">
        <v>53</v>
      </c>
      <c r="B116" s="5">
        <v>-32</v>
      </c>
      <c r="C116" s="5">
        <v>-1</v>
      </c>
      <c r="D116" s="5">
        <v>-84</v>
      </c>
      <c r="E116" s="5">
        <v>6</v>
      </c>
      <c r="F116" s="5">
        <v>-14</v>
      </c>
      <c r="G116" s="5">
        <v>-6</v>
      </c>
      <c r="H116" s="5">
        <v>12</v>
      </c>
      <c r="I116" s="5">
        <v>-3</v>
      </c>
      <c r="J116" s="5">
        <v>-14</v>
      </c>
      <c r="K116" s="5">
        <v>33</v>
      </c>
      <c r="L116" s="5">
        <v>14</v>
      </c>
      <c r="M116" s="5">
        <v>22</v>
      </c>
      <c r="N116" s="5">
        <v>-11</v>
      </c>
      <c r="O116" s="5">
        <v>5</v>
      </c>
      <c r="P116" s="5">
        <v>0</v>
      </c>
      <c r="Q116" s="5">
        <v>32</v>
      </c>
      <c r="R116" s="5">
        <v>-11</v>
      </c>
      <c r="S116" s="5">
        <v>-5</v>
      </c>
      <c r="T116" s="5">
        <v>19</v>
      </c>
      <c r="U116" s="5">
        <v>7</v>
      </c>
      <c r="V116" s="5">
        <v>-23</v>
      </c>
      <c r="W116" s="5">
        <v>-8</v>
      </c>
      <c r="X116" s="5">
        <v>-9</v>
      </c>
      <c r="Y116" s="5">
        <v>45</v>
      </c>
      <c r="Z116" s="5">
        <v>18</v>
      </c>
      <c r="AA116" s="5">
        <v>-5</v>
      </c>
      <c r="AB116" s="5">
        <v>-16</v>
      </c>
      <c r="AC116" s="5">
        <v>13</v>
      </c>
      <c r="AD116" s="5">
        <v>27</v>
      </c>
      <c r="AE116" s="5">
        <v>-11</v>
      </c>
      <c r="AF116" s="5">
        <v>45</v>
      </c>
      <c r="AG116" s="5">
        <v>-31</v>
      </c>
      <c r="AH116" s="5">
        <v>27</v>
      </c>
      <c r="AI116" s="5">
        <v>61</v>
      </c>
      <c r="AJ116" s="5">
        <v>-16</v>
      </c>
      <c r="AK116" s="5">
        <v>-5</v>
      </c>
      <c r="AL116" s="6">
        <v>16</v>
      </c>
    </row>
    <row r="117" spans="1:38">
      <c r="A117" s="4">
        <v>26</v>
      </c>
      <c r="B117" s="5">
        <v>-36</v>
      </c>
      <c r="C117" s="5">
        <v>-26</v>
      </c>
      <c r="D117" s="5">
        <v>-33</v>
      </c>
      <c r="E117" s="5">
        <v>7</v>
      </c>
      <c r="F117" s="5">
        <v>0</v>
      </c>
      <c r="G117" s="5">
        <v>-26</v>
      </c>
      <c r="H117" s="5">
        <v>16</v>
      </c>
      <c r="I117" s="5">
        <v>-9</v>
      </c>
      <c r="J117" s="5">
        <v>-24</v>
      </c>
      <c r="K117" s="5">
        <v>-7</v>
      </c>
      <c r="L117" s="5">
        <v>24</v>
      </c>
      <c r="M117" s="5">
        <v>-22</v>
      </c>
      <c r="N117" s="5">
        <v>47</v>
      </c>
      <c r="O117" s="5">
        <v>1</v>
      </c>
      <c r="P117" s="5">
        <v>9</v>
      </c>
      <c r="Q117" s="5">
        <v>45</v>
      </c>
      <c r="R117" s="5">
        <v>-7</v>
      </c>
      <c r="S117" s="5">
        <v>-23</v>
      </c>
      <c r="T117" s="5">
        <v>23</v>
      </c>
      <c r="U117" s="5">
        <v>-19</v>
      </c>
      <c r="V117" s="5">
        <v>-9</v>
      </c>
      <c r="W117" s="5">
        <v>-46</v>
      </c>
      <c r="X117" s="5">
        <v>48</v>
      </c>
      <c r="Y117" s="5">
        <v>-9</v>
      </c>
      <c r="Z117" s="5">
        <v>-5</v>
      </c>
      <c r="AA117" s="5">
        <v>-3</v>
      </c>
      <c r="AB117" s="5">
        <v>25</v>
      </c>
      <c r="AC117" s="5">
        <v>-9</v>
      </c>
      <c r="AD117" s="5">
        <v>-10</v>
      </c>
      <c r="AE117" s="5">
        <v>-41</v>
      </c>
      <c r="AF117" s="5">
        <v>-3</v>
      </c>
      <c r="AG117" s="5">
        <v>-9</v>
      </c>
      <c r="AH117" s="5">
        <v>-21</v>
      </c>
      <c r="AI117" s="5">
        <v>36</v>
      </c>
      <c r="AJ117" s="5">
        <v>-5</v>
      </c>
      <c r="AK117" s="5">
        <v>5</v>
      </c>
      <c r="AL117" s="6">
        <v>5</v>
      </c>
    </row>
    <row r="118" spans="1:38">
      <c r="A118" s="4">
        <v>11</v>
      </c>
      <c r="B118" s="5">
        <v>1</v>
      </c>
      <c r="C118" s="5">
        <v>3</v>
      </c>
      <c r="D118" s="5">
        <v>-16</v>
      </c>
      <c r="E118" s="5">
        <v>9</v>
      </c>
      <c r="F118" s="5">
        <v>-14</v>
      </c>
      <c r="G118" s="5">
        <v>-15</v>
      </c>
      <c r="H118" s="5">
        <v>-4</v>
      </c>
      <c r="I118" s="5">
        <v>1</v>
      </c>
      <c r="J118" s="5">
        <v>-26</v>
      </c>
      <c r="K118" s="5">
        <v>15</v>
      </c>
      <c r="L118" s="5">
        <v>18</v>
      </c>
      <c r="M118" s="5">
        <v>21</v>
      </c>
      <c r="N118" s="5">
        <v>9</v>
      </c>
      <c r="O118" s="5">
        <v>-1</v>
      </c>
      <c r="P118" s="5">
        <v>1</v>
      </c>
      <c r="Q118" s="5">
        <v>19</v>
      </c>
      <c r="R118" s="5">
        <v>-1</v>
      </c>
      <c r="S118" s="5">
        <v>0</v>
      </c>
      <c r="T118" s="5">
        <v>1</v>
      </c>
      <c r="U118" s="5">
        <v>3</v>
      </c>
      <c r="V118" s="5">
        <v>12</v>
      </c>
      <c r="W118" s="5">
        <v>-1</v>
      </c>
      <c r="X118" s="5">
        <v>-3</v>
      </c>
      <c r="Y118" s="5">
        <v>-8</v>
      </c>
      <c r="Z118" s="5">
        <v>-9</v>
      </c>
      <c r="AA118" s="5">
        <v>-25</v>
      </c>
      <c r="AB118" s="5">
        <v>-9</v>
      </c>
      <c r="AC118" s="5">
        <v>-9</v>
      </c>
      <c r="AD118" s="5">
        <v>14</v>
      </c>
      <c r="AE118" s="5">
        <v>-9</v>
      </c>
      <c r="AF118" s="5">
        <v>-18</v>
      </c>
      <c r="AG118" s="5">
        <v>5</v>
      </c>
      <c r="AH118" s="5">
        <v>8</v>
      </c>
      <c r="AI118" s="5">
        <v>-1</v>
      </c>
      <c r="AJ118" s="5">
        <v>-12</v>
      </c>
      <c r="AK118" s="5">
        <v>4</v>
      </c>
      <c r="AL118" s="6">
        <v>3</v>
      </c>
    </row>
    <row r="119" spans="1:38">
      <c r="A119" s="4">
        <v>4</v>
      </c>
      <c r="B119" s="5">
        <v>-40</v>
      </c>
      <c r="C119" s="5">
        <v>-19</v>
      </c>
      <c r="D119" s="5">
        <v>-8</v>
      </c>
      <c r="E119" s="5">
        <v>-13</v>
      </c>
      <c r="F119" s="5">
        <v>0</v>
      </c>
      <c r="G119" s="5">
        <v>-18</v>
      </c>
      <c r="H119" s="5">
        <v>4</v>
      </c>
      <c r="I119" s="5">
        <v>-18</v>
      </c>
      <c r="J119" s="5">
        <v>-20</v>
      </c>
      <c r="K119" s="5">
        <v>6</v>
      </c>
      <c r="L119" s="5">
        <v>3</v>
      </c>
      <c r="M119" s="5">
        <v>21</v>
      </c>
      <c r="N119" s="5">
        <v>25</v>
      </c>
      <c r="O119" s="5">
        <v>7</v>
      </c>
      <c r="P119" s="5">
        <v>5</v>
      </c>
      <c r="Q119" s="5">
        <v>23</v>
      </c>
      <c r="R119" s="5">
        <v>-35</v>
      </c>
      <c r="S119" s="5">
        <v>-2</v>
      </c>
      <c r="T119" s="5">
        <v>21</v>
      </c>
      <c r="U119" s="5">
        <v>-25</v>
      </c>
      <c r="V119" s="5">
        <v>1</v>
      </c>
      <c r="W119" s="5">
        <v>-21</v>
      </c>
      <c r="X119" s="5">
        <v>30</v>
      </c>
      <c r="Y119" s="5">
        <v>2</v>
      </c>
      <c r="Z119" s="5">
        <v>-10</v>
      </c>
      <c r="AA119" s="5">
        <v>-9</v>
      </c>
      <c r="AB119" s="5">
        <v>6</v>
      </c>
      <c r="AC119" s="5">
        <v>-20</v>
      </c>
      <c r="AD119" s="5">
        <v>-24</v>
      </c>
      <c r="AE119" s="5">
        <v>-16</v>
      </c>
      <c r="AF119" s="5">
        <v>-12</v>
      </c>
      <c r="AG119" s="5">
        <v>1</v>
      </c>
      <c r="AH119" s="5">
        <v>0</v>
      </c>
      <c r="AI119" s="5">
        <v>0</v>
      </c>
      <c r="AJ119" s="5">
        <v>-12</v>
      </c>
      <c r="AK119" s="5">
        <v>20</v>
      </c>
      <c r="AL119" s="6">
        <v>9</v>
      </c>
    </row>
    <row r="120" spans="1:38">
      <c r="A120" s="4">
        <v>11</v>
      </c>
      <c r="B120" s="5">
        <v>-4</v>
      </c>
      <c r="C120" s="5">
        <v>-6</v>
      </c>
      <c r="D120" s="5">
        <v>-16</v>
      </c>
      <c r="E120" s="5">
        <v>1</v>
      </c>
      <c r="F120" s="5">
        <v>-4</v>
      </c>
      <c r="G120" s="5">
        <v>-3</v>
      </c>
      <c r="H120" s="5">
        <v>-2</v>
      </c>
      <c r="I120" s="5">
        <v>2</v>
      </c>
      <c r="J120" s="5">
        <v>-25</v>
      </c>
      <c r="K120" s="5">
        <v>10</v>
      </c>
      <c r="L120" s="5">
        <v>31</v>
      </c>
      <c r="M120" s="5">
        <v>9</v>
      </c>
      <c r="N120" s="5">
        <v>9</v>
      </c>
      <c r="O120" s="5">
        <v>-7</v>
      </c>
      <c r="P120" s="5">
        <v>3</v>
      </c>
      <c r="Q120" s="5">
        <v>20</v>
      </c>
      <c r="R120" s="5">
        <v>-12</v>
      </c>
      <c r="S120" s="5">
        <v>7</v>
      </c>
      <c r="T120" s="5">
        <v>-2</v>
      </c>
      <c r="U120" s="5">
        <v>23</v>
      </c>
      <c r="V120" s="5">
        <v>36</v>
      </c>
      <c r="W120" s="5">
        <v>-13</v>
      </c>
      <c r="X120" s="5">
        <v>16</v>
      </c>
      <c r="Y120" s="5">
        <v>-16</v>
      </c>
      <c r="Z120" s="5">
        <v>5</v>
      </c>
      <c r="AA120" s="5">
        <v>-3</v>
      </c>
      <c r="AB120" s="5">
        <v>-9</v>
      </c>
      <c r="AC120" s="5">
        <v>-36</v>
      </c>
      <c r="AD120" s="5">
        <v>0</v>
      </c>
      <c r="AE120" s="5">
        <v>-20</v>
      </c>
      <c r="AF120" s="5">
        <v>10</v>
      </c>
      <c r="AG120" s="5">
        <v>16</v>
      </c>
      <c r="AH120" s="5">
        <v>2</v>
      </c>
      <c r="AI120" s="5">
        <v>-5</v>
      </c>
      <c r="AJ120" s="5">
        <v>-14</v>
      </c>
      <c r="AK120" s="5">
        <v>3</v>
      </c>
      <c r="AL120" s="6">
        <v>11</v>
      </c>
    </row>
    <row r="121" spans="1:38">
      <c r="A121" s="4">
        <v>-36</v>
      </c>
      <c r="B121" s="5">
        <v>-34</v>
      </c>
      <c r="C121" s="5">
        <v>-5</v>
      </c>
      <c r="D121" s="5">
        <v>-54</v>
      </c>
      <c r="E121" s="5">
        <v>15</v>
      </c>
      <c r="F121" s="5">
        <v>33</v>
      </c>
      <c r="G121" s="5">
        <v>3</v>
      </c>
      <c r="H121" s="5">
        <v>-17</v>
      </c>
      <c r="I121" s="5">
        <v>9</v>
      </c>
      <c r="J121" s="5">
        <v>-52</v>
      </c>
      <c r="K121" s="5">
        <v>-1</v>
      </c>
      <c r="L121" s="5">
        <v>30</v>
      </c>
      <c r="M121" s="5">
        <v>-10</v>
      </c>
      <c r="N121" s="5">
        <v>-33</v>
      </c>
      <c r="O121" s="5">
        <v>-21</v>
      </c>
      <c r="P121" s="5">
        <v>2</v>
      </c>
      <c r="Q121" s="5">
        <v>5</v>
      </c>
      <c r="R121" s="5">
        <v>-26</v>
      </c>
      <c r="S121" s="5">
        <v>25</v>
      </c>
      <c r="T121" s="5">
        <v>30</v>
      </c>
      <c r="U121" s="5">
        <v>-4</v>
      </c>
      <c r="V121" s="5">
        <v>-47</v>
      </c>
      <c r="W121" s="5">
        <v>-9</v>
      </c>
      <c r="X121" s="5">
        <v>-3</v>
      </c>
      <c r="Y121" s="5">
        <v>-20</v>
      </c>
      <c r="Z121" s="5">
        <v>6</v>
      </c>
      <c r="AA121" s="5">
        <v>3</v>
      </c>
      <c r="AB121" s="5">
        <v>20</v>
      </c>
      <c r="AC121" s="5">
        <v>8</v>
      </c>
      <c r="AD121" s="5">
        <v>-14</v>
      </c>
      <c r="AE121" s="5">
        <v>31</v>
      </c>
      <c r="AF121" s="5">
        <v>-13</v>
      </c>
      <c r="AG121" s="5">
        <v>5</v>
      </c>
      <c r="AH121" s="5">
        <v>8</v>
      </c>
      <c r="AI121" s="5">
        <v>13</v>
      </c>
      <c r="AJ121" s="5">
        <v>-5</v>
      </c>
      <c r="AK121" s="5">
        <v>7</v>
      </c>
      <c r="AL121" s="6">
        <v>-11</v>
      </c>
    </row>
    <row r="122" spans="1:38">
      <c r="A122" s="4">
        <v>24</v>
      </c>
      <c r="B122" s="5">
        <v>-37</v>
      </c>
      <c r="C122" s="5">
        <v>-37</v>
      </c>
      <c r="D122" s="5">
        <v>-19</v>
      </c>
      <c r="E122" s="5">
        <v>-3</v>
      </c>
      <c r="F122" s="5">
        <v>-3</v>
      </c>
      <c r="G122" s="5">
        <v>-22</v>
      </c>
      <c r="H122" s="5">
        <v>11</v>
      </c>
      <c r="I122" s="5">
        <v>-6</v>
      </c>
      <c r="J122" s="5">
        <v>-27</v>
      </c>
      <c r="K122" s="5">
        <v>3</v>
      </c>
      <c r="L122" s="5">
        <v>40</v>
      </c>
      <c r="M122" s="5">
        <v>-46</v>
      </c>
      <c r="N122" s="5">
        <v>45</v>
      </c>
      <c r="O122" s="5">
        <v>17</v>
      </c>
      <c r="P122" s="5">
        <v>12</v>
      </c>
      <c r="Q122" s="5">
        <v>34</v>
      </c>
      <c r="R122" s="5">
        <v>-7</v>
      </c>
      <c r="S122" s="5">
        <v>-21</v>
      </c>
      <c r="T122" s="5">
        <v>27</v>
      </c>
      <c r="U122" s="5">
        <v>-39</v>
      </c>
      <c r="V122" s="5">
        <v>-17</v>
      </c>
      <c r="W122" s="5">
        <v>-53</v>
      </c>
      <c r="X122" s="5">
        <v>57</v>
      </c>
      <c r="Y122" s="5">
        <v>-5</v>
      </c>
      <c r="Z122" s="5">
        <v>-13</v>
      </c>
      <c r="AA122" s="5">
        <v>-4</v>
      </c>
      <c r="AB122" s="5">
        <v>13</v>
      </c>
      <c r="AC122" s="5">
        <v>3</v>
      </c>
      <c r="AD122" s="5">
        <v>-25</v>
      </c>
      <c r="AE122" s="5">
        <v>-50</v>
      </c>
      <c r="AF122" s="5">
        <v>7</v>
      </c>
      <c r="AG122" s="5">
        <v>3</v>
      </c>
      <c r="AH122" s="5">
        <v>-30</v>
      </c>
      <c r="AI122" s="5">
        <v>34</v>
      </c>
      <c r="AJ122" s="5">
        <v>11</v>
      </c>
      <c r="AK122" s="5">
        <v>-13</v>
      </c>
      <c r="AL122" s="6">
        <v>-10</v>
      </c>
    </row>
    <row r="123" spans="1:38">
      <c r="A123" s="4">
        <v>12</v>
      </c>
      <c r="B123" s="5">
        <v>-38</v>
      </c>
      <c r="C123" s="5">
        <v>1</v>
      </c>
      <c r="D123" s="5">
        <v>-73</v>
      </c>
      <c r="E123" s="5">
        <v>9</v>
      </c>
      <c r="F123" s="5">
        <v>-5</v>
      </c>
      <c r="G123" s="5">
        <v>-19</v>
      </c>
      <c r="H123" s="5">
        <v>5</v>
      </c>
      <c r="I123" s="5">
        <v>13</v>
      </c>
      <c r="J123" s="5">
        <v>-61</v>
      </c>
      <c r="K123" s="5">
        <v>23</v>
      </c>
      <c r="L123" s="5">
        <v>8</v>
      </c>
      <c r="M123" s="5">
        <v>13</v>
      </c>
      <c r="N123" s="5">
        <v>17</v>
      </c>
      <c r="O123" s="5">
        <v>-38</v>
      </c>
      <c r="P123" s="5">
        <v>-8</v>
      </c>
      <c r="Q123" s="5">
        <v>-1</v>
      </c>
      <c r="R123" s="5">
        <v>-44</v>
      </c>
      <c r="S123" s="5">
        <v>20</v>
      </c>
      <c r="T123" s="5">
        <v>14</v>
      </c>
      <c r="U123" s="5">
        <v>-1</v>
      </c>
      <c r="V123" s="5">
        <v>26</v>
      </c>
      <c r="W123" s="5">
        <v>25</v>
      </c>
      <c r="X123" s="5">
        <v>2</v>
      </c>
      <c r="Y123" s="5">
        <v>-7</v>
      </c>
      <c r="Z123" s="5">
        <v>-13</v>
      </c>
      <c r="AA123" s="5">
        <v>5</v>
      </c>
      <c r="AB123" s="5">
        <v>-1</v>
      </c>
      <c r="AC123" s="5">
        <v>2</v>
      </c>
      <c r="AD123" s="5">
        <v>23</v>
      </c>
      <c r="AE123" s="5">
        <v>26</v>
      </c>
      <c r="AF123" s="5">
        <v>16</v>
      </c>
      <c r="AG123" s="5">
        <v>24</v>
      </c>
      <c r="AH123" s="5">
        <v>18</v>
      </c>
      <c r="AI123" s="5">
        <v>-7</v>
      </c>
      <c r="AJ123" s="5">
        <v>-17</v>
      </c>
      <c r="AK123" s="5">
        <v>12</v>
      </c>
      <c r="AL123" s="6">
        <v>13</v>
      </c>
    </row>
    <row r="124" spans="1:38">
      <c r="A124" s="4">
        <v>8</v>
      </c>
      <c r="B124" s="5">
        <v>-14</v>
      </c>
      <c r="C124" s="5">
        <v>-4</v>
      </c>
      <c r="D124" s="5">
        <v>-45</v>
      </c>
      <c r="E124" s="5">
        <v>22</v>
      </c>
      <c r="F124" s="5">
        <v>-8</v>
      </c>
      <c r="G124" s="5">
        <v>-26</v>
      </c>
      <c r="H124" s="5">
        <v>-5</v>
      </c>
      <c r="I124" s="5">
        <v>-4</v>
      </c>
      <c r="J124" s="5">
        <v>-33</v>
      </c>
      <c r="K124" s="5">
        <v>8</v>
      </c>
      <c r="L124" s="5">
        <v>-1</v>
      </c>
      <c r="M124" s="5">
        <v>10</v>
      </c>
      <c r="N124" s="5">
        <v>13</v>
      </c>
      <c r="O124" s="5">
        <v>-34</v>
      </c>
      <c r="P124" s="5">
        <v>-13</v>
      </c>
      <c r="Q124" s="5">
        <v>-1</v>
      </c>
      <c r="R124" s="5">
        <v>-32</v>
      </c>
      <c r="S124" s="5">
        <v>4</v>
      </c>
      <c r="T124" s="5">
        <v>15</v>
      </c>
      <c r="U124" s="5">
        <v>-6</v>
      </c>
      <c r="V124" s="5">
        <v>32</v>
      </c>
      <c r="W124" s="5">
        <v>22</v>
      </c>
      <c r="X124" s="5">
        <v>14</v>
      </c>
      <c r="Y124" s="5">
        <v>-32</v>
      </c>
      <c r="Z124" s="5">
        <v>-8</v>
      </c>
      <c r="AA124" s="5">
        <v>-5</v>
      </c>
      <c r="AB124" s="5">
        <v>-5</v>
      </c>
      <c r="AC124" s="5">
        <v>-16</v>
      </c>
      <c r="AD124" s="5">
        <v>29</v>
      </c>
      <c r="AE124" s="5">
        <v>13</v>
      </c>
      <c r="AF124" s="5">
        <v>21</v>
      </c>
      <c r="AG124" s="5">
        <v>32</v>
      </c>
      <c r="AH124" s="5">
        <v>1</v>
      </c>
      <c r="AI124" s="5">
        <v>-9</v>
      </c>
      <c r="AJ124" s="5">
        <v>-22</v>
      </c>
      <c r="AK124" s="5">
        <v>33</v>
      </c>
      <c r="AL124" s="6">
        <v>14</v>
      </c>
    </row>
    <row r="125" spans="1:38">
      <c r="A125" s="4">
        <v>26</v>
      </c>
      <c r="B125" s="5">
        <v>-16</v>
      </c>
      <c r="C125" s="5">
        <v>-25</v>
      </c>
      <c r="D125" s="5">
        <v>-30</v>
      </c>
      <c r="E125" s="5">
        <v>19</v>
      </c>
      <c r="F125" s="5">
        <v>-2</v>
      </c>
      <c r="G125" s="5">
        <v>-14</v>
      </c>
      <c r="H125" s="5">
        <v>-11</v>
      </c>
      <c r="I125" s="5">
        <v>5</v>
      </c>
      <c r="J125" s="5">
        <v>-19</v>
      </c>
      <c r="K125" s="5">
        <v>-22</v>
      </c>
      <c r="L125" s="5">
        <v>13</v>
      </c>
      <c r="M125" s="5">
        <v>-44</v>
      </c>
      <c r="N125" s="5">
        <v>19</v>
      </c>
      <c r="O125" s="5">
        <v>-11</v>
      </c>
      <c r="P125" s="5">
        <v>4</v>
      </c>
      <c r="Q125" s="5">
        <v>24</v>
      </c>
      <c r="R125" s="5">
        <v>12</v>
      </c>
      <c r="S125" s="5">
        <v>11</v>
      </c>
      <c r="T125" s="5">
        <v>15</v>
      </c>
      <c r="U125" s="5">
        <v>-20</v>
      </c>
      <c r="V125" s="5">
        <v>1</v>
      </c>
      <c r="W125" s="5">
        <v>5</v>
      </c>
      <c r="X125" s="5">
        <v>28</v>
      </c>
      <c r="Y125" s="5">
        <v>2</v>
      </c>
      <c r="Z125" s="5">
        <v>-10</v>
      </c>
      <c r="AA125" s="5">
        <v>-4</v>
      </c>
      <c r="AB125" s="5">
        <v>16</v>
      </c>
      <c r="AC125" s="5">
        <v>31</v>
      </c>
      <c r="AD125" s="5">
        <v>11</v>
      </c>
      <c r="AE125" s="5">
        <v>9</v>
      </c>
      <c r="AF125" s="5">
        <v>-9</v>
      </c>
      <c r="AG125" s="5">
        <v>10</v>
      </c>
      <c r="AH125" s="5">
        <v>-11</v>
      </c>
      <c r="AI125" s="5">
        <v>15</v>
      </c>
      <c r="AJ125" s="5">
        <v>-11</v>
      </c>
      <c r="AK125" s="5">
        <v>1</v>
      </c>
      <c r="AL125" s="6">
        <v>-9</v>
      </c>
    </row>
    <row r="126" spans="1:38">
      <c r="A126" s="4">
        <v>3</v>
      </c>
      <c r="B126" s="5">
        <v>-6</v>
      </c>
      <c r="C126" s="5">
        <v>6</v>
      </c>
      <c r="D126" s="5">
        <v>-24</v>
      </c>
      <c r="E126" s="5">
        <v>6</v>
      </c>
      <c r="F126" s="5">
        <v>15</v>
      </c>
      <c r="G126" s="5">
        <v>-12</v>
      </c>
      <c r="H126" s="5">
        <v>-3</v>
      </c>
      <c r="I126" s="5">
        <v>29</v>
      </c>
      <c r="J126" s="5">
        <v>-13</v>
      </c>
      <c r="K126" s="5">
        <v>-14</v>
      </c>
      <c r="L126" s="5">
        <v>0</v>
      </c>
      <c r="M126" s="5">
        <v>-15</v>
      </c>
      <c r="N126" s="5">
        <v>5</v>
      </c>
      <c r="O126" s="5">
        <v>-11</v>
      </c>
      <c r="P126" s="5">
        <v>-11</v>
      </c>
      <c r="Q126" s="5">
        <v>4</v>
      </c>
      <c r="R126" s="5">
        <v>-2</v>
      </c>
      <c r="S126" s="5">
        <v>3</v>
      </c>
      <c r="T126" s="5">
        <v>-7</v>
      </c>
      <c r="U126" s="5">
        <v>-14</v>
      </c>
      <c r="V126" s="5">
        <v>7</v>
      </c>
      <c r="W126" s="5">
        <v>-6</v>
      </c>
      <c r="X126" s="5">
        <v>5</v>
      </c>
      <c r="Y126" s="5">
        <v>8</v>
      </c>
      <c r="Z126" s="5">
        <v>-14</v>
      </c>
      <c r="AA126" s="5">
        <v>-2</v>
      </c>
      <c r="AB126" s="5">
        <v>-10</v>
      </c>
      <c r="AC126" s="5">
        <v>35</v>
      </c>
      <c r="AD126" s="5">
        <v>-5</v>
      </c>
      <c r="AE126" s="5">
        <v>34</v>
      </c>
      <c r="AF126" s="5">
        <v>-25</v>
      </c>
      <c r="AG126" s="5">
        <v>31</v>
      </c>
      <c r="AH126" s="5">
        <v>-7</v>
      </c>
      <c r="AI126" s="5">
        <v>7</v>
      </c>
      <c r="AJ126" s="5">
        <v>-27</v>
      </c>
      <c r="AK126" s="5">
        <v>-2</v>
      </c>
      <c r="AL126" s="6">
        <v>-23</v>
      </c>
    </row>
    <row r="127" spans="1:38">
      <c r="A127" s="4">
        <v>7</v>
      </c>
      <c r="B127" s="5">
        <v>-14</v>
      </c>
      <c r="C127" s="5">
        <v>-6</v>
      </c>
      <c r="D127" s="5">
        <v>-10</v>
      </c>
      <c r="E127" s="5">
        <v>5</v>
      </c>
      <c r="F127" s="5">
        <v>9</v>
      </c>
      <c r="G127" s="5">
        <v>-7</v>
      </c>
      <c r="H127" s="5">
        <v>-3</v>
      </c>
      <c r="I127" s="5">
        <v>-15</v>
      </c>
      <c r="J127" s="5">
        <v>-4</v>
      </c>
      <c r="K127" s="5">
        <v>-8</v>
      </c>
      <c r="L127" s="5">
        <v>12</v>
      </c>
      <c r="M127" s="5">
        <v>-30</v>
      </c>
      <c r="N127" s="5">
        <v>14</v>
      </c>
      <c r="O127" s="5">
        <v>-8</v>
      </c>
      <c r="P127" s="5">
        <v>11</v>
      </c>
      <c r="Q127" s="5">
        <v>10</v>
      </c>
      <c r="R127" s="5">
        <v>2</v>
      </c>
      <c r="S127" s="5">
        <v>5</v>
      </c>
      <c r="T127" s="5">
        <v>7</v>
      </c>
      <c r="U127" s="5">
        <v>-14</v>
      </c>
      <c r="V127" s="5">
        <v>12</v>
      </c>
      <c r="W127" s="5">
        <v>3</v>
      </c>
      <c r="X127" s="5">
        <v>5</v>
      </c>
      <c r="Y127" s="5">
        <v>1</v>
      </c>
      <c r="Z127" s="5">
        <v>2</v>
      </c>
      <c r="AA127" s="5">
        <v>-1</v>
      </c>
      <c r="AB127" s="5">
        <v>16</v>
      </c>
      <c r="AC127" s="5">
        <v>4</v>
      </c>
      <c r="AD127" s="5">
        <v>-3</v>
      </c>
      <c r="AE127" s="5">
        <v>11</v>
      </c>
      <c r="AF127" s="5">
        <v>-13</v>
      </c>
      <c r="AG127" s="5">
        <v>5</v>
      </c>
      <c r="AH127" s="5">
        <v>-16</v>
      </c>
      <c r="AI127" s="5">
        <v>-6</v>
      </c>
      <c r="AJ127" s="5">
        <v>-4</v>
      </c>
      <c r="AK127" s="5">
        <v>10</v>
      </c>
      <c r="AL127" s="6">
        <v>3</v>
      </c>
    </row>
    <row r="128" spans="1:38">
      <c r="A128" s="4">
        <v>9</v>
      </c>
      <c r="B128" s="5">
        <v>-22</v>
      </c>
      <c r="C128" s="5">
        <v>-10</v>
      </c>
      <c r="D128" s="5">
        <v>17</v>
      </c>
      <c r="E128" s="5">
        <v>-1</v>
      </c>
      <c r="F128" s="5">
        <v>-3</v>
      </c>
      <c r="G128" s="5">
        <v>-2</v>
      </c>
      <c r="H128" s="5">
        <v>26</v>
      </c>
      <c r="I128" s="5">
        <v>-4</v>
      </c>
      <c r="J128" s="5">
        <v>2</v>
      </c>
      <c r="K128" s="5">
        <v>2</v>
      </c>
      <c r="L128" s="5">
        <v>22</v>
      </c>
      <c r="M128" s="5">
        <v>-28</v>
      </c>
      <c r="N128" s="5">
        <v>7</v>
      </c>
      <c r="O128" s="5">
        <v>-10</v>
      </c>
      <c r="P128" s="5">
        <v>42</v>
      </c>
      <c r="Q128" s="5">
        <v>19</v>
      </c>
      <c r="R128" s="5">
        <v>-8</v>
      </c>
      <c r="S128" s="5">
        <v>-39</v>
      </c>
      <c r="T128" s="5">
        <v>-6</v>
      </c>
      <c r="U128" s="5">
        <v>21</v>
      </c>
      <c r="V128" s="5">
        <v>-17</v>
      </c>
      <c r="W128" s="5">
        <v>12</v>
      </c>
      <c r="X128" s="5">
        <v>23</v>
      </c>
      <c r="Y128" s="5">
        <v>-17</v>
      </c>
      <c r="Z128" s="5">
        <v>7</v>
      </c>
      <c r="AA128" s="5">
        <v>13</v>
      </c>
      <c r="AB128" s="5">
        <v>7</v>
      </c>
      <c r="AC128" s="5">
        <v>0</v>
      </c>
      <c r="AD128" s="5">
        <v>-32</v>
      </c>
      <c r="AE128" s="5">
        <v>-17</v>
      </c>
      <c r="AF128" s="5">
        <v>-7</v>
      </c>
      <c r="AG128" s="5">
        <v>-16</v>
      </c>
      <c r="AH128" s="5">
        <v>46</v>
      </c>
      <c r="AI128" s="5">
        <v>-23</v>
      </c>
      <c r="AJ128" s="5">
        <v>-3</v>
      </c>
      <c r="AK128" s="5">
        <v>9</v>
      </c>
      <c r="AL128" s="6">
        <v>-14</v>
      </c>
    </row>
    <row r="129" spans="1:38">
      <c r="A129" s="4">
        <v>8</v>
      </c>
      <c r="B129" s="5">
        <v>-15</v>
      </c>
      <c r="C129" s="5">
        <v>-14</v>
      </c>
      <c r="D129" s="5">
        <v>9</v>
      </c>
      <c r="E129" s="5">
        <v>-1</v>
      </c>
      <c r="F129" s="5">
        <v>-10</v>
      </c>
      <c r="G129" s="5">
        <v>10</v>
      </c>
      <c r="H129" s="5">
        <v>10</v>
      </c>
      <c r="I129" s="5">
        <v>-3</v>
      </c>
      <c r="J129" s="5">
        <v>-21</v>
      </c>
      <c r="K129" s="5">
        <v>-6</v>
      </c>
      <c r="L129" s="5">
        <v>24</v>
      </c>
      <c r="M129" s="5">
        <v>-36</v>
      </c>
      <c r="N129" s="5">
        <v>1</v>
      </c>
      <c r="O129" s="5">
        <v>-1</v>
      </c>
      <c r="P129" s="5">
        <v>-7</v>
      </c>
      <c r="Q129" s="5">
        <v>25</v>
      </c>
      <c r="R129" s="5">
        <v>0</v>
      </c>
      <c r="S129" s="5">
        <v>-33</v>
      </c>
      <c r="T129" s="5">
        <v>14</v>
      </c>
      <c r="U129" s="5">
        <v>36</v>
      </c>
      <c r="V129" s="5">
        <v>-2</v>
      </c>
      <c r="W129" s="5">
        <v>29</v>
      </c>
      <c r="X129" s="5">
        <v>5</v>
      </c>
      <c r="Y129" s="5">
        <v>0</v>
      </c>
      <c r="Z129" s="5">
        <v>1</v>
      </c>
      <c r="AA129" s="5">
        <v>14</v>
      </c>
      <c r="AB129" s="5">
        <v>34</v>
      </c>
      <c r="AC129" s="5">
        <v>10</v>
      </c>
      <c r="AD129" s="5">
        <v>-34</v>
      </c>
      <c r="AE129" s="5">
        <v>15</v>
      </c>
      <c r="AF129" s="5">
        <v>-6</v>
      </c>
      <c r="AG129" s="5">
        <v>-13</v>
      </c>
      <c r="AH129" s="5">
        <v>-5</v>
      </c>
      <c r="AI129" s="5">
        <v>-5</v>
      </c>
      <c r="AJ129" s="5">
        <v>-2</v>
      </c>
      <c r="AK129" s="5">
        <v>-28</v>
      </c>
      <c r="AL129" s="6">
        <v>-7</v>
      </c>
    </row>
    <row r="130" spans="1:38">
      <c r="A130" s="4">
        <v>15</v>
      </c>
      <c r="B130" s="5">
        <v>0</v>
      </c>
      <c r="C130" s="5">
        <v>30</v>
      </c>
      <c r="D130" s="5">
        <v>24</v>
      </c>
      <c r="E130" s="5">
        <v>-17</v>
      </c>
      <c r="F130" s="5">
        <v>-20</v>
      </c>
      <c r="G130" s="5">
        <v>-11</v>
      </c>
      <c r="H130" s="5">
        <v>42</v>
      </c>
      <c r="I130" s="5">
        <v>-16</v>
      </c>
      <c r="J130" s="5">
        <v>-1</v>
      </c>
      <c r="K130" s="5">
        <v>22</v>
      </c>
      <c r="L130" s="5">
        <v>27</v>
      </c>
      <c r="M130" s="5">
        <v>-16</v>
      </c>
      <c r="N130" s="5">
        <v>-12</v>
      </c>
      <c r="O130" s="5">
        <v>9</v>
      </c>
      <c r="P130" s="5">
        <v>-17</v>
      </c>
      <c r="Q130" s="5">
        <v>1</v>
      </c>
      <c r="R130" s="5">
        <v>18</v>
      </c>
      <c r="S130" s="5">
        <v>-8</v>
      </c>
      <c r="T130" s="5">
        <v>7</v>
      </c>
      <c r="U130" s="5">
        <v>-5</v>
      </c>
      <c r="V130" s="5">
        <v>-18</v>
      </c>
      <c r="W130" s="5">
        <v>1</v>
      </c>
      <c r="X130" s="5">
        <v>-37</v>
      </c>
      <c r="Y130" s="5">
        <v>2</v>
      </c>
      <c r="Z130" s="5">
        <v>-2</v>
      </c>
      <c r="AA130" s="5">
        <v>2</v>
      </c>
      <c r="AB130" s="5">
        <v>20</v>
      </c>
      <c r="AC130" s="5">
        <v>8</v>
      </c>
      <c r="AD130" s="5">
        <v>-2</v>
      </c>
      <c r="AE130" s="5">
        <v>4</v>
      </c>
      <c r="AF130" s="5">
        <v>-44</v>
      </c>
      <c r="AG130" s="5">
        <v>-14</v>
      </c>
      <c r="AH130" s="5">
        <v>-3</v>
      </c>
      <c r="AI130" s="5">
        <v>-2</v>
      </c>
      <c r="AJ130" s="5">
        <v>-21</v>
      </c>
      <c r="AK130" s="5">
        <v>-5</v>
      </c>
      <c r="AL130" s="6">
        <v>-11</v>
      </c>
    </row>
    <row r="131" spans="1:38">
      <c r="A131" s="4">
        <v>12</v>
      </c>
      <c r="B131" s="5">
        <v>-15</v>
      </c>
      <c r="C131" s="5">
        <v>-2</v>
      </c>
      <c r="D131" s="5">
        <v>14</v>
      </c>
      <c r="E131" s="5">
        <v>-8</v>
      </c>
      <c r="F131" s="5">
        <v>-7</v>
      </c>
      <c r="G131" s="5">
        <v>12</v>
      </c>
      <c r="H131" s="5">
        <v>15</v>
      </c>
      <c r="I131" s="5">
        <v>-3</v>
      </c>
      <c r="J131" s="5">
        <v>-3</v>
      </c>
      <c r="K131" s="5">
        <v>11</v>
      </c>
      <c r="L131" s="5">
        <v>26</v>
      </c>
      <c r="M131" s="5">
        <v>-26</v>
      </c>
      <c r="N131" s="5">
        <v>12</v>
      </c>
      <c r="O131" s="5">
        <v>-4</v>
      </c>
      <c r="P131" s="5">
        <v>-18</v>
      </c>
      <c r="Q131" s="5">
        <v>3</v>
      </c>
      <c r="R131" s="5">
        <v>8</v>
      </c>
      <c r="S131" s="5">
        <v>-21</v>
      </c>
      <c r="T131" s="5">
        <v>-11</v>
      </c>
      <c r="U131" s="5">
        <v>14</v>
      </c>
      <c r="V131" s="5">
        <v>-28</v>
      </c>
      <c r="W131" s="5">
        <v>-2</v>
      </c>
      <c r="X131" s="5">
        <v>-27</v>
      </c>
      <c r="Y131" s="5">
        <v>-5</v>
      </c>
      <c r="Z131" s="5">
        <v>-12</v>
      </c>
      <c r="AA131" s="5">
        <v>6</v>
      </c>
      <c r="AB131" s="5">
        <v>10</v>
      </c>
      <c r="AC131" s="5">
        <v>4</v>
      </c>
      <c r="AD131" s="5">
        <v>-12</v>
      </c>
      <c r="AE131" s="5">
        <v>13</v>
      </c>
      <c r="AF131" s="5">
        <v>-2</v>
      </c>
      <c r="AG131" s="5">
        <v>-22</v>
      </c>
      <c r="AH131" s="5">
        <v>-13</v>
      </c>
      <c r="AI131" s="5">
        <v>13</v>
      </c>
      <c r="AJ131" s="5">
        <v>2</v>
      </c>
      <c r="AK131" s="5">
        <v>-1</v>
      </c>
      <c r="AL131" s="6">
        <v>7</v>
      </c>
    </row>
    <row r="132" spans="1:38">
      <c r="A132" s="4">
        <v>9</v>
      </c>
      <c r="B132" s="5">
        <v>-6</v>
      </c>
      <c r="C132" s="5">
        <v>-11</v>
      </c>
      <c r="D132" s="5">
        <v>16</v>
      </c>
      <c r="E132" s="5">
        <v>4</v>
      </c>
      <c r="F132" s="5">
        <v>-11</v>
      </c>
      <c r="G132" s="5">
        <v>14</v>
      </c>
      <c r="H132" s="5">
        <v>9</v>
      </c>
      <c r="I132" s="5">
        <v>5</v>
      </c>
      <c r="J132" s="5">
        <v>-17</v>
      </c>
      <c r="K132" s="5">
        <v>-3</v>
      </c>
      <c r="L132" s="5">
        <v>0</v>
      </c>
      <c r="M132" s="5">
        <v>-26</v>
      </c>
      <c r="N132" s="5">
        <v>1</v>
      </c>
      <c r="O132" s="5">
        <v>-13</v>
      </c>
      <c r="P132" s="5">
        <v>-4</v>
      </c>
      <c r="Q132" s="5">
        <v>-9</v>
      </c>
      <c r="R132" s="5">
        <v>-6</v>
      </c>
      <c r="S132" s="5">
        <v>-19</v>
      </c>
      <c r="T132" s="5">
        <v>-5</v>
      </c>
      <c r="U132" s="5">
        <v>12</v>
      </c>
      <c r="V132" s="5">
        <v>5</v>
      </c>
      <c r="W132" s="5">
        <v>-5</v>
      </c>
      <c r="X132" s="5">
        <v>2</v>
      </c>
      <c r="Y132" s="5">
        <v>-13</v>
      </c>
      <c r="Z132" s="5">
        <v>-5</v>
      </c>
      <c r="AA132" s="5">
        <v>3</v>
      </c>
      <c r="AB132" s="5">
        <v>13</v>
      </c>
      <c r="AC132" s="5">
        <v>-14</v>
      </c>
      <c r="AD132" s="5">
        <v>-7</v>
      </c>
      <c r="AE132" s="5">
        <v>9</v>
      </c>
      <c r="AF132" s="5">
        <v>17</v>
      </c>
      <c r="AG132" s="5">
        <v>-10</v>
      </c>
      <c r="AH132" s="5">
        <v>-6</v>
      </c>
      <c r="AI132" s="5">
        <v>-14</v>
      </c>
      <c r="AJ132" s="5">
        <v>2</v>
      </c>
      <c r="AK132" s="5">
        <v>5</v>
      </c>
      <c r="AL132" s="6">
        <v>1</v>
      </c>
    </row>
    <row r="133" spans="1:38">
      <c r="A133" s="4">
        <v>5</v>
      </c>
      <c r="B133" s="5">
        <v>0</v>
      </c>
      <c r="C133" s="5">
        <v>-4</v>
      </c>
      <c r="D133" s="5">
        <v>2</v>
      </c>
      <c r="E133" s="5">
        <v>5</v>
      </c>
      <c r="F133" s="5">
        <v>-2</v>
      </c>
      <c r="G133" s="5">
        <v>2</v>
      </c>
      <c r="H133" s="5">
        <v>-1</v>
      </c>
      <c r="I133" s="5">
        <v>1</v>
      </c>
      <c r="J133" s="5">
        <v>-2</v>
      </c>
      <c r="K133" s="5">
        <v>4</v>
      </c>
      <c r="L133" s="5">
        <v>6</v>
      </c>
      <c r="M133" s="5">
        <v>-14</v>
      </c>
      <c r="N133" s="5">
        <v>-3</v>
      </c>
      <c r="O133" s="5">
        <v>-11</v>
      </c>
      <c r="P133" s="5">
        <v>1</v>
      </c>
      <c r="Q133" s="5">
        <v>-4</v>
      </c>
      <c r="R133" s="5">
        <v>2</v>
      </c>
      <c r="S133" s="5">
        <v>-10</v>
      </c>
      <c r="T133" s="5">
        <v>-6</v>
      </c>
      <c r="U133" s="5">
        <v>1</v>
      </c>
      <c r="V133" s="5">
        <v>-7</v>
      </c>
      <c r="W133" s="5">
        <v>1</v>
      </c>
      <c r="X133" s="5">
        <v>-4</v>
      </c>
      <c r="Y133" s="5">
        <v>5</v>
      </c>
      <c r="Z133" s="5">
        <v>8</v>
      </c>
      <c r="AA133" s="5">
        <v>-5</v>
      </c>
      <c r="AB133" s="5">
        <v>1</v>
      </c>
      <c r="AC133" s="5">
        <v>-18</v>
      </c>
      <c r="AD133" s="5">
        <v>-7</v>
      </c>
      <c r="AE133" s="5">
        <v>6</v>
      </c>
      <c r="AF133" s="5">
        <v>1</v>
      </c>
      <c r="AG133" s="5">
        <v>-6</v>
      </c>
      <c r="AH133" s="5">
        <v>-9</v>
      </c>
      <c r="AI133" s="5">
        <v>-9</v>
      </c>
      <c r="AJ133" s="5">
        <v>5</v>
      </c>
      <c r="AK133" s="5">
        <v>5</v>
      </c>
      <c r="AL133" s="6">
        <v>2</v>
      </c>
    </row>
    <row r="134" spans="1:38">
      <c r="A134" s="4">
        <v>18</v>
      </c>
      <c r="B134" s="5">
        <v>17</v>
      </c>
      <c r="C134" s="5">
        <v>-15</v>
      </c>
      <c r="D134" s="5">
        <v>4</v>
      </c>
      <c r="E134" s="5">
        <v>1</v>
      </c>
      <c r="F134" s="5">
        <v>-4</v>
      </c>
      <c r="G134" s="5">
        <v>1</v>
      </c>
      <c r="H134" s="5">
        <v>-5</v>
      </c>
      <c r="I134" s="5">
        <v>18</v>
      </c>
      <c r="J134" s="5">
        <v>-6</v>
      </c>
      <c r="K134" s="5">
        <v>-15</v>
      </c>
      <c r="L134" s="5">
        <v>-11</v>
      </c>
      <c r="M134" s="5">
        <v>-32</v>
      </c>
      <c r="N134" s="5">
        <v>-22</v>
      </c>
      <c r="O134" s="5">
        <v>-13</v>
      </c>
      <c r="P134" s="5">
        <v>8</v>
      </c>
      <c r="Q134" s="5">
        <v>-11</v>
      </c>
      <c r="R134" s="5">
        <v>18</v>
      </c>
      <c r="S134" s="5">
        <v>-9</v>
      </c>
      <c r="T134" s="5">
        <v>5</v>
      </c>
      <c r="U134" s="5">
        <v>-3</v>
      </c>
      <c r="V134" s="5">
        <v>-6</v>
      </c>
      <c r="W134" s="5">
        <v>7</v>
      </c>
      <c r="X134" s="5">
        <v>4</v>
      </c>
      <c r="Y134" s="5">
        <v>0</v>
      </c>
      <c r="Z134" s="5">
        <v>-34</v>
      </c>
      <c r="AA134" s="5">
        <v>-13</v>
      </c>
      <c r="AB134" s="5">
        <v>10</v>
      </c>
      <c r="AC134" s="5">
        <v>-24</v>
      </c>
      <c r="AD134" s="5">
        <v>-17</v>
      </c>
      <c r="AE134" s="5">
        <v>-17</v>
      </c>
      <c r="AF134" s="5">
        <v>10</v>
      </c>
      <c r="AG134" s="5">
        <v>12</v>
      </c>
      <c r="AH134" s="5">
        <v>4</v>
      </c>
      <c r="AI134" s="5">
        <v>7</v>
      </c>
      <c r="AJ134" s="5">
        <v>-4</v>
      </c>
      <c r="AK134" s="5">
        <v>-11</v>
      </c>
      <c r="AL134" s="6">
        <v>1</v>
      </c>
    </row>
    <row r="135" spans="1:38">
      <c r="A135" s="4">
        <v>4</v>
      </c>
      <c r="B135" s="5">
        <v>-5</v>
      </c>
      <c r="C135" s="5">
        <v>8</v>
      </c>
      <c r="D135" s="5">
        <v>-3</v>
      </c>
      <c r="E135" s="5">
        <v>-18</v>
      </c>
      <c r="F135" s="5">
        <v>-11</v>
      </c>
      <c r="G135" s="5">
        <v>-1</v>
      </c>
      <c r="H135" s="5">
        <v>-20</v>
      </c>
      <c r="I135" s="5">
        <v>-2</v>
      </c>
      <c r="J135" s="5">
        <v>14</v>
      </c>
      <c r="K135" s="5">
        <v>-9</v>
      </c>
      <c r="L135" s="5">
        <v>-28</v>
      </c>
      <c r="M135" s="5">
        <v>-28</v>
      </c>
      <c r="N135" s="5">
        <v>-21</v>
      </c>
      <c r="O135" s="5">
        <v>13</v>
      </c>
      <c r="P135" s="5">
        <v>14</v>
      </c>
      <c r="Q135" s="5">
        <v>9</v>
      </c>
      <c r="R135" s="5">
        <v>6</v>
      </c>
      <c r="S135" s="5">
        <v>1</v>
      </c>
      <c r="T135" s="5">
        <v>-26</v>
      </c>
      <c r="U135" s="5">
        <v>7</v>
      </c>
      <c r="V135" s="5">
        <v>15</v>
      </c>
      <c r="W135" s="5">
        <v>42</v>
      </c>
      <c r="X135" s="5">
        <v>3</v>
      </c>
      <c r="Y135" s="5">
        <v>11</v>
      </c>
      <c r="Z135" s="5">
        <v>-55</v>
      </c>
      <c r="AA135" s="5">
        <v>-21</v>
      </c>
      <c r="AB135" s="5">
        <v>9</v>
      </c>
      <c r="AC135" s="5">
        <v>1</v>
      </c>
      <c r="AD135" s="5">
        <v>-27</v>
      </c>
      <c r="AE135" s="5">
        <v>8</v>
      </c>
      <c r="AF135" s="5">
        <v>5</v>
      </c>
      <c r="AG135" s="5">
        <v>21</v>
      </c>
      <c r="AH135" s="5">
        <v>13</v>
      </c>
      <c r="AI135" s="5">
        <v>-22</v>
      </c>
      <c r="AJ135" s="5">
        <v>22</v>
      </c>
      <c r="AK135" s="5">
        <v>-1</v>
      </c>
      <c r="AL135" s="6">
        <v>30</v>
      </c>
    </row>
    <row r="136" spans="1:38">
      <c r="A136" s="4">
        <v>33</v>
      </c>
      <c r="B136" s="5">
        <v>-18</v>
      </c>
      <c r="C136" s="5">
        <v>-14</v>
      </c>
      <c r="D136" s="5">
        <v>17</v>
      </c>
      <c r="E136" s="5">
        <v>-15</v>
      </c>
      <c r="F136" s="5">
        <v>-18</v>
      </c>
      <c r="G136" s="5">
        <v>11</v>
      </c>
      <c r="H136" s="5">
        <v>10</v>
      </c>
      <c r="I136" s="5">
        <v>-16</v>
      </c>
      <c r="J136" s="5">
        <v>-46</v>
      </c>
      <c r="K136" s="5">
        <v>-28</v>
      </c>
      <c r="L136" s="5">
        <v>16</v>
      </c>
      <c r="M136" s="5">
        <v>-20</v>
      </c>
      <c r="N136" s="5">
        <v>4</v>
      </c>
      <c r="O136" s="5">
        <v>-6</v>
      </c>
      <c r="P136" s="5">
        <v>-3</v>
      </c>
      <c r="Q136" s="5">
        <v>25</v>
      </c>
      <c r="R136" s="5">
        <v>-16</v>
      </c>
      <c r="S136" s="5">
        <v>-24</v>
      </c>
      <c r="T136" s="5">
        <v>-5</v>
      </c>
      <c r="U136" s="5">
        <v>20</v>
      </c>
      <c r="V136" s="5">
        <v>16</v>
      </c>
      <c r="W136" s="5">
        <v>-6</v>
      </c>
      <c r="X136" s="5">
        <v>21</v>
      </c>
      <c r="Y136" s="5">
        <v>-19</v>
      </c>
      <c r="Z136" s="5">
        <v>-13</v>
      </c>
      <c r="AA136" s="5">
        <v>22</v>
      </c>
      <c r="AB136" s="5">
        <v>15</v>
      </c>
      <c r="AC136" s="5">
        <v>-37</v>
      </c>
      <c r="AD136" s="5">
        <v>-9</v>
      </c>
      <c r="AE136" s="5">
        <v>-6</v>
      </c>
      <c r="AF136" s="5">
        <v>-44</v>
      </c>
      <c r="AG136" s="5">
        <v>11</v>
      </c>
      <c r="AH136" s="5">
        <v>23</v>
      </c>
      <c r="AI136" s="5">
        <v>-19</v>
      </c>
      <c r="AJ136" s="5">
        <v>18</v>
      </c>
      <c r="AK136" s="5">
        <v>7</v>
      </c>
      <c r="AL136" s="6">
        <v>-20</v>
      </c>
    </row>
    <row r="137" spans="1:38">
      <c r="A137" s="4">
        <v>-12</v>
      </c>
      <c r="B137" s="5">
        <v>-8</v>
      </c>
      <c r="C137" s="5">
        <v>-2</v>
      </c>
      <c r="D137" s="5">
        <v>8</v>
      </c>
      <c r="E137" s="5">
        <v>-1</v>
      </c>
      <c r="F137" s="5">
        <v>11</v>
      </c>
      <c r="G137" s="5">
        <v>-14</v>
      </c>
      <c r="H137" s="5">
        <v>9</v>
      </c>
      <c r="I137" s="5">
        <v>-28</v>
      </c>
      <c r="J137" s="5">
        <v>12</v>
      </c>
      <c r="K137" s="5">
        <v>7</v>
      </c>
      <c r="L137" s="5">
        <v>-11</v>
      </c>
      <c r="M137" s="5">
        <v>21</v>
      </c>
      <c r="N137" s="5">
        <v>23</v>
      </c>
      <c r="O137" s="5">
        <v>18</v>
      </c>
      <c r="P137" s="5">
        <v>-1</v>
      </c>
      <c r="Q137" s="5">
        <v>12</v>
      </c>
      <c r="R137" s="5">
        <v>-20</v>
      </c>
      <c r="S137" s="5">
        <v>13</v>
      </c>
      <c r="T137" s="5">
        <v>25</v>
      </c>
      <c r="U137" s="5">
        <v>5</v>
      </c>
      <c r="V137" s="5">
        <v>8</v>
      </c>
      <c r="W137" s="5">
        <v>-9</v>
      </c>
      <c r="X137" s="5">
        <v>10</v>
      </c>
      <c r="Y137" s="5">
        <v>1</v>
      </c>
      <c r="Z137" s="5">
        <v>17</v>
      </c>
      <c r="AA137" s="5">
        <v>-21</v>
      </c>
      <c r="AB137" s="5">
        <v>7</v>
      </c>
      <c r="AC137" s="5">
        <v>-2</v>
      </c>
      <c r="AD137" s="5">
        <v>-24</v>
      </c>
      <c r="AE137" s="5">
        <v>8</v>
      </c>
      <c r="AF137" s="5">
        <v>-34</v>
      </c>
      <c r="AG137" s="5">
        <v>1</v>
      </c>
      <c r="AH137" s="5">
        <v>11</v>
      </c>
      <c r="AI137" s="5">
        <v>0</v>
      </c>
      <c r="AJ137" s="5">
        <v>-8</v>
      </c>
      <c r="AK137" s="5">
        <v>5</v>
      </c>
      <c r="AL137" s="6">
        <v>12</v>
      </c>
    </row>
    <row r="138" spans="1:38">
      <c r="A138" s="4">
        <v>2</v>
      </c>
      <c r="B138" s="5">
        <v>-7</v>
      </c>
      <c r="C138" s="5">
        <v>32</v>
      </c>
      <c r="D138" s="5">
        <v>18</v>
      </c>
      <c r="E138" s="5">
        <v>-8</v>
      </c>
      <c r="F138" s="5">
        <v>-18</v>
      </c>
      <c r="G138" s="5">
        <v>-10</v>
      </c>
      <c r="H138" s="5">
        <v>6</v>
      </c>
      <c r="I138" s="5">
        <v>-19</v>
      </c>
      <c r="J138" s="5">
        <v>-1</v>
      </c>
      <c r="K138" s="5">
        <v>12</v>
      </c>
      <c r="L138" s="5">
        <v>15</v>
      </c>
      <c r="M138" s="5">
        <v>-5</v>
      </c>
      <c r="N138" s="5">
        <v>-11</v>
      </c>
      <c r="O138" s="5">
        <v>7</v>
      </c>
      <c r="P138" s="5">
        <v>-5</v>
      </c>
      <c r="Q138" s="5">
        <v>4</v>
      </c>
      <c r="R138" s="5">
        <v>5</v>
      </c>
      <c r="S138" s="5">
        <v>4</v>
      </c>
      <c r="T138" s="5">
        <v>5</v>
      </c>
      <c r="U138" s="5">
        <v>13</v>
      </c>
      <c r="V138" s="5">
        <v>-5</v>
      </c>
      <c r="W138" s="5">
        <v>17</v>
      </c>
      <c r="X138" s="5">
        <v>-16</v>
      </c>
      <c r="Y138" s="5">
        <v>-22</v>
      </c>
      <c r="Z138" s="5">
        <v>5</v>
      </c>
      <c r="AA138" s="5">
        <v>-6</v>
      </c>
      <c r="AB138" s="5">
        <v>18</v>
      </c>
      <c r="AC138" s="5">
        <v>20</v>
      </c>
      <c r="AD138" s="5">
        <v>-1</v>
      </c>
      <c r="AE138" s="5">
        <v>31</v>
      </c>
      <c r="AF138" s="5">
        <v>-17</v>
      </c>
      <c r="AG138" s="5">
        <v>-12</v>
      </c>
      <c r="AH138" s="5">
        <v>-9</v>
      </c>
      <c r="AI138" s="5">
        <v>-3</v>
      </c>
      <c r="AJ138" s="5">
        <v>-6</v>
      </c>
      <c r="AK138" s="5">
        <v>12</v>
      </c>
      <c r="AL138" s="6">
        <v>-11</v>
      </c>
    </row>
    <row r="139" spans="1:38">
      <c r="A139" s="4">
        <v>-39</v>
      </c>
      <c r="B139" s="5">
        <v>-21</v>
      </c>
      <c r="C139" s="5">
        <v>24</v>
      </c>
      <c r="D139" s="5">
        <v>-16</v>
      </c>
      <c r="E139" s="5">
        <v>-2</v>
      </c>
      <c r="F139" s="5">
        <v>42</v>
      </c>
      <c r="G139" s="5">
        <v>-13</v>
      </c>
      <c r="H139" s="5">
        <v>-19</v>
      </c>
      <c r="I139" s="5">
        <v>78</v>
      </c>
      <c r="J139" s="5">
        <v>21</v>
      </c>
      <c r="K139" s="5">
        <v>-7</v>
      </c>
      <c r="L139" s="5">
        <v>8</v>
      </c>
      <c r="M139" s="5">
        <v>-9</v>
      </c>
      <c r="N139" s="5">
        <v>-22</v>
      </c>
      <c r="O139" s="5">
        <v>18</v>
      </c>
      <c r="P139" s="5">
        <v>-14</v>
      </c>
      <c r="Q139" s="5">
        <v>7</v>
      </c>
      <c r="R139" s="5">
        <v>17</v>
      </c>
      <c r="S139" s="5">
        <v>1</v>
      </c>
      <c r="T139" s="5">
        <v>-4</v>
      </c>
      <c r="U139" s="5">
        <v>3</v>
      </c>
      <c r="V139" s="5">
        <v>28</v>
      </c>
      <c r="W139" s="5">
        <v>-21</v>
      </c>
      <c r="X139" s="5">
        <v>17</v>
      </c>
      <c r="Y139" s="5">
        <v>4</v>
      </c>
      <c r="Z139" s="5">
        <v>-12</v>
      </c>
      <c r="AA139" s="5">
        <v>5</v>
      </c>
      <c r="AB139" s="5">
        <v>33</v>
      </c>
      <c r="AC139" s="5">
        <v>-12</v>
      </c>
      <c r="AD139" s="5">
        <v>-9</v>
      </c>
      <c r="AE139" s="5">
        <v>12</v>
      </c>
      <c r="AF139" s="5">
        <v>-20</v>
      </c>
      <c r="AG139" s="5">
        <v>-3</v>
      </c>
      <c r="AH139" s="5">
        <v>6</v>
      </c>
      <c r="AI139" s="5">
        <v>6</v>
      </c>
      <c r="AJ139" s="5">
        <v>3</v>
      </c>
      <c r="AK139" s="5">
        <v>21</v>
      </c>
      <c r="AL139" s="6">
        <v>10</v>
      </c>
    </row>
    <row r="140" spans="1:38">
      <c r="A140" s="4">
        <v>-49</v>
      </c>
      <c r="B140" s="5">
        <v>-36</v>
      </c>
      <c r="C140" s="5">
        <v>22</v>
      </c>
      <c r="D140" s="5">
        <v>-3</v>
      </c>
      <c r="E140" s="5">
        <v>-6</v>
      </c>
      <c r="F140" s="5">
        <v>47</v>
      </c>
      <c r="G140" s="5">
        <v>-12</v>
      </c>
      <c r="H140" s="5">
        <v>-32</v>
      </c>
      <c r="I140" s="5">
        <v>81</v>
      </c>
      <c r="J140" s="5">
        <v>33</v>
      </c>
      <c r="K140" s="5">
        <v>-13</v>
      </c>
      <c r="L140" s="5">
        <v>17</v>
      </c>
      <c r="M140" s="5">
        <v>-7</v>
      </c>
      <c r="N140" s="5">
        <v>-56</v>
      </c>
      <c r="O140" s="5">
        <v>-9</v>
      </c>
      <c r="P140" s="5">
        <v>-14</v>
      </c>
      <c r="Q140" s="5">
        <v>17</v>
      </c>
      <c r="R140" s="5">
        <v>7</v>
      </c>
      <c r="S140" s="5">
        <v>-1</v>
      </c>
      <c r="T140" s="5">
        <v>5</v>
      </c>
      <c r="U140" s="5">
        <v>-17</v>
      </c>
      <c r="V140" s="5">
        <v>18</v>
      </c>
      <c r="W140" s="5">
        <v>-25</v>
      </c>
      <c r="X140" s="5">
        <v>-3</v>
      </c>
      <c r="Y140" s="5">
        <v>-47</v>
      </c>
      <c r="Z140" s="5">
        <v>19</v>
      </c>
      <c r="AA140" s="5">
        <v>19</v>
      </c>
      <c r="AB140" s="5">
        <v>19</v>
      </c>
      <c r="AC140" s="5">
        <v>-13</v>
      </c>
      <c r="AD140" s="5">
        <v>5</v>
      </c>
      <c r="AE140" s="5">
        <v>3</v>
      </c>
      <c r="AF140" s="5">
        <v>-25</v>
      </c>
      <c r="AG140" s="5">
        <v>-35</v>
      </c>
      <c r="AH140" s="5">
        <v>11</v>
      </c>
      <c r="AI140" s="5">
        <v>-21</v>
      </c>
      <c r="AJ140" s="5">
        <v>4</v>
      </c>
      <c r="AK140" s="5">
        <v>2</v>
      </c>
      <c r="AL140" s="6">
        <v>-15</v>
      </c>
    </row>
    <row r="141" spans="1:38">
      <c r="A141" s="4">
        <v>-41</v>
      </c>
      <c r="B141" s="5">
        <v>-28</v>
      </c>
      <c r="C141" s="5">
        <v>15</v>
      </c>
      <c r="D141" s="5">
        <v>-8</v>
      </c>
      <c r="E141" s="5">
        <v>-6</v>
      </c>
      <c r="F141" s="5">
        <v>28</v>
      </c>
      <c r="G141" s="5">
        <v>0</v>
      </c>
      <c r="H141" s="5">
        <v>-28</v>
      </c>
      <c r="I141" s="5">
        <v>71</v>
      </c>
      <c r="J141" s="5">
        <v>32</v>
      </c>
      <c r="K141" s="5">
        <v>-8</v>
      </c>
      <c r="L141" s="5">
        <v>18</v>
      </c>
      <c r="M141" s="5">
        <v>-10</v>
      </c>
      <c r="N141" s="5">
        <v>-42</v>
      </c>
      <c r="O141" s="5">
        <v>-5</v>
      </c>
      <c r="P141" s="5">
        <v>-19</v>
      </c>
      <c r="Q141" s="5">
        <v>14</v>
      </c>
      <c r="R141" s="5">
        <v>4</v>
      </c>
      <c r="S141" s="5">
        <v>-2</v>
      </c>
      <c r="T141" s="5">
        <v>9</v>
      </c>
      <c r="U141" s="5">
        <v>-19</v>
      </c>
      <c r="V141" s="5">
        <v>13</v>
      </c>
      <c r="W141" s="5">
        <v>-22</v>
      </c>
      <c r="X141" s="5">
        <v>-1</v>
      </c>
      <c r="Y141" s="5">
        <v>-44</v>
      </c>
      <c r="Z141" s="5">
        <v>11</v>
      </c>
      <c r="AA141" s="5">
        <v>20</v>
      </c>
      <c r="AB141" s="5">
        <v>14</v>
      </c>
      <c r="AC141" s="5">
        <v>-11</v>
      </c>
      <c r="AD141" s="5">
        <v>10</v>
      </c>
      <c r="AE141" s="5">
        <v>0</v>
      </c>
      <c r="AF141" s="5">
        <v>-23</v>
      </c>
      <c r="AG141" s="5">
        <v>-18</v>
      </c>
      <c r="AH141" s="5">
        <v>-1</v>
      </c>
      <c r="AI141" s="5">
        <v>-11</v>
      </c>
      <c r="AJ141" s="5">
        <v>2</v>
      </c>
      <c r="AK141" s="5">
        <v>2</v>
      </c>
      <c r="AL141" s="6">
        <v>-19</v>
      </c>
    </row>
    <row r="142" spans="1:38">
      <c r="A142" s="4">
        <v>-14</v>
      </c>
      <c r="B142" s="5">
        <v>-12</v>
      </c>
      <c r="C142" s="5">
        <v>7</v>
      </c>
      <c r="D142" s="5">
        <v>-2</v>
      </c>
      <c r="E142" s="5">
        <v>-5</v>
      </c>
      <c r="F142" s="5">
        <v>12</v>
      </c>
      <c r="G142" s="5">
        <v>-2</v>
      </c>
      <c r="H142" s="5">
        <v>-12</v>
      </c>
      <c r="I142" s="5">
        <v>31</v>
      </c>
      <c r="J142" s="5">
        <v>19</v>
      </c>
      <c r="K142" s="5">
        <v>-3</v>
      </c>
      <c r="L142" s="5">
        <v>8</v>
      </c>
      <c r="M142" s="5">
        <v>-3</v>
      </c>
      <c r="N142" s="5">
        <v>-12</v>
      </c>
      <c r="O142" s="5">
        <v>4</v>
      </c>
      <c r="P142" s="5">
        <v>-1</v>
      </c>
      <c r="Q142" s="5">
        <v>11</v>
      </c>
      <c r="R142" s="5">
        <v>4</v>
      </c>
      <c r="S142" s="5">
        <v>-2</v>
      </c>
      <c r="T142" s="5">
        <v>7</v>
      </c>
      <c r="U142" s="5">
        <v>-9</v>
      </c>
      <c r="V142" s="5">
        <v>4</v>
      </c>
      <c r="W142" s="5">
        <v>-12</v>
      </c>
      <c r="X142" s="5">
        <v>-5</v>
      </c>
      <c r="Y142" s="5">
        <v>-13</v>
      </c>
      <c r="Z142" s="5">
        <v>1</v>
      </c>
      <c r="AA142" s="5">
        <v>7</v>
      </c>
      <c r="AB142" s="5">
        <v>14</v>
      </c>
      <c r="AC142" s="5">
        <v>-14</v>
      </c>
      <c r="AD142" s="5">
        <v>7</v>
      </c>
      <c r="AE142" s="5">
        <v>-4</v>
      </c>
      <c r="AF142" s="5">
        <v>-7</v>
      </c>
      <c r="AG142" s="5">
        <v>-7</v>
      </c>
      <c r="AH142" s="5">
        <v>-3</v>
      </c>
      <c r="AI142" s="5">
        <v>-5</v>
      </c>
      <c r="AJ142" s="5">
        <v>5</v>
      </c>
      <c r="AK142" s="5">
        <v>-2</v>
      </c>
      <c r="AL142" s="6">
        <v>-6</v>
      </c>
    </row>
    <row r="143" spans="1:38">
      <c r="A143" s="4">
        <v>-12</v>
      </c>
      <c r="B143" s="5">
        <v>-22</v>
      </c>
      <c r="C143" s="5">
        <v>-3</v>
      </c>
      <c r="D143" s="5">
        <v>-8</v>
      </c>
      <c r="E143" s="5">
        <v>-3</v>
      </c>
      <c r="F143" s="5">
        <v>-6</v>
      </c>
      <c r="G143" s="5">
        <v>-22</v>
      </c>
      <c r="H143" s="5">
        <v>1</v>
      </c>
      <c r="I143" s="5">
        <v>2</v>
      </c>
      <c r="J143" s="5">
        <v>-1</v>
      </c>
      <c r="K143" s="5">
        <v>-12</v>
      </c>
      <c r="L143" s="5">
        <v>-13</v>
      </c>
      <c r="M143" s="5">
        <v>2</v>
      </c>
      <c r="N143" s="5">
        <v>4</v>
      </c>
      <c r="O143" s="5">
        <v>25</v>
      </c>
      <c r="P143" s="5">
        <v>-15</v>
      </c>
      <c r="Q143" s="5">
        <v>2</v>
      </c>
      <c r="R143" s="5">
        <v>-1</v>
      </c>
      <c r="S143" s="5">
        <v>7</v>
      </c>
      <c r="T143" s="5">
        <v>-13</v>
      </c>
      <c r="U143" s="5">
        <v>-16</v>
      </c>
      <c r="V143" s="5">
        <v>7</v>
      </c>
      <c r="W143" s="5">
        <v>5</v>
      </c>
      <c r="X143" s="5">
        <v>-4</v>
      </c>
      <c r="Y143" s="5">
        <v>-3</v>
      </c>
      <c r="Z143" s="5">
        <v>-12</v>
      </c>
      <c r="AA143" s="5">
        <v>-18</v>
      </c>
      <c r="AB143" s="5">
        <v>24</v>
      </c>
      <c r="AC143" s="5">
        <v>-4</v>
      </c>
      <c r="AD143" s="5">
        <v>7</v>
      </c>
      <c r="AE143" s="5">
        <v>1</v>
      </c>
      <c r="AF143" s="5">
        <v>4</v>
      </c>
      <c r="AG143" s="5">
        <v>5</v>
      </c>
      <c r="AH143" s="5">
        <v>-13</v>
      </c>
      <c r="AI143" s="5">
        <v>10</v>
      </c>
      <c r="AJ143" s="5">
        <v>0</v>
      </c>
      <c r="AK143" s="5">
        <v>6</v>
      </c>
      <c r="AL143" s="6">
        <v>-11</v>
      </c>
    </row>
    <row r="144" spans="1:38">
      <c r="A144" s="4">
        <v>-27</v>
      </c>
      <c r="B144" s="5">
        <v>-32</v>
      </c>
      <c r="C144" s="5">
        <v>18</v>
      </c>
      <c r="D144" s="5">
        <v>20</v>
      </c>
      <c r="E144" s="5">
        <v>40</v>
      </c>
      <c r="F144" s="5">
        <v>18</v>
      </c>
      <c r="G144" s="5">
        <v>3</v>
      </c>
      <c r="H144" s="5">
        <v>-6</v>
      </c>
      <c r="I144" s="5">
        <v>21</v>
      </c>
      <c r="J144" s="5">
        <v>5</v>
      </c>
      <c r="K144" s="5">
        <v>4</v>
      </c>
      <c r="L144" s="5">
        <v>7</v>
      </c>
      <c r="M144" s="5">
        <v>-8</v>
      </c>
      <c r="N144" s="5">
        <v>-20</v>
      </c>
      <c r="O144" s="5">
        <v>3</v>
      </c>
      <c r="P144" s="5">
        <v>12</v>
      </c>
      <c r="Q144" s="5">
        <v>10</v>
      </c>
      <c r="R144" s="5">
        <v>12</v>
      </c>
      <c r="S144" s="5">
        <v>-15</v>
      </c>
      <c r="T144" s="5">
        <v>-6</v>
      </c>
      <c r="U144" s="5">
        <v>10</v>
      </c>
      <c r="V144" s="5">
        <v>-8</v>
      </c>
      <c r="W144" s="5">
        <v>7</v>
      </c>
      <c r="X144" s="5">
        <v>20</v>
      </c>
      <c r="Y144" s="5">
        <v>2</v>
      </c>
      <c r="Z144" s="5">
        <v>9</v>
      </c>
      <c r="AA144" s="5">
        <v>-15</v>
      </c>
      <c r="AB144" s="5">
        <v>-1</v>
      </c>
      <c r="AC144" s="5">
        <v>-7</v>
      </c>
      <c r="AD144" s="5">
        <v>7</v>
      </c>
      <c r="AE144" s="5">
        <v>-14</v>
      </c>
      <c r="AF144" s="5">
        <v>-8</v>
      </c>
      <c r="AG144" s="5">
        <v>-6</v>
      </c>
      <c r="AH144" s="5">
        <v>9</v>
      </c>
      <c r="AI144" s="5">
        <v>-4</v>
      </c>
      <c r="AJ144" s="5">
        <v>-12</v>
      </c>
      <c r="AK144" s="5">
        <v>-14</v>
      </c>
      <c r="AL144" s="6">
        <v>27</v>
      </c>
    </row>
    <row r="145" spans="1:38">
      <c r="A145" s="4">
        <v>-29</v>
      </c>
      <c r="B145" s="5">
        <v>-39</v>
      </c>
      <c r="C145" s="5">
        <v>1</v>
      </c>
      <c r="D145" s="5">
        <v>-12</v>
      </c>
      <c r="E145" s="5">
        <v>13</v>
      </c>
      <c r="F145" s="5">
        <v>13</v>
      </c>
      <c r="G145" s="5">
        <v>-16</v>
      </c>
      <c r="H145" s="5">
        <v>0</v>
      </c>
      <c r="I145" s="5">
        <v>23</v>
      </c>
      <c r="J145" s="5">
        <v>9</v>
      </c>
      <c r="K145" s="5">
        <v>-7</v>
      </c>
      <c r="L145" s="5">
        <v>-16</v>
      </c>
      <c r="M145" s="5">
        <v>-13</v>
      </c>
      <c r="N145" s="5">
        <v>3</v>
      </c>
      <c r="O145" s="5">
        <v>16</v>
      </c>
      <c r="P145" s="5">
        <v>-8</v>
      </c>
      <c r="Q145" s="5">
        <v>0</v>
      </c>
      <c r="R145" s="5">
        <v>-7</v>
      </c>
      <c r="S145" s="5">
        <v>2</v>
      </c>
      <c r="T145" s="5">
        <v>-21</v>
      </c>
      <c r="U145" s="5">
        <v>-17</v>
      </c>
      <c r="V145" s="5">
        <v>3</v>
      </c>
      <c r="W145" s="5">
        <v>6</v>
      </c>
      <c r="X145" s="5">
        <v>9</v>
      </c>
      <c r="Y145" s="5">
        <v>9</v>
      </c>
      <c r="Z145" s="5">
        <v>-14</v>
      </c>
      <c r="AA145" s="5">
        <v>-12</v>
      </c>
      <c r="AB145" s="5">
        <v>14</v>
      </c>
      <c r="AC145" s="5">
        <v>6</v>
      </c>
      <c r="AD145" s="5">
        <v>0</v>
      </c>
      <c r="AE145" s="5">
        <v>8</v>
      </c>
      <c r="AF145" s="5">
        <v>-20</v>
      </c>
      <c r="AG145" s="5">
        <v>2</v>
      </c>
      <c r="AH145" s="5">
        <v>-4</v>
      </c>
      <c r="AI145" s="5">
        <v>17</v>
      </c>
      <c r="AJ145" s="5">
        <v>-13</v>
      </c>
      <c r="AK145" s="5">
        <v>-3</v>
      </c>
      <c r="AL145" s="6">
        <v>-4</v>
      </c>
    </row>
    <row r="146" spans="1:38">
      <c r="A146" s="4">
        <v>-31</v>
      </c>
      <c r="B146" s="5">
        <v>-9</v>
      </c>
      <c r="C146" s="5">
        <v>5</v>
      </c>
      <c r="D146" s="5">
        <v>18</v>
      </c>
      <c r="E146" s="5">
        <v>26</v>
      </c>
      <c r="F146" s="5">
        <v>10</v>
      </c>
      <c r="G146" s="5">
        <v>-21</v>
      </c>
      <c r="H146" s="5">
        <v>4</v>
      </c>
      <c r="I146" s="5">
        <v>10</v>
      </c>
      <c r="J146" s="5">
        <v>6</v>
      </c>
      <c r="K146" s="5">
        <v>9</v>
      </c>
      <c r="L146" s="5">
        <v>21</v>
      </c>
      <c r="M146" s="5">
        <v>-5</v>
      </c>
      <c r="N146" s="5">
        <v>-25</v>
      </c>
      <c r="O146" s="5">
        <v>9</v>
      </c>
      <c r="P146" s="5">
        <v>-7</v>
      </c>
      <c r="Q146" s="5">
        <v>15</v>
      </c>
      <c r="R146" s="5">
        <v>8</v>
      </c>
      <c r="S146" s="5">
        <v>-6</v>
      </c>
      <c r="T146" s="5">
        <v>-12</v>
      </c>
      <c r="U146" s="5">
        <v>11</v>
      </c>
      <c r="V146" s="5">
        <v>-10</v>
      </c>
      <c r="W146" s="5">
        <v>32</v>
      </c>
      <c r="X146" s="5">
        <v>9</v>
      </c>
      <c r="Y146" s="5">
        <v>4</v>
      </c>
      <c r="Z146" s="5">
        <v>-8</v>
      </c>
      <c r="AA146" s="5">
        <v>-7</v>
      </c>
      <c r="AB146" s="5">
        <v>7</v>
      </c>
      <c r="AC146" s="5">
        <v>-23</v>
      </c>
      <c r="AD146" s="5">
        <v>28</v>
      </c>
      <c r="AE146" s="5">
        <v>-33</v>
      </c>
      <c r="AF146" s="5">
        <v>-17</v>
      </c>
      <c r="AG146" s="5">
        <v>-3</v>
      </c>
      <c r="AH146" s="5">
        <v>13</v>
      </c>
      <c r="AI146" s="5">
        <v>-2</v>
      </c>
      <c r="AJ146" s="5">
        <v>-6</v>
      </c>
      <c r="AK146" s="5">
        <v>7</v>
      </c>
      <c r="AL146" s="6">
        <v>5</v>
      </c>
    </row>
    <row r="147" spans="1:38">
      <c r="A147" s="4">
        <v>-25</v>
      </c>
      <c r="B147" s="5">
        <v>-21</v>
      </c>
      <c r="C147" s="5">
        <v>8</v>
      </c>
      <c r="D147" s="5">
        <v>9</v>
      </c>
      <c r="E147" s="5">
        <v>18</v>
      </c>
      <c r="F147" s="5">
        <v>14</v>
      </c>
      <c r="G147" s="5">
        <v>0</v>
      </c>
      <c r="H147" s="5">
        <v>-11</v>
      </c>
      <c r="I147" s="5">
        <v>32</v>
      </c>
      <c r="J147" s="5">
        <v>14</v>
      </c>
      <c r="K147" s="5">
        <v>1</v>
      </c>
      <c r="L147" s="5">
        <v>13</v>
      </c>
      <c r="M147" s="5">
        <v>-6</v>
      </c>
      <c r="N147" s="5">
        <v>-31</v>
      </c>
      <c r="O147" s="5">
        <v>9</v>
      </c>
      <c r="P147" s="5">
        <v>1</v>
      </c>
      <c r="Q147" s="5">
        <v>10</v>
      </c>
      <c r="R147" s="5">
        <v>4</v>
      </c>
      <c r="S147" s="5">
        <v>-5</v>
      </c>
      <c r="T147" s="5">
        <v>-10</v>
      </c>
      <c r="U147" s="5">
        <v>8</v>
      </c>
      <c r="V147" s="5">
        <v>17</v>
      </c>
      <c r="W147" s="5">
        <v>3</v>
      </c>
      <c r="X147" s="5">
        <v>17</v>
      </c>
      <c r="Y147" s="5">
        <v>7</v>
      </c>
      <c r="Z147" s="5">
        <v>13</v>
      </c>
      <c r="AA147" s="5">
        <v>2</v>
      </c>
      <c r="AB147" s="5">
        <v>17</v>
      </c>
      <c r="AC147" s="5">
        <v>-11</v>
      </c>
      <c r="AD147" s="5">
        <v>-3</v>
      </c>
      <c r="AE147" s="5">
        <v>-14</v>
      </c>
      <c r="AF147" s="5">
        <v>-15</v>
      </c>
      <c r="AG147" s="5">
        <v>-12</v>
      </c>
      <c r="AH147" s="5">
        <v>10</v>
      </c>
      <c r="AI147" s="5">
        <v>-1</v>
      </c>
      <c r="AJ147" s="5">
        <v>-1</v>
      </c>
      <c r="AK147" s="5">
        <v>2</v>
      </c>
      <c r="AL147" s="6">
        <v>29</v>
      </c>
    </row>
    <row r="148" spans="1:38">
      <c r="A148" s="4">
        <v>16</v>
      </c>
      <c r="B148" s="5">
        <v>-39</v>
      </c>
      <c r="C148" s="5">
        <v>20</v>
      </c>
      <c r="D148" s="5">
        <v>-17</v>
      </c>
      <c r="E148" s="5">
        <v>8</v>
      </c>
      <c r="F148" s="5">
        <v>-24</v>
      </c>
      <c r="G148" s="5">
        <v>-18</v>
      </c>
      <c r="H148" s="5">
        <v>-15</v>
      </c>
      <c r="I148" s="5">
        <v>9</v>
      </c>
      <c r="J148" s="5">
        <v>-30</v>
      </c>
      <c r="K148" s="5">
        <v>12</v>
      </c>
      <c r="L148" s="5">
        <v>-25</v>
      </c>
      <c r="M148" s="5">
        <v>23</v>
      </c>
      <c r="N148" s="5">
        <v>-4</v>
      </c>
      <c r="O148" s="5">
        <v>-17</v>
      </c>
      <c r="P148" s="5">
        <v>-3</v>
      </c>
      <c r="Q148" s="5">
        <v>-15</v>
      </c>
      <c r="R148" s="5">
        <v>6</v>
      </c>
      <c r="S148" s="5">
        <v>26</v>
      </c>
      <c r="T148" s="5">
        <v>28</v>
      </c>
      <c r="U148" s="5">
        <v>9</v>
      </c>
      <c r="V148" s="5">
        <v>6</v>
      </c>
      <c r="W148" s="5">
        <v>-1</v>
      </c>
      <c r="X148" s="5">
        <v>-40</v>
      </c>
      <c r="Y148" s="5">
        <v>-21</v>
      </c>
      <c r="Z148" s="5">
        <v>-18</v>
      </c>
      <c r="AA148" s="5">
        <v>19</v>
      </c>
      <c r="AB148" s="5">
        <v>-29</v>
      </c>
      <c r="AC148" s="5">
        <v>-19</v>
      </c>
      <c r="AD148" s="5">
        <v>2</v>
      </c>
      <c r="AE148" s="5">
        <v>6</v>
      </c>
      <c r="AF148" s="5">
        <v>-5</v>
      </c>
      <c r="AG148" s="5">
        <v>-4</v>
      </c>
      <c r="AH148" s="5">
        <v>44</v>
      </c>
      <c r="AI148" s="5">
        <v>-18</v>
      </c>
      <c r="AJ148" s="5">
        <v>15</v>
      </c>
      <c r="AK148" s="5">
        <v>-19</v>
      </c>
      <c r="AL148" s="6">
        <v>-11</v>
      </c>
    </row>
    <row r="149" spans="1:38">
      <c r="A149" s="4">
        <v>31</v>
      </c>
      <c r="B149" s="5">
        <v>-20</v>
      </c>
      <c r="C149" s="5">
        <v>21</v>
      </c>
      <c r="D149" s="5">
        <v>-50</v>
      </c>
      <c r="E149" s="5">
        <v>48</v>
      </c>
      <c r="F149" s="5">
        <v>7</v>
      </c>
      <c r="G149" s="5">
        <v>-1</v>
      </c>
      <c r="H149" s="5">
        <v>-27</v>
      </c>
      <c r="I149" s="5">
        <v>-7</v>
      </c>
      <c r="J149" s="5">
        <v>-53</v>
      </c>
      <c r="K149" s="5">
        <v>60</v>
      </c>
      <c r="L149" s="5">
        <v>3</v>
      </c>
      <c r="M149" s="5">
        <v>22</v>
      </c>
      <c r="N149" s="5">
        <v>-7</v>
      </c>
      <c r="O149" s="5">
        <v>1</v>
      </c>
      <c r="P149" s="5">
        <v>8</v>
      </c>
      <c r="Q149" s="5">
        <v>-21</v>
      </c>
      <c r="R149" s="5">
        <v>21</v>
      </c>
      <c r="S149" s="5">
        <v>2</v>
      </c>
      <c r="T149" s="5">
        <v>15</v>
      </c>
      <c r="U149" s="5">
        <v>0</v>
      </c>
      <c r="V149" s="5">
        <v>-30</v>
      </c>
      <c r="W149" s="5">
        <v>16</v>
      </c>
      <c r="X149" s="5">
        <v>-47</v>
      </c>
      <c r="Y149" s="5">
        <v>21</v>
      </c>
      <c r="Z149" s="5">
        <v>-11</v>
      </c>
      <c r="AA149" s="5">
        <v>12</v>
      </c>
      <c r="AB149" s="5">
        <v>-8</v>
      </c>
      <c r="AC149" s="5">
        <v>3</v>
      </c>
      <c r="AD149" s="5">
        <v>2</v>
      </c>
      <c r="AE149" s="5">
        <v>-14</v>
      </c>
      <c r="AF149" s="5">
        <v>-30</v>
      </c>
      <c r="AG149" s="5">
        <v>-9</v>
      </c>
      <c r="AH149" s="5">
        <v>26</v>
      </c>
      <c r="AI149" s="5">
        <v>7</v>
      </c>
      <c r="AJ149" s="5">
        <v>25</v>
      </c>
      <c r="AK149" s="5">
        <v>-55</v>
      </c>
      <c r="AL149" s="6">
        <v>14</v>
      </c>
    </row>
    <row r="150" spans="1:38">
      <c r="A150" s="4">
        <v>-31</v>
      </c>
      <c r="B150" s="5">
        <v>-37</v>
      </c>
      <c r="C150" s="5">
        <v>27</v>
      </c>
      <c r="D150" s="5">
        <v>-33</v>
      </c>
      <c r="E150" s="5">
        <v>46</v>
      </c>
      <c r="F150" s="5">
        <v>25</v>
      </c>
      <c r="G150" s="5">
        <v>46</v>
      </c>
      <c r="H150" s="5">
        <v>-14</v>
      </c>
      <c r="I150" s="5">
        <v>54</v>
      </c>
      <c r="J150" s="5">
        <v>-35</v>
      </c>
      <c r="K150" s="5">
        <v>35</v>
      </c>
      <c r="L150" s="5">
        <v>3</v>
      </c>
      <c r="M150" s="5">
        <v>25</v>
      </c>
      <c r="N150" s="5">
        <v>-49</v>
      </c>
      <c r="O150" s="5">
        <v>-15</v>
      </c>
      <c r="P150" s="5">
        <v>21</v>
      </c>
      <c r="Q150" s="5">
        <v>0</v>
      </c>
      <c r="R150" s="5">
        <v>4</v>
      </c>
      <c r="S150" s="5">
        <v>32</v>
      </c>
      <c r="T150" s="5">
        <v>33</v>
      </c>
      <c r="U150" s="5">
        <v>22</v>
      </c>
      <c r="V150" s="5">
        <v>-46</v>
      </c>
      <c r="W150" s="5">
        <v>26</v>
      </c>
      <c r="X150" s="5">
        <v>-17</v>
      </c>
      <c r="Y150" s="5">
        <v>1</v>
      </c>
      <c r="Z150" s="5">
        <v>-4</v>
      </c>
      <c r="AA150" s="5">
        <v>7</v>
      </c>
      <c r="AB150" s="5">
        <v>-5</v>
      </c>
      <c r="AC150" s="5">
        <v>-13</v>
      </c>
      <c r="AD150" s="5">
        <v>-18</v>
      </c>
      <c r="AE150" s="5">
        <v>12</v>
      </c>
      <c r="AF150" s="5">
        <v>-10</v>
      </c>
      <c r="AG150" s="5">
        <v>-16</v>
      </c>
      <c r="AH150" s="5">
        <v>-2</v>
      </c>
      <c r="AI150" s="5">
        <v>23</v>
      </c>
      <c r="AJ150" s="5">
        <v>29</v>
      </c>
      <c r="AK150" s="5">
        <v>-5</v>
      </c>
      <c r="AL150" s="6">
        <v>7</v>
      </c>
    </row>
    <row r="151" spans="1:38">
      <c r="A151" s="4">
        <v>5</v>
      </c>
      <c r="B151" s="5">
        <v>-28</v>
      </c>
      <c r="C151" s="5">
        <v>6</v>
      </c>
      <c r="D151" s="5">
        <v>-29</v>
      </c>
      <c r="E151" s="5">
        <v>16</v>
      </c>
      <c r="F151" s="5">
        <v>13</v>
      </c>
      <c r="G151" s="5">
        <v>55</v>
      </c>
      <c r="H151" s="5">
        <v>1</v>
      </c>
      <c r="I151" s="5">
        <v>31</v>
      </c>
      <c r="J151" s="5">
        <v>-10</v>
      </c>
      <c r="K151" s="5">
        <v>40</v>
      </c>
      <c r="L151" s="5">
        <v>12</v>
      </c>
      <c r="M151" s="5">
        <v>26</v>
      </c>
      <c r="N151" s="5">
        <v>-19</v>
      </c>
      <c r="O151" s="5">
        <v>-12</v>
      </c>
      <c r="P151" s="5">
        <v>19</v>
      </c>
      <c r="Q151" s="5">
        <v>17</v>
      </c>
      <c r="R151" s="5">
        <v>18</v>
      </c>
      <c r="S151" s="5">
        <v>35</v>
      </c>
      <c r="T151" s="5">
        <v>14</v>
      </c>
      <c r="U151" s="5">
        <v>7</v>
      </c>
      <c r="V151" s="5">
        <v>-29</v>
      </c>
      <c r="W151" s="5">
        <v>27</v>
      </c>
      <c r="X151" s="5">
        <v>-23</v>
      </c>
      <c r="Y151" s="5">
        <v>19</v>
      </c>
      <c r="Z151" s="5">
        <v>8</v>
      </c>
      <c r="AA151" s="5">
        <v>-4</v>
      </c>
      <c r="AB151" s="5">
        <v>8</v>
      </c>
      <c r="AC151" s="5">
        <v>-4</v>
      </c>
      <c r="AD151" s="5">
        <v>-7</v>
      </c>
      <c r="AE151" s="5">
        <v>-2</v>
      </c>
      <c r="AF151" s="5">
        <v>-13</v>
      </c>
      <c r="AG151" s="5">
        <v>-8</v>
      </c>
      <c r="AH151" s="5">
        <v>-21</v>
      </c>
      <c r="AI151" s="5">
        <v>13</v>
      </c>
      <c r="AJ151" s="5">
        <v>26</v>
      </c>
      <c r="AK151" s="5">
        <v>6</v>
      </c>
      <c r="AL151" s="6">
        <v>-16</v>
      </c>
    </row>
    <row r="152" spans="1:38">
      <c r="A152" s="4">
        <v>-20</v>
      </c>
      <c r="B152" s="5">
        <v>3</v>
      </c>
      <c r="C152" s="5">
        <v>-5</v>
      </c>
      <c r="D152" s="5">
        <v>-7</v>
      </c>
      <c r="E152" s="5">
        <v>0</v>
      </c>
      <c r="F152" s="5">
        <v>-8</v>
      </c>
      <c r="G152" s="5">
        <v>14</v>
      </c>
      <c r="H152" s="5">
        <v>-4</v>
      </c>
      <c r="I152" s="5">
        <v>-24</v>
      </c>
      <c r="J152" s="5">
        <v>8</v>
      </c>
      <c r="K152" s="5">
        <v>-6</v>
      </c>
      <c r="L152" s="5">
        <v>14</v>
      </c>
      <c r="M152" s="5">
        <v>1</v>
      </c>
      <c r="N152" s="5">
        <v>-13</v>
      </c>
      <c r="O152" s="5">
        <v>-9</v>
      </c>
      <c r="P152" s="5">
        <v>6</v>
      </c>
      <c r="Q152" s="5">
        <v>-9</v>
      </c>
      <c r="R152" s="5">
        <v>-5</v>
      </c>
      <c r="S152" s="5">
        <v>7</v>
      </c>
      <c r="T152" s="5">
        <v>1</v>
      </c>
      <c r="U152" s="5">
        <v>4</v>
      </c>
      <c r="V152" s="5">
        <v>-9</v>
      </c>
      <c r="W152" s="5">
        <v>-8</v>
      </c>
      <c r="X152" s="5">
        <v>-1</v>
      </c>
      <c r="Y152" s="5">
        <v>-2</v>
      </c>
      <c r="Z152" s="5">
        <v>-2</v>
      </c>
      <c r="AA152" s="5">
        <v>11</v>
      </c>
      <c r="AB152" s="5">
        <v>6</v>
      </c>
      <c r="AC152" s="5">
        <v>13</v>
      </c>
      <c r="AD152" s="5">
        <v>-1</v>
      </c>
      <c r="AE152" s="5">
        <v>14</v>
      </c>
      <c r="AF152" s="5">
        <v>-12</v>
      </c>
      <c r="AG152" s="5">
        <v>11</v>
      </c>
      <c r="AH152" s="5">
        <v>-5</v>
      </c>
      <c r="AI152" s="5">
        <v>22</v>
      </c>
      <c r="AJ152" s="5">
        <v>-6</v>
      </c>
      <c r="AK152" s="5">
        <v>14</v>
      </c>
      <c r="AL152" s="6">
        <v>-9</v>
      </c>
    </row>
    <row r="153" spans="1:38">
      <c r="A153" s="4">
        <v>11</v>
      </c>
      <c r="B153" s="5">
        <v>-40</v>
      </c>
      <c r="C153" s="5">
        <v>35</v>
      </c>
      <c r="D153" s="5">
        <v>-110</v>
      </c>
      <c r="E153" s="5">
        <v>42</v>
      </c>
      <c r="F153" s="5">
        <v>-7</v>
      </c>
      <c r="G153" s="5">
        <v>-4</v>
      </c>
      <c r="H153" s="5">
        <v>-21</v>
      </c>
      <c r="I153" s="5">
        <v>2</v>
      </c>
      <c r="J153" s="5">
        <v>-90</v>
      </c>
      <c r="K153" s="5">
        <v>62</v>
      </c>
      <c r="L153" s="5">
        <v>-13</v>
      </c>
      <c r="M153" s="5">
        <v>28</v>
      </c>
      <c r="N153" s="5">
        <v>-18</v>
      </c>
      <c r="O153" s="5">
        <v>-28</v>
      </c>
      <c r="P153" s="5">
        <v>2</v>
      </c>
      <c r="Q153" s="5">
        <v>-39</v>
      </c>
      <c r="R153" s="5">
        <v>-12</v>
      </c>
      <c r="S153" s="5">
        <v>52</v>
      </c>
      <c r="T153" s="5">
        <v>14</v>
      </c>
      <c r="U153" s="5">
        <v>0</v>
      </c>
      <c r="V153" s="5">
        <v>-62</v>
      </c>
      <c r="W153" s="5">
        <v>23</v>
      </c>
      <c r="X153" s="5">
        <v>-45</v>
      </c>
      <c r="Y153" s="5">
        <v>-32</v>
      </c>
      <c r="Z153" s="5">
        <v>5</v>
      </c>
      <c r="AA153" s="5">
        <v>30</v>
      </c>
      <c r="AB153" s="5">
        <v>-13</v>
      </c>
      <c r="AC153" s="5">
        <v>17</v>
      </c>
      <c r="AD153" s="5">
        <v>17</v>
      </c>
      <c r="AE153" s="5">
        <v>15</v>
      </c>
      <c r="AF153" s="5">
        <v>19</v>
      </c>
      <c r="AG153" s="5">
        <v>-17</v>
      </c>
      <c r="AH153" s="5">
        <v>29</v>
      </c>
      <c r="AI153" s="5">
        <v>5</v>
      </c>
      <c r="AJ153" s="5">
        <v>8</v>
      </c>
      <c r="AK153" s="5">
        <v>-9</v>
      </c>
      <c r="AL153" s="6">
        <v>-21</v>
      </c>
    </row>
    <row r="154" spans="1:38">
      <c r="A154" s="4">
        <v>-9</v>
      </c>
      <c r="B154" s="5">
        <v>-24</v>
      </c>
      <c r="C154" s="5">
        <v>17</v>
      </c>
      <c r="D154" s="5">
        <v>-70</v>
      </c>
      <c r="E154" s="5">
        <v>28</v>
      </c>
      <c r="F154" s="5">
        <v>-16</v>
      </c>
      <c r="G154" s="5">
        <v>12</v>
      </c>
      <c r="H154" s="5">
        <v>-6</v>
      </c>
      <c r="I154" s="5">
        <v>-15</v>
      </c>
      <c r="J154" s="5">
        <v>-60</v>
      </c>
      <c r="K154" s="5">
        <v>21</v>
      </c>
      <c r="L154" s="5">
        <v>0</v>
      </c>
      <c r="M154" s="5">
        <v>12</v>
      </c>
      <c r="N154" s="5">
        <v>-27</v>
      </c>
      <c r="O154" s="5">
        <v>-21</v>
      </c>
      <c r="P154" s="5">
        <v>12</v>
      </c>
      <c r="Q154" s="5">
        <v>-31</v>
      </c>
      <c r="R154" s="5">
        <v>-33</v>
      </c>
      <c r="S154" s="5">
        <v>45</v>
      </c>
      <c r="T154" s="5">
        <v>3</v>
      </c>
      <c r="U154" s="5">
        <v>17</v>
      </c>
      <c r="V154" s="5">
        <v>-60</v>
      </c>
      <c r="W154" s="5">
        <v>2</v>
      </c>
      <c r="X154" s="5">
        <v>-25</v>
      </c>
      <c r="Y154" s="5">
        <v>7</v>
      </c>
      <c r="Z154" s="5">
        <v>-4</v>
      </c>
      <c r="AA154" s="5">
        <v>35</v>
      </c>
      <c r="AB154" s="5">
        <v>13</v>
      </c>
      <c r="AC154" s="5">
        <v>16</v>
      </c>
      <c r="AD154" s="5">
        <v>6</v>
      </c>
      <c r="AE154" s="5">
        <v>16</v>
      </c>
      <c r="AF154" s="5">
        <v>49</v>
      </c>
      <c r="AG154" s="5">
        <v>-2</v>
      </c>
      <c r="AH154" s="5">
        <v>24</v>
      </c>
      <c r="AI154" s="5">
        <v>-14</v>
      </c>
      <c r="AJ154" s="5">
        <v>7</v>
      </c>
      <c r="AK154" s="5">
        <v>9</v>
      </c>
      <c r="AL154" s="6">
        <v>-34</v>
      </c>
    </row>
    <row r="155" spans="1:38">
      <c r="A155" s="4">
        <v>-4</v>
      </c>
      <c r="B155" s="5">
        <v>-23</v>
      </c>
      <c r="C155" s="5">
        <v>27</v>
      </c>
      <c r="D155" s="5">
        <v>2</v>
      </c>
      <c r="E155" s="5">
        <v>7</v>
      </c>
      <c r="F155" s="5">
        <v>5</v>
      </c>
      <c r="G155" s="5">
        <v>-6</v>
      </c>
      <c r="H155" s="5">
        <v>-14</v>
      </c>
      <c r="I155" s="5">
        <v>9</v>
      </c>
      <c r="J155" s="5">
        <v>-17</v>
      </c>
      <c r="K155" s="5">
        <v>-3</v>
      </c>
      <c r="L155" s="5">
        <v>-28</v>
      </c>
      <c r="M155" s="5">
        <v>-7</v>
      </c>
      <c r="N155" s="5">
        <v>6</v>
      </c>
      <c r="O155" s="5">
        <v>-2</v>
      </c>
      <c r="P155" s="5">
        <v>16</v>
      </c>
      <c r="Q155" s="5">
        <v>-44</v>
      </c>
      <c r="R155" s="5">
        <v>-9</v>
      </c>
      <c r="S155" s="5">
        <v>-4</v>
      </c>
      <c r="T155" s="5">
        <v>-5</v>
      </c>
      <c r="U155" s="5">
        <v>23</v>
      </c>
      <c r="V155" s="5">
        <v>0</v>
      </c>
      <c r="W155" s="5">
        <v>-2</v>
      </c>
      <c r="X155" s="5">
        <v>-7</v>
      </c>
      <c r="Y155" s="5">
        <v>-16</v>
      </c>
      <c r="Z155" s="5">
        <v>-12</v>
      </c>
      <c r="AA155" s="5">
        <v>6</v>
      </c>
      <c r="AB155" s="5">
        <v>-7</v>
      </c>
      <c r="AC155" s="5">
        <v>-1</v>
      </c>
      <c r="AD155" s="5">
        <v>9</v>
      </c>
      <c r="AE155" s="5">
        <v>-1</v>
      </c>
      <c r="AF155" s="5">
        <v>30</v>
      </c>
      <c r="AG155" s="5">
        <v>-17</v>
      </c>
      <c r="AH155" s="5">
        <v>-16</v>
      </c>
      <c r="AI155" s="5">
        <v>-8</v>
      </c>
      <c r="AJ155" s="5">
        <v>7</v>
      </c>
      <c r="AK155" s="5">
        <v>4</v>
      </c>
      <c r="AL155" s="6">
        <v>-18</v>
      </c>
    </row>
    <row r="156" spans="1:38">
      <c r="A156" s="4">
        <v>25</v>
      </c>
      <c r="B156" s="5">
        <v>-7</v>
      </c>
      <c r="C156" s="5">
        <v>18</v>
      </c>
      <c r="D156" s="5">
        <v>-38</v>
      </c>
      <c r="E156" s="5">
        <v>29</v>
      </c>
      <c r="F156" s="5">
        <v>2</v>
      </c>
      <c r="G156" s="5">
        <v>-5</v>
      </c>
      <c r="H156" s="5">
        <v>-16</v>
      </c>
      <c r="I156" s="5">
        <v>1</v>
      </c>
      <c r="J156" s="5">
        <v>-42</v>
      </c>
      <c r="K156" s="5">
        <v>44</v>
      </c>
      <c r="L156" s="5">
        <v>10</v>
      </c>
      <c r="M156" s="5">
        <v>21</v>
      </c>
      <c r="N156" s="5">
        <v>-1</v>
      </c>
      <c r="O156" s="5">
        <v>-1</v>
      </c>
      <c r="P156" s="5">
        <v>3</v>
      </c>
      <c r="Q156" s="5">
        <v>-22</v>
      </c>
      <c r="R156" s="5">
        <v>16</v>
      </c>
      <c r="S156" s="5">
        <v>-4</v>
      </c>
      <c r="T156" s="5">
        <v>5</v>
      </c>
      <c r="U156" s="5">
        <v>-7</v>
      </c>
      <c r="V156" s="5">
        <v>-20</v>
      </c>
      <c r="W156" s="5">
        <v>1</v>
      </c>
      <c r="X156" s="5">
        <v>-30</v>
      </c>
      <c r="Y156" s="5">
        <v>9</v>
      </c>
      <c r="Z156" s="5">
        <v>-6</v>
      </c>
      <c r="AA156" s="5">
        <v>5</v>
      </c>
      <c r="AB156" s="5">
        <v>-5</v>
      </c>
      <c r="AC156" s="5">
        <v>1</v>
      </c>
      <c r="AD156" s="5">
        <v>1</v>
      </c>
      <c r="AE156" s="5">
        <v>-10</v>
      </c>
      <c r="AF156" s="5">
        <v>-33</v>
      </c>
      <c r="AG156" s="5">
        <v>-10</v>
      </c>
      <c r="AH156" s="5">
        <v>16</v>
      </c>
      <c r="AI156" s="5">
        <v>-8</v>
      </c>
      <c r="AJ156" s="5">
        <v>23</v>
      </c>
      <c r="AK156" s="5">
        <v>-31</v>
      </c>
      <c r="AL156" s="6">
        <v>11</v>
      </c>
    </row>
    <row r="157" spans="1:38">
      <c r="A157" s="4">
        <v>2</v>
      </c>
      <c r="B157" s="5">
        <v>25</v>
      </c>
      <c r="C157" s="5">
        <v>45</v>
      </c>
      <c r="D157" s="5">
        <v>10</v>
      </c>
      <c r="E157" s="5">
        <v>-1</v>
      </c>
      <c r="F157" s="5">
        <v>2</v>
      </c>
      <c r="G157" s="5">
        <v>4</v>
      </c>
      <c r="H157" s="5">
        <v>-7</v>
      </c>
      <c r="I157" s="5">
        <v>-20</v>
      </c>
      <c r="J157" s="5">
        <v>-21</v>
      </c>
      <c r="K157" s="5">
        <v>-13</v>
      </c>
      <c r="L157" s="5">
        <v>12</v>
      </c>
      <c r="M157" s="5">
        <v>20</v>
      </c>
      <c r="N157" s="5">
        <v>-25</v>
      </c>
      <c r="O157" s="5">
        <v>-3</v>
      </c>
      <c r="P157" s="5">
        <v>29</v>
      </c>
      <c r="Q157" s="5">
        <v>14</v>
      </c>
      <c r="R157" s="5">
        <v>7</v>
      </c>
      <c r="S157" s="5">
        <v>10</v>
      </c>
      <c r="T157" s="5">
        <v>19</v>
      </c>
      <c r="U157" s="5">
        <v>12</v>
      </c>
      <c r="V157" s="5">
        <v>53</v>
      </c>
      <c r="W157" s="5">
        <v>-8</v>
      </c>
      <c r="X157" s="5">
        <v>8</v>
      </c>
      <c r="Y157" s="5">
        <v>-10</v>
      </c>
      <c r="Z157" s="5">
        <v>-30</v>
      </c>
      <c r="AA157" s="5">
        <v>-26</v>
      </c>
      <c r="AB157" s="5">
        <v>-1</v>
      </c>
      <c r="AC157" s="5">
        <v>-9</v>
      </c>
      <c r="AD157" s="5">
        <v>-22</v>
      </c>
      <c r="AE157" s="5">
        <v>11</v>
      </c>
      <c r="AF157" s="5">
        <v>-17</v>
      </c>
      <c r="AG157" s="5">
        <v>-1</v>
      </c>
      <c r="AH157" s="5">
        <v>19</v>
      </c>
      <c r="AI157" s="5">
        <v>15</v>
      </c>
      <c r="AJ157" s="5">
        <v>1</v>
      </c>
      <c r="AK157" s="5">
        <v>25</v>
      </c>
      <c r="AL157" s="6">
        <v>5</v>
      </c>
    </row>
    <row r="158" spans="1:38">
      <c r="A158" s="4">
        <v>-21</v>
      </c>
      <c r="B158" s="5">
        <v>-10</v>
      </c>
      <c r="C158" s="5">
        <v>55</v>
      </c>
      <c r="D158" s="5">
        <v>31</v>
      </c>
      <c r="E158" s="5">
        <v>34</v>
      </c>
      <c r="F158" s="5">
        <v>-38</v>
      </c>
      <c r="G158" s="5">
        <v>34</v>
      </c>
      <c r="H158" s="5">
        <v>0</v>
      </c>
      <c r="I158" s="5">
        <v>-20</v>
      </c>
      <c r="J158" s="5">
        <v>7</v>
      </c>
      <c r="K158" s="5">
        <v>-13</v>
      </c>
      <c r="L158" s="5">
        <v>12</v>
      </c>
      <c r="M158" s="5">
        <v>15</v>
      </c>
      <c r="N158" s="5">
        <v>-15</v>
      </c>
      <c r="O158" s="5">
        <v>36</v>
      </c>
      <c r="P158" s="5">
        <v>-6</v>
      </c>
      <c r="Q158" s="5">
        <v>-5</v>
      </c>
      <c r="R158" s="5">
        <v>17</v>
      </c>
      <c r="S158" s="5">
        <v>-18</v>
      </c>
      <c r="T158" s="5">
        <v>32</v>
      </c>
      <c r="U158" s="5">
        <v>46</v>
      </c>
      <c r="V158" s="5">
        <v>-2</v>
      </c>
      <c r="W158" s="5">
        <v>11</v>
      </c>
      <c r="X158" s="5">
        <v>-1</v>
      </c>
      <c r="Y158" s="5">
        <v>-36</v>
      </c>
      <c r="Z158" s="5">
        <v>-7</v>
      </c>
      <c r="AA158" s="5">
        <v>28</v>
      </c>
      <c r="AB158" s="5">
        <v>12</v>
      </c>
      <c r="AC158" s="5">
        <v>22</v>
      </c>
      <c r="AD158" s="5">
        <v>17</v>
      </c>
      <c r="AE158" s="5">
        <v>7</v>
      </c>
      <c r="AF158" s="5">
        <v>-28</v>
      </c>
      <c r="AG158" s="5">
        <v>27</v>
      </c>
      <c r="AH158" s="5">
        <v>-1</v>
      </c>
      <c r="AI158" s="5">
        <v>5</v>
      </c>
      <c r="AJ158" s="5">
        <v>-31</v>
      </c>
      <c r="AK158" s="5">
        <v>-51</v>
      </c>
      <c r="AL158" s="6">
        <v>-29</v>
      </c>
    </row>
    <row r="159" spans="1:38">
      <c r="A159" s="4">
        <v>-24</v>
      </c>
      <c r="B159" s="5">
        <v>5</v>
      </c>
      <c r="C159" s="5">
        <v>17</v>
      </c>
      <c r="D159" s="5">
        <v>-4</v>
      </c>
      <c r="E159" s="5">
        <v>0</v>
      </c>
      <c r="F159" s="5">
        <v>-22</v>
      </c>
      <c r="G159" s="5">
        <v>17</v>
      </c>
      <c r="H159" s="5">
        <v>-35</v>
      </c>
      <c r="I159" s="5">
        <v>-22</v>
      </c>
      <c r="J159" s="5">
        <v>1</v>
      </c>
      <c r="K159" s="5">
        <v>-15</v>
      </c>
      <c r="L159" s="5">
        <v>31</v>
      </c>
      <c r="M159" s="5">
        <v>17</v>
      </c>
      <c r="N159" s="5">
        <v>-29</v>
      </c>
      <c r="O159" s="5">
        <v>-9</v>
      </c>
      <c r="P159" s="5">
        <v>-6</v>
      </c>
      <c r="Q159" s="5">
        <v>2</v>
      </c>
      <c r="R159" s="5">
        <v>-14</v>
      </c>
      <c r="S159" s="5">
        <v>0</v>
      </c>
      <c r="T159" s="5">
        <v>17</v>
      </c>
      <c r="U159" s="5">
        <v>11</v>
      </c>
      <c r="V159" s="5">
        <v>1</v>
      </c>
      <c r="W159" s="5">
        <v>13</v>
      </c>
      <c r="X159" s="5">
        <v>-9</v>
      </c>
      <c r="Y159" s="5">
        <v>-34</v>
      </c>
      <c r="Z159" s="5">
        <v>9</v>
      </c>
      <c r="AA159" s="5">
        <v>-5</v>
      </c>
      <c r="AB159" s="5">
        <v>8</v>
      </c>
      <c r="AC159" s="5">
        <v>21</v>
      </c>
      <c r="AD159" s="5">
        <v>-16</v>
      </c>
      <c r="AE159" s="5">
        <v>28</v>
      </c>
      <c r="AF159" s="5">
        <v>-5</v>
      </c>
      <c r="AG159" s="5">
        <v>26</v>
      </c>
      <c r="AH159" s="5">
        <v>2</v>
      </c>
      <c r="AI159" s="5">
        <v>6</v>
      </c>
      <c r="AJ159" s="5">
        <v>-5</v>
      </c>
      <c r="AK159" s="5">
        <v>-3</v>
      </c>
      <c r="AL159" s="6">
        <v>2</v>
      </c>
    </row>
    <row r="160" spans="1:38">
      <c r="A160" s="4">
        <v>8</v>
      </c>
      <c r="B160" s="5">
        <v>-23</v>
      </c>
      <c r="C160" s="5">
        <v>10</v>
      </c>
      <c r="D160" s="5">
        <v>33</v>
      </c>
      <c r="E160" s="5">
        <v>0</v>
      </c>
      <c r="F160" s="5">
        <v>-11</v>
      </c>
      <c r="G160" s="5">
        <v>12</v>
      </c>
      <c r="H160" s="5">
        <v>-5</v>
      </c>
      <c r="I160" s="5">
        <v>-4</v>
      </c>
      <c r="J160" s="5">
        <v>-1</v>
      </c>
      <c r="K160" s="5">
        <v>0</v>
      </c>
      <c r="L160" s="5">
        <v>15</v>
      </c>
      <c r="M160" s="5">
        <v>43</v>
      </c>
      <c r="N160" s="5">
        <v>-12</v>
      </c>
      <c r="O160" s="5">
        <v>1</v>
      </c>
      <c r="P160" s="5">
        <v>-1</v>
      </c>
      <c r="Q160" s="5">
        <v>0</v>
      </c>
      <c r="R160" s="5">
        <v>-23</v>
      </c>
      <c r="S160" s="5">
        <v>-29</v>
      </c>
      <c r="T160" s="5">
        <v>45</v>
      </c>
      <c r="U160" s="5">
        <v>24</v>
      </c>
      <c r="V160" s="5">
        <v>44</v>
      </c>
      <c r="W160" s="5">
        <v>-9</v>
      </c>
      <c r="X160" s="5">
        <v>-10</v>
      </c>
      <c r="Y160" s="5">
        <v>-22</v>
      </c>
      <c r="Z160" s="5">
        <v>-10</v>
      </c>
      <c r="AA160" s="5">
        <v>20</v>
      </c>
      <c r="AB160" s="5">
        <v>-4</v>
      </c>
      <c r="AC160" s="5">
        <v>0</v>
      </c>
      <c r="AD160" s="5">
        <v>-44</v>
      </c>
      <c r="AE160" s="5">
        <v>21</v>
      </c>
      <c r="AF160" s="5">
        <v>-32</v>
      </c>
      <c r="AG160" s="5">
        <v>17</v>
      </c>
      <c r="AH160" s="5">
        <v>26</v>
      </c>
      <c r="AI160" s="5">
        <v>-3</v>
      </c>
      <c r="AJ160" s="5">
        <v>15</v>
      </c>
      <c r="AK160" s="5">
        <v>2</v>
      </c>
      <c r="AL160" s="6">
        <v>-30</v>
      </c>
    </row>
    <row r="161" spans="1:38">
      <c r="A161" s="4">
        <v>-1</v>
      </c>
      <c r="B161" s="5">
        <v>7</v>
      </c>
      <c r="C161" s="5">
        <v>33</v>
      </c>
      <c r="D161" s="5">
        <v>28</v>
      </c>
      <c r="E161" s="5">
        <v>9</v>
      </c>
      <c r="F161" s="5">
        <v>-3</v>
      </c>
      <c r="G161" s="5">
        <v>6</v>
      </c>
      <c r="H161" s="5">
        <v>-14</v>
      </c>
      <c r="I161" s="5">
        <v>-39</v>
      </c>
      <c r="J161" s="5">
        <v>-9</v>
      </c>
      <c r="K161" s="5">
        <v>-13</v>
      </c>
      <c r="L161" s="5">
        <v>3</v>
      </c>
      <c r="M161" s="5">
        <v>10</v>
      </c>
      <c r="N161" s="5">
        <v>-23</v>
      </c>
      <c r="O161" s="5">
        <v>-2</v>
      </c>
      <c r="P161" s="5">
        <v>20</v>
      </c>
      <c r="Q161" s="5">
        <v>55</v>
      </c>
      <c r="R161" s="5">
        <v>7</v>
      </c>
      <c r="S161" s="5">
        <v>43</v>
      </c>
      <c r="T161" s="5">
        <v>17</v>
      </c>
      <c r="U161" s="5">
        <v>-22</v>
      </c>
      <c r="V161" s="5">
        <v>19</v>
      </c>
      <c r="W161" s="5">
        <v>-26</v>
      </c>
      <c r="X161" s="5">
        <v>14</v>
      </c>
      <c r="Y161" s="5">
        <v>-16</v>
      </c>
      <c r="Z161" s="5">
        <v>10</v>
      </c>
      <c r="AA161" s="5">
        <v>-49</v>
      </c>
      <c r="AB161" s="5">
        <v>-30</v>
      </c>
      <c r="AC161" s="5">
        <v>-4</v>
      </c>
      <c r="AD161" s="5">
        <v>-41</v>
      </c>
      <c r="AE161" s="5">
        <v>39</v>
      </c>
      <c r="AF161" s="5">
        <v>3</v>
      </c>
      <c r="AG161" s="5">
        <v>-4</v>
      </c>
      <c r="AH161" s="5">
        <v>-18</v>
      </c>
      <c r="AI161" s="5">
        <v>23</v>
      </c>
      <c r="AJ161" s="5">
        <v>41</v>
      </c>
      <c r="AK161" s="5">
        <v>-6</v>
      </c>
      <c r="AL161" s="6">
        <v>-6</v>
      </c>
    </row>
    <row r="162" spans="1:38">
      <c r="A162" s="4">
        <v>7</v>
      </c>
      <c r="B162" s="5">
        <v>-5</v>
      </c>
      <c r="C162" s="5">
        <v>31</v>
      </c>
      <c r="D162" s="5">
        <v>24</v>
      </c>
      <c r="E162" s="5">
        <v>-12</v>
      </c>
      <c r="F162" s="5">
        <v>-18</v>
      </c>
      <c r="G162" s="5">
        <v>-6</v>
      </c>
      <c r="H162" s="5">
        <v>10</v>
      </c>
      <c r="I162" s="5">
        <v>5</v>
      </c>
      <c r="J162" s="5">
        <v>-2</v>
      </c>
      <c r="K162" s="5">
        <v>5</v>
      </c>
      <c r="L162" s="5">
        <v>21</v>
      </c>
      <c r="M162" s="5">
        <v>-6</v>
      </c>
      <c r="N162" s="5">
        <v>5</v>
      </c>
      <c r="O162" s="5">
        <v>-4</v>
      </c>
      <c r="P162" s="5">
        <v>-2</v>
      </c>
      <c r="Q162" s="5">
        <v>-1</v>
      </c>
      <c r="R162" s="5">
        <v>0</v>
      </c>
      <c r="S162" s="5">
        <v>22</v>
      </c>
      <c r="T162" s="5">
        <v>4</v>
      </c>
      <c r="U162" s="5">
        <v>-7</v>
      </c>
      <c r="V162" s="5">
        <v>2</v>
      </c>
      <c r="W162" s="5">
        <v>-14</v>
      </c>
      <c r="X162" s="5">
        <v>5</v>
      </c>
      <c r="Y162" s="5">
        <v>-8</v>
      </c>
      <c r="Z162" s="5">
        <v>-27</v>
      </c>
      <c r="AA162" s="5">
        <v>4</v>
      </c>
      <c r="AB162" s="5">
        <v>-16</v>
      </c>
      <c r="AC162" s="5">
        <v>21</v>
      </c>
      <c r="AD162" s="5">
        <v>11</v>
      </c>
      <c r="AE162" s="5">
        <v>21</v>
      </c>
      <c r="AF162" s="5">
        <v>-9</v>
      </c>
      <c r="AG162" s="5">
        <v>18</v>
      </c>
      <c r="AH162" s="5">
        <v>17</v>
      </c>
      <c r="AI162" s="5">
        <v>19</v>
      </c>
      <c r="AJ162" s="5">
        <v>6</v>
      </c>
      <c r="AK162" s="5">
        <v>5</v>
      </c>
      <c r="AL162" s="6">
        <v>-16</v>
      </c>
    </row>
    <row r="163" spans="1:38">
      <c r="A163" s="4">
        <v>12</v>
      </c>
      <c r="B163" s="5">
        <v>-10</v>
      </c>
      <c r="C163" s="5">
        <v>60</v>
      </c>
      <c r="D163" s="5">
        <v>45</v>
      </c>
      <c r="E163" s="5">
        <v>-21</v>
      </c>
      <c r="F163" s="5">
        <v>-25</v>
      </c>
      <c r="G163" s="5">
        <v>-11</v>
      </c>
      <c r="H163" s="5">
        <v>57</v>
      </c>
      <c r="I163" s="5">
        <v>1</v>
      </c>
      <c r="J163" s="5">
        <v>-3</v>
      </c>
      <c r="K163" s="5">
        <v>16</v>
      </c>
      <c r="L163" s="5">
        <v>59</v>
      </c>
      <c r="M163" s="5">
        <v>-18</v>
      </c>
      <c r="N163" s="5">
        <v>-21</v>
      </c>
      <c r="O163" s="5">
        <v>5</v>
      </c>
      <c r="P163" s="5">
        <v>-25</v>
      </c>
      <c r="Q163" s="5">
        <v>-25</v>
      </c>
      <c r="R163" s="5">
        <v>2</v>
      </c>
      <c r="S163" s="5">
        <v>38</v>
      </c>
      <c r="T163" s="5">
        <v>6</v>
      </c>
      <c r="U163" s="5">
        <v>-8</v>
      </c>
      <c r="V163" s="5">
        <v>-6</v>
      </c>
      <c r="W163" s="5">
        <v>-4</v>
      </c>
      <c r="X163" s="5">
        <v>7</v>
      </c>
      <c r="Y163" s="5">
        <v>-25</v>
      </c>
      <c r="Z163" s="5">
        <v>-29</v>
      </c>
      <c r="AA163" s="5">
        <v>-4</v>
      </c>
      <c r="AB163" s="5">
        <v>-21</v>
      </c>
      <c r="AC163" s="5">
        <v>1</v>
      </c>
      <c r="AD163" s="5">
        <v>8</v>
      </c>
      <c r="AE163" s="5">
        <v>33</v>
      </c>
      <c r="AF163" s="5">
        <v>2</v>
      </c>
      <c r="AG163" s="5">
        <v>-8</v>
      </c>
      <c r="AH163" s="5">
        <v>1</v>
      </c>
      <c r="AI163" s="5">
        <v>21</v>
      </c>
      <c r="AJ163" s="5">
        <v>-5</v>
      </c>
      <c r="AK163" s="5">
        <v>15</v>
      </c>
      <c r="AL163" s="6">
        <v>7</v>
      </c>
    </row>
    <row r="164" spans="1:38">
      <c r="A164" s="4">
        <v>2</v>
      </c>
      <c r="B164" s="5">
        <v>-1</v>
      </c>
      <c r="C164" s="5">
        <v>1</v>
      </c>
      <c r="D164" s="5">
        <v>2</v>
      </c>
      <c r="E164" s="5">
        <v>-8</v>
      </c>
      <c r="F164" s="5">
        <v>-7</v>
      </c>
      <c r="G164" s="5">
        <v>-6</v>
      </c>
      <c r="H164" s="5">
        <v>-21</v>
      </c>
      <c r="I164" s="5">
        <v>2</v>
      </c>
      <c r="J164" s="5">
        <v>4</v>
      </c>
      <c r="K164" s="5">
        <v>-1</v>
      </c>
      <c r="L164" s="5">
        <v>7</v>
      </c>
      <c r="M164" s="5">
        <v>-12</v>
      </c>
      <c r="N164" s="5">
        <v>-2</v>
      </c>
      <c r="O164" s="5">
        <v>-10</v>
      </c>
      <c r="P164" s="5">
        <v>6</v>
      </c>
      <c r="Q164" s="5">
        <v>3</v>
      </c>
      <c r="R164" s="5">
        <v>5</v>
      </c>
      <c r="S164" s="5">
        <v>5</v>
      </c>
      <c r="T164" s="5">
        <v>0</v>
      </c>
      <c r="U164" s="5">
        <v>-1</v>
      </c>
      <c r="V164" s="5">
        <v>8</v>
      </c>
      <c r="W164" s="5">
        <v>5</v>
      </c>
      <c r="X164" s="5">
        <v>13</v>
      </c>
      <c r="Y164" s="5">
        <v>13</v>
      </c>
      <c r="Z164" s="5">
        <v>2</v>
      </c>
      <c r="AA164" s="5">
        <v>-5</v>
      </c>
      <c r="AB164" s="5">
        <v>-20</v>
      </c>
      <c r="AC164" s="5">
        <v>17</v>
      </c>
      <c r="AD164" s="5">
        <v>17</v>
      </c>
      <c r="AE164" s="5">
        <v>12</v>
      </c>
      <c r="AF164" s="5">
        <v>1</v>
      </c>
      <c r="AG164" s="5">
        <v>4</v>
      </c>
      <c r="AH164" s="5">
        <v>8</v>
      </c>
      <c r="AI164" s="5">
        <v>10</v>
      </c>
      <c r="AJ164" s="5">
        <v>10</v>
      </c>
      <c r="AK164" s="5">
        <v>-4</v>
      </c>
      <c r="AL164" s="6">
        <v>-7</v>
      </c>
    </row>
    <row r="165" spans="1:38">
      <c r="A165" s="4">
        <v>-24</v>
      </c>
      <c r="B165" s="5">
        <v>-18</v>
      </c>
      <c r="C165" s="5">
        <v>25</v>
      </c>
      <c r="D165" s="5">
        <v>30</v>
      </c>
      <c r="E165" s="5">
        <v>-15</v>
      </c>
      <c r="F165" s="5">
        <v>-44</v>
      </c>
      <c r="G165" s="5">
        <v>25</v>
      </c>
      <c r="H165" s="5">
        <v>-40</v>
      </c>
      <c r="I165" s="5">
        <v>-62</v>
      </c>
      <c r="J165" s="5">
        <v>-8</v>
      </c>
      <c r="K165" s="5">
        <v>-29</v>
      </c>
      <c r="L165" s="5">
        <v>9</v>
      </c>
      <c r="M165" s="5">
        <v>-10</v>
      </c>
      <c r="N165" s="5">
        <v>-43</v>
      </c>
      <c r="O165" s="5">
        <v>-15</v>
      </c>
      <c r="P165" s="5">
        <v>-19</v>
      </c>
      <c r="Q165" s="5">
        <v>62</v>
      </c>
      <c r="R165" s="5">
        <v>3</v>
      </c>
      <c r="S165" s="5">
        <v>8</v>
      </c>
      <c r="T165" s="5">
        <v>19</v>
      </c>
      <c r="U165" s="5">
        <v>7</v>
      </c>
      <c r="V165" s="5">
        <v>-1</v>
      </c>
      <c r="W165" s="5">
        <v>-22</v>
      </c>
      <c r="X165" s="5">
        <v>-29</v>
      </c>
      <c r="Y165" s="5">
        <v>-37</v>
      </c>
      <c r="Z165" s="5">
        <v>5</v>
      </c>
      <c r="AA165" s="5">
        <v>-18</v>
      </c>
      <c r="AB165" s="5">
        <v>4</v>
      </c>
      <c r="AC165" s="5">
        <v>17</v>
      </c>
      <c r="AD165" s="5">
        <v>-33</v>
      </c>
      <c r="AE165" s="5">
        <v>27</v>
      </c>
      <c r="AF165" s="5">
        <v>38</v>
      </c>
      <c r="AG165" s="5">
        <v>-12</v>
      </c>
      <c r="AH165" s="5">
        <v>5</v>
      </c>
      <c r="AI165" s="5">
        <v>16</v>
      </c>
      <c r="AJ165" s="5">
        <v>1</v>
      </c>
      <c r="AK165" s="5">
        <v>-5</v>
      </c>
      <c r="AL165" s="6">
        <v>-46</v>
      </c>
    </row>
    <row r="166" spans="1:38">
      <c r="A166" s="4">
        <v>31</v>
      </c>
      <c r="B166" s="5">
        <v>-6</v>
      </c>
      <c r="C166" s="5">
        <v>2</v>
      </c>
      <c r="D166" s="5">
        <v>51</v>
      </c>
      <c r="E166" s="5">
        <v>-32</v>
      </c>
      <c r="F166" s="5">
        <v>-13</v>
      </c>
      <c r="G166" s="5">
        <v>8</v>
      </c>
      <c r="H166" s="5">
        <v>-5</v>
      </c>
      <c r="I166" s="5">
        <v>-19</v>
      </c>
      <c r="J166" s="5">
        <v>-36</v>
      </c>
      <c r="K166" s="5">
        <v>-36</v>
      </c>
      <c r="L166" s="5">
        <v>29</v>
      </c>
      <c r="M166" s="5">
        <v>2</v>
      </c>
      <c r="N166" s="5">
        <v>-42</v>
      </c>
      <c r="O166" s="5">
        <v>-14</v>
      </c>
      <c r="P166" s="5">
        <v>15</v>
      </c>
      <c r="Q166" s="5">
        <v>15</v>
      </c>
      <c r="R166" s="5">
        <v>-61</v>
      </c>
      <c r="S166" s="5">
        <v>-38</v>
      </c>
      <c r="T166" s="5">
        <v>7</v>
      </c>
      <c r="U166" s="5">
        <v>1</v>
      </c>
      <c r="V166" s="5">
        <v>3</v>
      </c>
      <c r="W166" s="5">
        <v>-36</v>
      </c>
      <c r="X166" s="5">
        <v>-14</v>
      </c>
      <c r="Y166" s="5">
        <v>0</v>
      </c>
      <c r="Z166" s="5">
        <v>53</v>
      </c>
      <c r="AA166" s="5">
        <v>-3</v>
      </c>
      <c r="AB166" s="5">
        <v>25</v>
      </c>
      <c r="AC166" s="5">
        <v>-26</v>
      </c>
      <c r="AD166" s="5">
        <v>-63</v>
      </c>
      <c r="AE166" s="5">
        <v>-2</v>
      </c>
      <c r="AF166" s="5">
        <v>56</v>
      </c>
      <c r="AG166" s="5">
        <v>7</v>
      </c>
      <c r="AH166" s="5">
        <v>-41</v>
      </c>
      <c r="AI166" s="5">
        <v>44</v>
      </c>
      <c r="AJ166" s="5">
        <v>-62</v>
      </c>
      <c r="AK166" s="5">
        <v>-20</v>
      </c>
      <c r="AL166" s="6">
        <v>-71</v>
      </c>
    </row>
    <row r="167" spans="1:38">
      <c r="A167" s="4">
        <v>14</v>
      </c>
      <c r="B167" s="5">
        <v>32</v>
      </c>
      <c r="C167" s="5">
        <v>49</v>
      </c>
      <c r="D167" s="5">
        <v>3</v>
      </c>
      <c r="E167" s="5">
        <v>-5</v>
      </c>
      <c r="F167" s="5">
        <v>-17</v>
      </c>
      <c r="G167" s="5">
        <v>3</v>
      </c>
      <c r="H167" s="5">
        <v>-3</v>
      </c>
      <c r="I167" s="5">
        <v>-25</v>
      </c>
      <c r="J167" s="5">
        <v>-16</v>
      </c>
      <c r="K167" s="5">
        <v>-20</v>
      </c>
      <c r="L167" s="5">
        <v>-2</v>
      </c>
      <c r="M167" s="5">
        <v>27</v>
      </c>
      <c r="N167" s="5">
        <v>-48</v>
      </c>
      <c r="O167" s="5">
        <v>-15</v>
      </c>
      <c r="P167" s="5">
        <v>32</v>
      </c>
      <c r="Q167" s="5">
        <v>66</v>
      </c>
      <c r="R167" s="5">
        <v>-6</v>
      </c>
      <c r="S167" s="5">
        <v>28</v>
      </c>
      <c r="T167" s="5">
        <v>5</v>
      </c>
      <c r="U167" s="5">
        <v>10</v>
      </c>
      <c r="V167" s="5">
        <v>40</v>
      </c>
      <c r="W167" s="5">
        <v>-17</v>
      </c>
      <c r="X167" s="5">
        <v>-13</v>
      </c>
      <c r="Y167" s="5">
        <v>-13</v>
      </c>
      <c r="Z167" s="5">
        <v>-17</v>
      </c>
      <c r="AA167" s="5">
        <v>-67</v>
      </c>
      <c r="AB167" s="5">
        <v>-37</v>
      </c>
      <c r="AC167" s="5">
        <v>-14</v>
      </c>
      <c r="AD167" s="5">
        <v>-52</v>
      </c>
      <c r="AE167" s="5">
        <v>41</v>
      </c>
      <c r="AF167" s="5">
        <v>-2</v>
      </c>
      <c r="AG167" s="5">
        <v>-30</v>
      </c>
      <c r="AH167" s="5">
        <v>41</v>
      </c>
      <c r="AI167" s="5">
        <v>20</v>
      </c>
      <c r="AJ167" s="5">
        <v>26</v>
      </c>
      <c r="AK167" s="5">
        <v>-3</v>
      </c>
      <c r="AL167" s="6">
        <v>-7</v>
      </c>
    </row>
    <row r="168" spans="1:38">
      <c r="A168" s="4">
        <v>9</v>
      </c>
      <c r="B168" s="5">
        <v>-12</v>
      </c>
      <c r="C168" s="5">
        <v>39</v>
      </c>
      <c r="D168" s="5">
        <v>33</v>
      </c>
      <c r="E168" s="5">
        <v>30</v>
      </c>
      <c r="F168" s="5">
        <v>-46</v>
      </c>
      <c r="G168" s="5">
        <v>41</v>
      </c>
      <c r="H168" s="5">
        <v>11</v>
      </c>
      <c r="I168" s="5">
        <v>-46</v>
      </c>
      <c r="J168" s="5">
        <v>-1</v>
      </c>
      <c r="K168" s="5">
        <v>-42</v>
      </c>
      <c r="L168" s="5">
        <v>-56</v>
      </c>
      <c r="M168" s="5">
        <v>-1</v>
      </c>
      <c r="N168" s="5">
        <v>-40</v>
      </c>
      <c r="O168" s="5">
        <v>12</v>
      </c>
      <c r="P168" s="5">
        <v>-9</v>
      </c>
      <c r="Q168" s="5">
        <v>127</v>
      </c>
      <c r="R168" s="5">
        <v>50</v>
      </c>
      <c r="S168" s="5">
        <v>-23</v>
      </c>
      <c r="T168" s="5">
        <v>0</v>
      </c>
      <c r="U168" s="5">
        <v>68</v>
      </c>
      <c r="V168" s="5">
        <v>-5</v>
      </c>
      <c r="W168" s="5">
        <v>-37</v>
      </c>
      <c r="X168" s="5">
        <v>-25</v>
      </c>
      <c r="Y168" s="5">
        <v>-30</v>
      </c>
      <c r="Z168" s="5">
        <v>-1</v>
      </c>
      <c r="AA168" s="5">
        <v>-19</v>
      </c>
      <c r="AB168" s="5">
        <v>-14</v>
      </c>
      <c r="AC168" s="5">
        <v>30</v>
      </c>
      <c r="AD168" s="5">
        <v>-15</v>
      </c>
      <c r="AE168" s="5">
        <v>58</v>
      </c>
      <c r="AF168" s="5">
        <v>-4</v>
      </c>
      <c r="AG168" s="5">
        <v>2</v>
      </c>
      <c r="AH168" s="5">
        <v>20</v>
      </c>
      <c r="AI168" s="5">
        <v>19</v>
      </c>
      <c r="AJ168" s="5">
        <v>24</v>
      </c>
      <c r="AK168" s="5">
        <v>-34</v>
      </c>
      <c r="AL168" s="6">
        <v>-82</v>
      </c>
    </row>
    <row r="169" spans="1:38">
      <c r="A169" s="4">
        <v>14</v>
      </c>
      <c r="B169" s="5">
        <v>49</v>
      </c>
      <c r="C169" s="5">
        <v>35</v>
      </c>
      <c r="D169" s="5">
        <v>22</v>
      </c>
      <c r="E169" s="5">
        <v>-13</v>
      </c>
      <c r="F169" s="5">
        <v>-23</v>
      </c>
      <c r="G169" s="5">
        <v>-9</v>
      </c>
      <c r="H169" s="5">
        <v>16</v>
      </c>
      <c r="I169" s="5">
        <v>-7</v>
      </c>
      <c r="J169" s="5">
        <v>-8</v>
      </c>
      <c r="K169" s="5">
        <v>-1</v>
      </c>
      <c r="L169" s="5">
        <v>45</v>
      </c>
      <c r="M169" s="5">
        <v>30</v>
      </c>
      <c r="N169" s="5">
        <v>-1</v>
      </c>
      <c r="O169" s="5">
        <v>7</v>
      </c>
      <c r="P169" s="5">
        <v>-29</v>
      </c>
      <c r="Q169" s="5">
        <v>-15</v>
      </c>
      <c r="R169" s="5">
        <v>-14</v>
      </c>
      <c r="S169" s="5">
        <v>35</v>
      </c>
      <c r="T169" s="5">
        <v>-4</v>
      </c>
      <c r="U169" s="5">
        <v>-39</v>
      </c>
      <c r="V169" s="5">
        <v>-6</v>
      </c>
      <c r="W169" s="5">
        <v>29</v>
      </c>
      <c r="X169" s="5">
        <v>-12</v>
      </c>
      <c r="Y169" s="5">
        <v>9</v>
      </c>
      <c r="Z169" s="5">
        <v>49</v>
      </c>
      <c r="AA169" s="5">
        <v>-33</v>
      </c>
      <c r="AB169" s="5">
        <v>-42</v>
      </c>
      <c r="AC169" s="5">
        <v>-24</v>
      </c>
      <c r="AD169" s="5">
        <v>-1</v>
      </c>
      <c r="AE169" s="5">
        <v>-17</v>
      </c>
      <c r="AF169" s="5">
        <v>6</v>
      </c>
      <c r="AG169" s="5">
        <v>35</v>
      </c>
      <c r="AH169" s="5">
        <v>-2</v>
      </c>
      <c r="AI169" s="5">
        <v>54</v>
      </c>
      <c r="AJ169" s="5">
        <v>-37</v>
      </c>
      <c r="AK169" s="5">
        <v>5</v>
      </c>
      <c r="AL169" s="6">
        <v>-4</v>
      </c>
    </row>
    <row r="170" spans="1:38">
      <c r="A170" s="4">
        <v>-1</v>
      </c>
      <c r="B170" s="5">
        <v>10</v>
      </c>
      <c r="C170" s="5">
        <v>-1</v>
      </c>
      <c r="D170" s="5">
        <v>-13</v>
      </c>
      <c r="E170" s="5">
        <v>9</v>
      </c>
      <c r="F170" s="5">
        <v>0</v>
      </c>
      <c r="G170" s="5">
        <v>11</v>
      </c>
      <c r="H170" s="5">
        <v>-1</v>
      </c>
      <c r="I170" s="5">
        <v>-8</v>
      </c>
      <c r="J170" s="5">
        <v>3</v>
      </c>
      <c r="K170" s="5">
        <v>-14</v>
      </c>
      <c r="L170" s="5">
        <v>9</v>
      </c>
      <c r="M170" s="5">
        <v>-3</v>
      </c>
      <c r="N170" s="5">
        <v>-11</v>
      </c>
      <c r="O170" s="5">
        <v>11</v>
      </c>
      <c r="P170" s="5">
        <v>-2</v>
      </c>
      <c r="Q170" s="5">
        <v>4</v>
      </c>
      <c r="R170" s="5">
        <v>28</v>
      </c>
      <c r="S170" s="5">
        <v>17</v>
      </c>
      <c r="T170" s="5">
        <v>-6</v>
      </c>
      <c r="U170" s="5">
        <v>4</v>
      </c>
      <c r="V170" s="5">
        <v>-2</v>
      </c>
      <c r="W170" s="5">
        <v>-9</v>
      </c>
      <c r="X170" s="5">
        <v>14</v>
      </c>
      <c r="Y170" s="5">
        <v>22</v>
      </c>
      <c r="Z170" s="5">
        <v>-9</v>
      </c>
      <c r="AA170" s="5">
        <v>38</v>
      </c>
      <c r="AB170" s="5">
        <v>18</v>
      </c>
      <c r="AC170" s="5">
        <v>-15</v>
      </c>
      <c r="AD170" s="5">
        <v>-19</v>
      </c>
      <c r="AE170" s="5">
        <v>-10</v>
      </c>
      <c r="AF170" s="5">
        <v>11</v>
      </c>
      <c r="AG170" s="5">
        <v>7</v>
      </c>
      <c r="AH170" s="5">
        <v>-20</v>
      </c>
      <c r="AI170" s="5">
        <v>16</v>
      </c>
      <c r="AJ170" s="5">
        <v>-8</v>
      </c>
      <c r="AK170" s="5">
        <v>18</v>
      </c>
      <c r="AL170" s="6">
        <v>-46</v>
      </c>
    </row>
    <row r="171" spans="1:38">
      <c r="A171" s="4">
        <v>-5</v>
      </c>
      <c r="B171" s="5">
        <v>11</v>
      </c>
      <c r="C171" s="5">
        <v>26</v>
      </c>
      <c r="D171" s="5">
        <v>-7</v>
      </c>
      <c r="E171" s="5">
        <v>-19</v>
      </c>
      <c r="F171" s="5">
        <v>-1</v>
      </c>
      <c r="G171" s="5">
        <v>28</v>
      </c>
      <c r="H171" s="5">
        <v>-33</v>
      </c>
      <c r="I171" s="5">
        <v>-2</v>
      </c>
      <c r="J171" s="5">
        <v>-12</v>
      </c>
      <c r="K171" s="5">
        <v>-29</v>
      </c>
      <c r="L171" s="5">
        <v>-23</v>
      </c>
      <c r="M171" s="5">
        <v>-16</v>
      </c>
      <c r="N171" s="5">
        <v>39</v>
      </c>
      <c r="O171" s="5">
        <v>2</v>
      </c>
      <c r="P171" s="5">
        <v>12</v>
      </c>
      <c r="Q171" s="5">
        <v>-21</v>
      </c>
      <c r="R171" s="5">
        <v>-23</v>
      </c>
      <c r="S171" s="5">
        <v>3</v>
      </c>
      <c r="T171" s="5">
        <v>10</v>
      </c>
      <c r="U171" s="5">
        <v>8</v>
      </c>
      <c r="V171" s="5">
        <v>4</v>
      </c>
      <c r="W171" s="5">
        <v>-11</v>
      </c>
      <c r="X171" s="5">
        <v>0</v>
      </c>
      <c r="Y171" s="5">
        <v>8</v>
      </c>
      <c r="Z171" s="5">
        <v>-3</v>
      </c>
      <c r="AA171" s="5">
        <v>13</v>
      </c>
      <c r="AB171" s="5">
        <v>-11</v>
      </c>
      <c r="AC171" s="5">
        <v>-27</v>
      </c>
      <c r="AD171" s="5">
        <v>29</v>
      </c>
      <c r="AE171" s="5">
        <v>10</v>
      </c>
      <c r="AF171" s="5">
        <v>-20</v>
      </c>
      <c r="AG171" s="5">
        <v>-39</v>
      </c>
      <c r="AH171" s="5">
        <v>-29</v>
      </c>
      <c r="AI171" s="5">
        <v>20</v>
      </c>
      <c r="AJ171" s="5">
        <v>-6</v>
      </c>
      <c r="AK171" s="5">
        <v>16</v>
      </c>
      <c r="AL171" s="6">
        <v>34</v>
      </c>
    </row>
    <row r="172" spans="1:38">
      <c r="A172" s="4">
        <v>7</v>
      </c>
      <c r="B172" s="5">
        <v>24</v>
      </c>
      <c r="C172" s="5">
        <v>16</v>
      </c>
      <c r="D172" s="5">
        <v>-11</v>
      </c>
      <c r="E172" s="5">
        <v>-5</v>
      </c>
      <c r="F172" s="5">
        <v>34</v>
      </c>
      <c r="G172" s="5">
        <v>-14</v>
      </c>
      <c r="H172" s="5">
        <v>-22</v>
      </c>
      <c r="I172" s="5">
        <v>-24</v>
      </c>
      <c r="J172" s="5">
        <v>22</v>
      </c>
      <c r="K172" s="5">
        <v>5</v>
      </c>
      <c r="L172" s="5">
        <v>11</v>
      </c>
      <c r="M172" s="5">
        <v>4</v>
      </c>
      <c r="N172" s="5">
        <v>0</v>
      </c>
      <c r="O172" s="5">
        <v>15</v>
      </c>
      <c r="P172" s="5">
        <v>-18</v>
      </c>
      <c r="Q172" s="5">
        <v>9</v>
      </c>
      <c r="R172" s="5">
        <v>0</v>
      </c>
      <c r="S172" s="5">
        <v>-18</v>
      </c>
      <c r="T172" s="5">
        <v>-2</v>
      </c>
      <c r="U172" s="5">
        <v>-1</v>
      </c>
      <c r="V172" s="5">
        <v>-4</v>
      </c>
      <c r="W172" s="5">
        <v>8</v>
      </c>
      <c r="X172" s="5">
        <v>4</v>
      </c>
      <c r="Y172" s="5">
        <v>-10</v>
      </c>
      <c r="Z172" s="5">
        <v>10</v>
      </c>
      <c r="AA172" s="5">
        <v>-20</v>
      </c>
      <c r="AB172" s="5">
        <v>18</v>
      </c>
      <c r="AC172" s="5">
        <v>37</v>
      </c>
      <c r="AD172" s="5">
        <v>14</v>
      </c>
      <c r="AE172" s="5">
        <v>-11</v>
      </c>
      <c r="AF172" s="5">
        <v>28</v>
      </c>
      <c r="AG172" s="5">
        <v>20</v>
      </c>
      <c r="AH172" s="5">
        <v>33</v>
      </c>
      <c r="AI172" s="5">
        <v>-5</v>
      </c>
      <c r="AJ172" s="5">
        <v>3</v>
      </c>
      <c r="AK172" s="5">
        <v>-18</v>
      </c>
      <c r="AL172" s="6">
        <v>4</v>
      </c>
    </row>
    <row r="173" spans="1:38">
      <c r="A173" s="4">
        <v>-3</v>
      </c>
      <c r="B173" s="5">
        <v>25</v>
      </c>
      <c r="C173" s="5">
        <v>27</v>
      </c>
      <c r="D173" s="5">
        <v>-1</v>
      </c>
      <c r="E173" s="5">
        <v>-10</v>
      </c>
      <c r="F173" s="5">
        <v>43</v>
      </c>
      <c r="G173" s="5">
        <v>-19</v>
      </c>
      <c r="H173" s="5">
        <v>-32</v>
      </c>
      <c r="I173" s="5">
        <v>-20</v>
      </c>
      <c r="J173" s="5">
        <v>24</v>
      </c>
      <c r="K173" s="5">
        <v>17</v>
      </c>
      <c r="L173" s="5">
        <v>3</v>
      </c>
      <c r="M173" s="5">
        <v>-8</v>
      </c>
      <c r="N173" s="5">
        <v>16</v>
      </c>
      <c r="O173" s="5">
        <v>33</v>
      </c>
      <c r="P173" s="5">
        <v>-26</v>
      </c>
      <c r="Q173" s="5">
        <v>2</v>
      </c>
      <c r="R173" s="5">
        <v>-12</v>
      </c>
      <c r="S173" s="5">
        <v>-13</v>
      </c>
      <c r="T173" s="5">
        <v>-14</v>
      </c>
      <c r="U173" s="5">
        <v>10</v>
      </c>
      <c r="V173" s="5">
        <v>-8</v>
      </c>
      <c r="W173" s="5">
        <v>4</v>
      </c>
      <c r="X173" s="5">
        <v>19</v>
      </c>
      <c r="Y173" s="5">
        <v>9</v>
      </c>
      <c r="Z173" s="5">
        <v>22</v>
      </c>
      <c r="AA173" s="5">
        <v>-28</v>
      </c>
      <c r="AB173" s="5">
        <v>27</v>
      </c>
      <c r="AC173" s="5">
        <v>59</v>
      </c>
      <c r="AD173" s="5">
        <v>21</v>
      </c>
      <c r="AE173" s="5">
        <v>-16</v>
      </c>
      <c r="AF173" s="5">
        <v>34</v>
      </c>
      <c r="AG173" s="5">
        <v>29</v>
      </c>
      <c r="AH173" s="5">
        <v>34</v>
      </c>
      <c r="AI173" s="5">
        <v>5</v>
      </c>
      <c r="AJ173" s="5">
        <v>14</v>
      </c>
      <c r="AK173" s="5">
        <v>-24</v>
      </c>
      <c r="AL173" s="6">
        <v>-11</v>
      </c>
    </row>
    <row r="174" spans="1:38">
      <c r="A174" s="4">
        <v>-5</v>
      </c>
      <c r="B174" s="5">
        <v>8</v>
      </c>
      <c r="C174" s="5">
        <v>24</v>
      </c>
      <c r="D174" s="5">
        <v>-2</v>
      </c>
      <c r="E174" s="5">
        <v>-24</v>
      </c>
      <c r="F174" s="5">
        <v>0</v>
      </c>
      <c r="G174" s="5">
        <v>25</v>
      </c>
      <c r="H174" s="5">
        <v>-28</v>
      </c>
      <c r="I174" s="5">
        <v>0</v>
      </c>
      <c r="J174" s="5">
        <v>-24</v>
      </c>
      <c r="K174" s="5">
        <v>-40</v>
      </c>
      <c r="L174" s="5">
        <v>-29</v>
      </c>
      <c r="M174" s="5">
        <v>-19</v>
      </c>
      <c r="N174" s="5">
        <v>46</v>
      </c>
      <c r="O174" s="5">
        <v>-5</v>
      </c>
      <c r="P174" s="5">
        <v>19</v>
      </c>
      <c r="Q174" s="5">
        <v>-30</v>
      </c>
      <c r="R174" s="5">
        <v>-18</v>
      </c>
      <c r="S174" s="5">
        <v>8</v>
      </c>
      <c r="T174" s="5">
        <v>6</v>
      </c>
      <c r="U174" s="5">
        <v>16</v>
      </c>
      <c r="V174" s="5">
        <v>2</v>
      </c>
      <c r="W174" s="5">
        <v>0</v>
      </c>
      <c r="X174" s="5">
        <v>-1</v>
      </c>
      <c r="Y174" s="5">
        <v>4</v>
      </c>
      <c r="Z174" s="5">
        <v>-5</v>
      </c>
      <c r="AA174" s="5">
        <v>11</v>
      </c>
      <c r="AB174" s="5">
        <v>-36</v>
      </c>
      <c r="AC174" s="5">
        <v>-26</v>
      </c>
      <c r="AD174" s="5">
        <v>19</v>
      </c>
      <c r="AE174" s="5">
        <v>11</v>
      </c>
      <c r="AF174" s="5">
        <v>-16</v>
      </c>
      <c r="AG174" s="5">
        <v>-36</v>
      </c>
      <c r="AH174" s="5">
        <v>-44</v>
      </c>
      <c r="AI174" s="5">
        <v>29</v>
      </c>
      <c r="AJ174" s="5">
        <v>-11</v>
      </c>
      <c r="AK174" s="5">
        <v>25</v>
      </c>
      <c r="AL174" s="6">
        <v>28</v>
      </c>
    </row>
    <row r="175" spans="1:38">
      <c r="A175" s="4">
        <v>-1</v>
      </c>
      <c r="B175" s="5">
        <v>12</v>
      </c>
      <c r="C175" s="5">
        <v>32</v>
      </c>
      <c r="D175" s="5">
        <v>0</v>
      </c>
      <c r="E175" s="5">
        <v>-38</v>
      </c>
      <c r="F175" s="5">
        <v>22</v>
      </c>
      <c r="G175" s="5">
        <v>11</v>
      </c>
      <c r="H175" s="5">
        <v>-33</v>
      </c>
      <c r="I175" s="5">
        <v>-15</v>
      </c>
      <c r="J175" s="5">
        <v>-10</v>
      </c>
      <c r="K175" s="5">
        <v>-29</v>
      </c>
      <c r="L175" s="5">
        <v>-1</v>
      </c>
      <c r="M175" s="5">
        <v>-10</v>
      </c>
      <c r="N175" s="5">
        <v>27</v>
      </c>
      <c r="O175" s="5">
        <v>5</v>
      </c>
      <c r="P175" s="5">
        <v>2</v>
      </c>
      <c r="Q175" s="5">
        <v>-16</v>
      </c>
      <c r="R175" s="5">
        <v>-31</v>
      </c>
      <c r="S175" s="5">
        <v>-6</v>
      </c>
      <c r="T175" s="5">
        <v>12</v>
      </c>
      <c r="U175" s="5">
        <v>15</v>
      </c>
      <c r="V175" s="5">
        <v>-19</v>
      </c>
      <c r="W175" s="5">
        <v>22</v>
      </c>
      <c r="X175" s="5">
        <v>-5</v>
      </c>
      <c r="Y175" s="5">
        <v>-11</v>
      </c>
      <c r="Z175" s="5">
        <v>-1</v>
      </c>
      <c r="AA175" s="5">
        <v>-20</v>
      </c>
      <c r="AB175" s="5">
        <v>-6</v>
      </c>
      <c r="AC175" s="5">
        <v>-12</v>
      </c>
      <c r="AD175" s="5">
        <v>12</v>
      </c>
      <c r="AE175" s="5">
        <v>-7</v>
      </c>
      <c r="AF175" s="5">
        <v>-3</v>
      </c>
      <c r="AG175" s="5">
        <v>-24</v>
      </c>
      <c r="AH175" s="5">
        <v>-7</v>
      </c>
      <c r="AI175" s="5">
        <v>1</v>
      </c>
      <c r="AJ175" s="5">
        <v>2</v>
      </c>
      <c r="AK175" s="5">
        <v>18</v>
      </c>
      <c r="AL175" s="6">
        <v>16</v>
      </c>
    </row>
    <row r="176" spans="1:38">
      <c r="A176" s="4">
        <v>34</v>
      </c>
      <c r="B176" s="5">
        <v>28</v>
      </c>
      <c r="C176" s="5">
        <v>11</v>
      </c>
      <c r="D176" s="5">
        <v>7</v>
      </c>
      <c r="E176" s="5">
        <v>-21</v>
      </c>
      <c r="F176" s="5">
        <v>22</v>
      </c>
      <c r="G176" s="5">
        <v>23</v>
      </c>
      <c r="H176" s="5">
        <v>-22</v>
      </c>
      <c r="I176" s="5">
        <v>9</v>
      </c>
      <c r="J176" s="5">
        <v>-23</v>
      </c>
      <c r="K176" s="5">
        <v>-9</v>
      </c>
      <c r="L176" s="5">
        <v>20</v>
      </c>
      <c r="M176" s="5">
        <v>-5</v>
      </c>
      <c r="N176" s="5">
        <v>48</v>
      </c>
      <c r="O176" s="5">
        <v>2</v>
      </c>
      <c r="P176" s="5">
        <v>-9</v>
      </c>
      <c r="Q176" s="5">
        <v>-15</v>
      </c>
      <c r="R176" s="5">
        <v>-3</v>
      </c>
      <c r="S176" s="5">
        <v>-28</v>
      </c>
      <c r="T176" s="5">
        <v>-12</v>
      </c>
      <c r="U176" s="5">
        <v>43</v>
      </c>
      <c r="V176" s="5">
        <v>-7</v>
      </c>
      <c r="W176" s="5">
        <v>25</v>
      </c>
      <c r="X176" s="5">
        <v>-17</v>
      </c>
      <c r="Y176" s="5">
        <v>2</v>
      </c>
      <c r="Z176" s="5">
        <v>-9</v>
      </c>
      <c r="AA176" s="5">
        <v>-11</v>
      </c>
      <c r="AB176" s="5">
        <v>8</v>
      </c>
      <c r="AC176" s="5">
        <v>-3</v>
      </c>
      <c r="AD176" s="5">
        <v>2</v>
      </c>
      <c r="AE176" s="5">
        <v>-7</v>
      </c>
      <c r="AF176" s="5">
        <v>-27</v>
      </c>
      <c r="AG176" s="5">
        <v>8</v>
      </c>
      <c r="AH176" s="5">
        <v>13</v>
      </c>
      <c r="AI176" s="5">
        <v>-5</v>
      </c>
      <c r="AJ176" s="5">
        <v>23</v>
      </c>
      <c r="AK176" s="5">
        <v>-16</v>
      </c>
      <c r="AL176" s="6">
        <v>-7</v>
      </c>
    </row>
    <row r="177" spans="1:38">
      <c r="A177" s="4">
        <v>16</v>
      </c>
      <c r="B177" s="5">
        <v>-5</v>
      </c>
      <c r="C177" s="5">
        <v>-5</v>
      </c>
      <c r="D177" s="5">
        <v>-10</v>
      </c>
      <c r="E177" s="5">
        <v>-17</v>
      </c>
      <c r="F177" s="5">
        <v>9</v>
      </c>
      <c r="G177" s="5">
        <v>-16</v>
      </c>
      <c r="H177" s="5">
        <v>-23</v>
      </c>
      <c r="I177" s="5">
        <v>-9</v>
      </c>
      <c r="J177" s="5">
        <v>-1</v>
      </c>
      <c r="K177" s="5">
        <v>-26</v>
      </c>
      <c r="L177" s="5">
        <v>10</v>
      </c>
      <c r="M177" s="5">
        <v>-27</v>
      </c>
      <c r="N177" s="5">
        <v>34</v>
      </c>
      <c r="O177" s="5">
        <v>-11</v>
      </c>
      <c r="P177" s="5">
        <v>-4</v>
      </c>
      <c r="Q177" s="5">
        <v>-20</v>
      </c>
      <c r="R177" s="5">
        <v>-22</v>
      </c>
      <c r="S177" s="5">
        <v>15</v>
      </c>
      <c r="T177" s="5">
        <v>27</v>
      </c>
      <c r="U177" s="5">
        <v>-27</v>
      </c>
      <c r="V177" s="5">
        <v>31</v>
      </c>
      <c r="W177" s="5">
        <v>16</v>
      </c>
      <c r="X177" s="5">
        <v>-18</v>
      </c>
      <c r="Y177" s="5">
        <v>-3</v>
      </c>
      <c r="Z177" s="5">
        <v>10</v>
      </c>
      <c r="AA177" s="5">
        <v>-6</v>
      </c>
      <c r="AB177" s="5">
        <v>-5</v>
      </c>
      <c r="AC177" s="5">
        <v>9</v>
      </c>
      <c r="AD177" s="5">
        <v>7</v>
      </c>
      <c r="AE177" s="5">
        <v>9</v>
      </c>
      <c r="AF177" s="5">
        <v>-68</v>
      </c>
      <c r="AG177" s="5">
        <v>-4</v>
      </c>
      <c r="AH177" s="5">
        <v>18</v>
      </c>
      <c r="AI177" s="5">
        <v>-32</v>
      </c>
      <c r="AJ177" s="5">
        <v>-6</v>
      </c>
      <c r="AK177" s="5">
        <v>-27</v>
      </c>
      <c r="AL177" s="6">
        <v>-22</v>
      </c>
    </row>
    <row r="178" spans="1:38">
      <c r="A178" s="4">
        <v>-11</v>
      </c>
      <c r="B178" s="5">
        <v>2</v>
      </c>
      <c r="C178" s="5">
        <v>5</v>
      </c>
      <c r="D178" s="5">
        <v>0</v>
      </c>
      <c r="E178" s="5">
        <v>-51</v>
      </c>
      <c r="F178" s="5">
        <v>38</v>
      </c>
      <c r="G178" s="5">
        <v>0</v>
      </c>
      <c r="H178" s="5">
        <v>-27</v>
      </c>
      <c r="I178" s="5">
        <v>12</v>
      </c>
      <c r="J178" s="5">
        <v>10</v>
      </c>
      <c r="K178" s="5">
        <v>3</v>
      </c>
      <c r="L178" s="5">
        <v>23</v>
      </c>
      <c r="M178" s="5">
        <v>-32</v>
      </c>
      <c r="N178" s="5">
        <v>46</v>
      </c>
      <c r="O178" s="5">
        <v>-24</v>
      </c>
      <c r="P178" s="5">
        <v>-8</v>
      </c>
      <c r="Q178" s="5">
        <v>15</v>
      </c>
      <c r="R178" s="5">
        <v>-26</v>
      </c>
      <c r="S178" s="5">
        <v>8</v>
      </c>
      <c r="T178" s="5">
        <v>29</v>
      </c>
      <c r="U178" s="5">
        <v>-31</v>
      </c>
      <c r="V178" s="5">
        <v>1</v>
      </c>
      <c r="W178" s="5">
        <v>-18</v>
      </c>
      <c r="X178" s="5">
        <v>-16</v>
      </c>
      <c r="Y178" s="5">
        <v>-12</v>
      </c>
      <c r="Z178" s="5">
        <v>8</v>
      </c>
      <c r="AA178" s="5">
        <v>-8</v>
      </c>
      <c r="AB178" s="5">
        <v>-25</v>
      </c>
      <c r="AC178" s="5">
        <v>20</v>
      </c>
      <c r="AD178" s="5">
        <v>31</v>
      </c>
      <c r="AE178" s="5">
        <v>-26</v>
      </c>
      <c r="AF178" s="5">
        <v>4</v>
      </c>
      <c r="AG178" s="5">
        <v>6</v>
      </c>
      <c r="AH178" s="5">
        <v>-8</v>
      </c>
      <c r="AI178" s="5">
        <v>-11</v>
      </c>
      <c r="AJ178" s="5">
        <v>53</v>
      </c>
      <c r="AK178" s="5">
        <v>-17</v>
      </c>
      <c r="AL178" s="6">
        <v>-59</v>
      </c>
    </row>
    <row r="179" spans="1:38">
      <c r="A179" s="4">
        <v>-11</v>
      </c>
      <c r="B179" s="5">
        <v>16</v>
      </c>
      <c r="C179" s="5">
        <v>21</v>
      </c>
      <c r="D179" s="5">
        <v>19</v>
      </c>
      <c r="E179" s="5">
        <v>-56</v>
      </c>
      <c r="F179" s="5">
        <v>17</v>
      </c>
      <c r="G179" s="5">
        <v>8</v>
      </c>
      <c r="H179" s="5">
        <v>-54</v>
      </c>
      <c r="I179" s="5">
        <v>9</v>
      </c>
      <c r="J179" s="5">
        <v>-15</v>
      </c>
      <c r="K179" s="5">
        <v>-21</v>
      </c>
      <c r="L179" s="5">
        <v>26</v>
      </c>
      <c r="M179" s="5">
        <v>-40</v>
      </c>
      <c r="N179" s="5">
        <v>61</v>
      </c>
      <c r="O179" s="5">
        <v>-8</v>
      </c>
      <c r="P179" s="5">
        <v>-19</v>
      </c>
      <c r="Q179" s="5">
        <v>-13</v>
      </c>
      <c r="R179" s="5">
        <v>-38</v>
      </c>
      <c r="S179" s="5">
        <v>-5</v>
      </c>
      <c r="T179" s="5">
        <v>-29</v>
      </c>
      <c r="U179" s="5">
        <v>6</v>
      </c>
      <c r="V179" s="5">
        <v>-19</v>
      </c>
      <c r="W179" s="5">
        <v>-16</v>
      </c>
      <c r="X179" s="5">
        <v>-33</v>
      </c>
      <c r="Y179" s="5">
        <v>0</v>
      </c>
      <c r="Z179" s="5">
        <v>25</v>
      </c>
      <c r="AA179" s="5">
        <v>5</v>
      </c>
      <c r="AB179" s="5">
        <v>1</v>
      </c>
      <c r="AC179" s="5">
        <v>10</v>
      </c>
      <c r="AD179" s="5">
        <v>17</v>
      </c>
      <c r="AE179" s="5">
        <v>-42</v>
      </c>
      <c r="AF179" s="5">
        <v>-22</v>
      </c>
      <c r="AG179" s="5">
        <v>-12</v>
      </c>
      <c r="AH179" s="5">
        <v>32</v>
      </c>
      <c r="AI179" s="5">
        <v>9</v>
      </c>
      <c r="AJ179" s="5">
        <v>9</v>
      </c>
      <c r="AK179" s="5">
        <v>-8</v>
      </c>
      <c r="AL179" s="6">
        <v>2</v>
      </c>
    </row>
    <row r="180" spans="1:38">
      <c r="A180" s="4">
        <v>16</v>
      </c>
      <c r="B180" s="5">
        <v>4</v>
      </c>
      <c r="C180" s="5">
        <v>-8</v>
      </c>
      <c r="D180" s="5">
        <v>25</v>
      </c>
      <c r="E180" s="5">
        <v>-29</v>
      </c>
      <c r="F180" s="5">
        <v>26</v>
      </c>
      <c r="G180" s="5">
        <v>23</v>
      </c>
      <c r="H180" s="5">
        <v>-27</v>
      </c>
      <c r="I180" s="5">
        <v>24</v>
      </c>
      <c r="J180" s="5">
        <v>-16</v>
      </c>
      <c r="K180" s="5">
        <v>-17</v>
      </c>
      <c r="L180" s="5">
        <v>16</v>
      </c>
      <c r="M180" s="5">
        <v>-8</v>
      </c>
      <c r="N180" s="5">
        <v>26</v>
      </c>
      <c r="O180" s="5">
        <v>-2</v>
      </c>
      <c r="P180" s="5">
        <v>0</v>
      </c>
      <c r="Q180" s="5">
        <v>-15</v>
      </c>
      <c r="R180" s="5">
        <v>-26</v>
      </c>
      <c r="S180" s="5">
        <v>2</v>
      </c>
      <c r="T180" s="5">
        <v>-17</v>
      </c>
      <c r="U180" s="5">
        <v>19</v>
      </c>
      <c r="V180" s="5">
        <v>-21</v>
      </c>
      <c r="W180" s="5">
        <v>4</v>
      </c>
      <c r="X180" s="5">
        <v>-24</v>
      </c>
      <c r="Y180" s="5">
        <v>9</v>
      </c>
      <c r="Z180" s="5">
        <v>1</v>
      </c>
      <c r="AA180" s="5">
        <v>7</v>
      </c>
      <c r="AB180" s="5">
        <v>21</v>
      </c>
      <c r="AC180" s="5">
        <v>-32</v>
      </c>
      <c r="AD180" s="5">
        <v>2</v>
      </c>
      <c r="AE180" s="5">
        <v>-4</v>
      </c>
      <c r="AF180" s="5">
        <v>1</v>
      </c>
      <c r="AG180" s="5">
        <v>-18</v>
      </c>
      <c r="AH180" s="5">
        <v>-5</v>
      </c>
      <c r="AI180" s="5">
        <v>29</v>
      </c>
      <c r="AJ180" s="5">
        <v>14</v>
      </c>
      <c r="AK180" s="5">
        <v>-34</v>
      </c>
      <c r="AL180" s="6">
        <v>-10</v>
      </c>
    </row>
    <row r="181" spans="1:38">
      <c r="A181" s="4">
        <v>-23</v>
      </c>
      <c r="B181" s="5">
        <v>21</v>
      </c>
      <c r="C181" s="5">
        <v>29</v>
      </c>
      <c r="D181" s="5">
        <v>-12</v>
      </c>
      <c r="E181" s="5">
        <v>-48</v>
      </c>
      <c r="F181" s="5">
        <v>-14</v>
      </c>
      <c r="G181" s="5">
        <v>24</v>
      </c>
      <c r="H181" s="5">
        <v>-65</v>
      </c>
      <c r="I181" s="5">
        <v>-28</v>
      </c>
      <c r="J181" s="5">
        <v>0</v>
      </c>
      <c r="K181" s="5">
        <v>-24</v>
      </c>
      <c r="L181" s="5">
        <v>12</v>
      </c>
      <c r="M181" s="5">
        <v>-8</v>
      </c>
      <c r="N181" s="5">
        <v>37</v>
      </c>
      <c r="O181" s="5">
        <v>-2</v>
      </c>
      <c r="P181" s="5">
        <v>-23</v>
      </c>
      <c r="Q181" s="5">
        <v>12</v>
      </c>
      <c r="R181" s="5">
        <v>-8</v>
      </c>
      <c r="S181" s="5">
        <v>-20</v>
      </c>
      <c r="T181" s="5">
        <v>0</v>
      </c>
      <c r="U181" s="5">
        <v>-1</v>
      </c>
      <c r="V181" s="5">
        <v>-29</v>
      </c>
      <c r="W181" s="5">
        <v>15</v>
      </c>
      <c r="X181" s="5">
        <v>8</v>
      </c>
      <c r="Y181" s="5">
        <v>-11</v>
      </c>
      <c r="Z181" s="5">
        <v>-2</v>
      </c>
      <c r="AA181" s="5">
        <v>3</v>
      </c>
      <c r="AB181" s="5">
        <v>7</v>
      </c>
      <c r="AC181" s="5">
        <v>8</v>
      </c>
      <c r="AD181" s="5">
        <v>46</v>
      </c>
      <c r="AE181" s="5">
        <v>-11</v>
      </c>
      <c r="AF181" s="5">
        <v>8</v>
      </c>
      <c r="AG181" s="5">
        <v>10</v>
      </c>
      <c r="AH181" s="5">
        <v>6</v>
      </c>
      <c r="AI181" s="5">
        <v>-9</v>
      </c>
      <c r="AJ181" s="5">
        <v>2</v>
      </c>
      <c r="AK181" s="5">
        <v>-1</v>
      </c>
      <c r="AL181" s="6">
        <v>32</v>
      </c>
    </row>
    <row r="182" spans="1:38">
      <c r="A182" s="4">
        <v>6</v>
      </c>
      <c r="B182" s="5">
        <v>-4</v>
      </c>
      <c r="C182" s="5">
        <v>-5</v>
      </c>
      <c r="D182" s="5">
        <v>-1</v>
      </c>
      <c r="E182" s="5">
        <v>-12</v>
      </c>
      <c r="F182" s="5">
        <v>20</v>
      </c>
      <c r="G182" s="5">
        <v>-23</v>
      </c>
      <c r="H182" s="5">
        <v>-24</v>
      </c>
      <c r="I182" s="5">
        <v>10</v>
      </c>
      <c r="J182" s="5">
        <v>-3</v>
      </c>
      <c r="K182" s="5">
        <v>12</v>
      </c>
      <c r="L182" s="5">
        <v>3</v>
      </c>
      <c r="M182" s="5">
        <v>-21</v>
      </c>
      <c r="N182" s="5">
        <v>2</v>
      </c>
      <c r="O182" s="5">
        <v>-29</v>
      </c>
      <c r="P182" s="5">
        <v>1</v>
      </c>
      <c r="Q182" s="5">
        <v>0</v>
      </c>
      <c r="R182" s="5">
        <v>-5</v>
      </c>
      <c r="S182" s="5">
        <v>-7</v>
      </c>
      <c r="T182" s="5">
        <v>-14</v>
      </c>
      <c r="U182" s="5">
        <v>-27</v>
      </c>
      <c r="V182" s="5">
        <v>35</v>
      </c>
      <c r="W182" s="5">
        <v>9</v>
      </c>
      <c r="X182" s="5">
        <v>-2</v>
      </c>
      <c r="Y182" s="5">
        <v>-8</v>
      </c>
      <c r="Z182" s="5">
        <v>-25</v>
      </c>
      <c r="AA182" s="5">
        <v>-11</v>
      </c>
      <c r="AB182" s="5">
        <v>4</v>
      </c>
      <c r="AC182" s="5">
        <v>33</v>
      </c>
      <c r="AD182" s="5">
        <v>-1</v>
      </c>
      <c r="AE182" s="5">
        <v>33</v>
      </c>
      <c r="AF182" s="5">
        <v>-7</v>
      </c>
      <c r="AG182" s="5">
        <v>3</v>
      </c>
      <c r="AH182" s="5">
        <v>-15</v>
      </c>
      <c r="AI182" s="5">
        <v>-2</v>
      </c>
      <c r="AJ182" s="5">
        <v>-12</v>
      </c>
      <c r="AK182" s="5">
        <v>40</v>
      </c>
      <c r="AL182" s="6">
        <v>-7</v>
      </c>
    </row>
    <row r="183" spans="1:38">
      <c r="A183" s="4">
        <v>-10</v>
      </c>
      <c r="B183" s="5">
        <v>37</v>
      </c>
      <c r="C183" s="5">
        <v>-18</v>
      </c>
      <c r="D183" s="5">
        <v>22</v>
      </c>
      <c r="E183" s="5">
        <v>26</v>
      </c>
      <c r="F183" s="5">
        <v>5</v>
      </c>
      <c r="G183" s="5">
        <v>-20</v>
      </c>
      <c r="H183" s="5">
        <v>4</v>
      </c>
      <c r="I183" s="5">
        <v>23</v>
      </c>
      <c r="J183" s="5">
        <v>-5</v>
      </c>
      <c r="K183" s="5">
        <v>16</v>
      </c>
      <c r="L183" s="5">
        <v>19</v>
      </c>
      <c r="M183" s="5">
        <v>17</v>
      </c>
      <c r="N183" s="5">
        <v>33</v>
      </c>
      <c r="O183" s="5">
        <v>3</v>
      </c>
      <c r="P183" s="5">
        <v>21</v>
      </c>
      <c r="Q183" s="5">
        <v>23</v>
      </c>
      <c r="R183" s="5">
        <v>-17</v>
      </c>
      <c r="S183" s="5">
        <v>23</v>
      </c>
      <c r="T183" s="5">
        <v>16</v>
      </c>
      <c r="U183" s="5">
        <v>-31</v>
      </c>
      <c r="V183" s="5">
        <v>29</v>
      </c>
      <c r="W183" s="5">
        <v>41</v>
      </c>
      <c r="X183" s="5">
        <v>-19</v>
      </c>
      <c r="Y183" s="5">
        <v>7</v>
      </c>
      <c r="Z183" s="5">
        <v>-31</v>
      </c>
      <c r="AA183" s="5">
        <v>10</v>
      </c>
      <c r="AB183" s="5">
        <v>25</v>
      </c>
      <c r="AC183" s="5">
        <v>30</v>
      </c>
      <c r="AD183" s="5">
        <v>1</v>
      </c>
      <c r="AE183" s="5">
        <v>8</v>
      </c>
      <c r="AF183" s="5">
        <v>30</v>
      </c>
      <c r="AG183" s="5">
        <v>-43</v>
      </c>
      <c r="AH183" s="5">
        <v>-15</v>
      </c>
      <c r="AI183" s="5">
        <v>12</v>
      </c>
      <c r="AJ183" s="5">
        <v>3</v>
      </c>
      <c r="AK183" s="5">
        <v>-40</v>
      </c>
      <c r="AL183" s="6">
        <v>-2</v>
      </c>
    </row>
    <row r="184" spans="1:38">
      <c r="A184" s="4">
        <v>-31</v>
      </c>
      <c r="B184" s="5">
        <v>38</v>
      </c>
      <c r="C184" s="5">
        <v>-41</v>
      </c>
      <c r="D184" s="5">
        <v>17</v>
      </c>
      <c r="E184" s="5">
        <v>-23</v>
      </c>
      <c r="F184" s="5">
        <v>17</v>
      </c>
      <c r="G184" s="5">
        <v>12</v>
      </c>
      <c r="H184" s="5">
        <v>-9</v>
      </c>
      <c r="I184" s="5">
        <v>7</v>
      </c>
      <c r="J184" s="5">
        <v>-32</v>
      </c>
      <c r="K184" s="5">
        <v>-5</v>
      </c>
      <c r="L184" s="5">
        <v>-19</v>
      </c>
      <c r="M184" s="5">
        <v>-24</v>
      </c>
      <c r="N184" s="5">
        <v>11</v>
      </c>
      <c r="O184" s="5">
        <v>-3</v>
      </c>
      <c r="P184" s="5">
        <v>20</v>
      </c>
      <c r="Q184" s="5">
        <v>-3</v>
      </c>
      <c r="R184" s="5">
        <v>0</v>
      </c>
      <c r="S184" s="5">
        <v>27</v>
      </c>
      <c r="T184" s="5">
        <v>41</v>
      </c>
      <c r="U184" s="5">
        <v>-30</v>
      </c>
      <c r="V184" s="5">
        <v>6</v>
      </c>
      <c r="W184" s="5">
        <v>11</v>
      </c>
      <c r="X184" s="5">
        <v>-16</v>
      </c>
      <c r="Y184" s="5">
        <v>-9</v>
      </c>
      <c r="Z184" s="5">
        <v>-43</v>
      </c>
      <c r="AA184" s="5">
        <v>-11</v>
      </c>
      <c r="AB184" s="5">
        <v>-1</v>
      </c>
      <c r="AC184" s="5">
        <v>5</v>
      </c>
      <c r="AD184" s="5">
        <v>31</v>
      </c>
      <c r="AE184" s="5">
        <v>14</v>
      </c>
      <c r="AF184" s="5">
        <v>15</v>
      </c>
      <c r="AG184" s="5">
        <v>-78</v>
      </c>
      <c r="AH184" s="5">
        <v>24</v>
      </c>
      <c r="AI184" s="5">
        <v>9</v>
      </c>
      <c r="AJ184" s="5">
        <v>-40</v>
      </c>
      <c r="AK184" s="5">
        <v>-61</v>
      </c>
      <c r="AL184" s="6">
        <v>28</v>
      </c>
    </row>
    <row r="185" spans="1:38">
      <c r="A185" s="4">
        <v>3</v>
      </c>
      <c r="B185" s="5">
        <v>22</v>
      </c>
      <c r="C185" s="5">
        <v>2</v>
      </c>
      <c r="D185" s="5">
        <v>12</v>
      </c>
      <c r="E185" s="5">
        <v>15</v>
      </c>
      <c r="F185" s="5">
        <v>12</v>
      </c>
      <c r="G185" s="5">
        <v>-17</v>
      </c>
      <c r="H185" s="5">
        <v>-8</v>
      </c>
      <c r="I185" s="5">
        <v>5</v>
      </c>
      <c r="J185" s="5">
        <v>7</v>
      </c>
      <c r="K185" s="5">
        <v>2</v>
      </c>
      <c r="L185" s="5">
        <v>21</v>
      </c>
      <c r="M185" s="5">
        <v>16</v>
      </c>
      <c r="N185" s="5">
        <v>27</v>
      </c>
      <c r="O185" s="5">
        <v>9</v>
      </c>
      <c r="P185" s="5">
        <v>1</v>
      </c>
      <c r="Q185" s="5">
        <v>5</v>
      </c>
      <c r="R185" s="5">
        <v>-29</v>
      </c>
      <c r="S185" s="5">
        <v>19</v>
      </c>
      <c r="T185" s="5">
        <v>0</v>
      </c>
      <c r="U185" s="5">
        <v>-3</v>
      </c>
      <c r="V185" s="5">
        <v>-2</v>
      </c>
      <c r="W185" s="5">
        <v>23</v>
      </c>
      <c r="X185" s="5">
        <v>-12</v>
      </c>
      <c r="Y185" s="5">
        <v>7</v>
      </c>
      <c r="Z185" s="5">
        <v>7</v>
      </c>
      <c r="AA185" s="5">
        <v>-2</v>
      </c>
      <c r="AB185" s="5">
        <v>41</v>
      </c>
      <c r="AC185" s="5">
        <v>12</v>
      </c>
      <c r="AD185" s="5">
        <v>-22</v>
      </c>
      <c r="AE185" s="5">
        <v>12</v>
      </c>
      <c r="AF185" s="5">
        <v>25</v>
      </c>
      <c r="AG185" s="5">
        <v>-7</v>
      </c>
      <c r="AH185" s="5">
        <v>12</v>
      </c>
      <c r="AI185" s="5">
        <v>8</v>
      </c>
      <c r="AJ185" s="5">
        <v>7</v>
      </c>
      <c r="AK185" s="5">
        <v>-14</v>
      </c>
      <c r="AL185" s="6">
        <v>-19</v>
      </c>
    </row>
    <row r="186" spans="1:38">
      <c r="A186" s="4">
        <v>2</v>
      </c>
      <c r="B186" s="5">
        <v>-21</v>
      </c>
      <c r="C186" s="5">
        <v>-7</v>
      </c>
      <c r="D186" s="5">
        <v>50</v>
      </c>
      <c r="E186" s="5">
        <v>-13</v>
      </c>
      <c r="F186" s="5">
        <v>-6</v>
      </c>
      <c r="G186" s="5">
        <v>-14</v>
      </c>
      <c r="H186" s="5">
        <v>-35</v>
      </c>
      <c r="I186" s="5">
        <v>5</v>
      </c>
      <c r="J186" s="5">
        <v>-24</v>
      </c>
      <c r="K186" s="5">
        <v>21</v>
      </c>
      <c r="L186" s="5">
        <v>-3</v>
      </c>
      <c r="M186" s="5">
        <v>12</v>
      </c>
      <c r="N186" s="5">
        <v>5</v>
      </c>
      <c r="O186" s="5">
        <v>6</v>
      </c>
      <c r="P186" s="5">
        <v>-7</v>
      </c>
      <c r="Q186" s="5">
        <v>1</v>
      </c>
      <c r="R186" s="5">
        <v>19</v>
      </c>
      <c r="S186" s="5">
        <v>-4</v>
      </c>
      <c r="T186" s="5">
        <v>1</v>
      </c>
      <c r="U186" s="5">
        <v>-13</v>
      </c>
      <c r="V186" s="5">
        <v>1</v>
      </c>
      <c r="W186" s="5">
        <v>-21</v>
      </c>
      <c r="X186" s="5">
        <v>27</v>
      </c>
      <c r="Y186" s="5">
        <v>10</v>
      </c>
      <c r="Z186" s="5">
        <v>13</v>
      </c>
      <c r="AA186" s="5">
        <v>17</v>
      </c>
      <c r="AB186" s="5">
        <v>-2</v>
      </c>
      <c r="AC186" s="5">
        <v>15</v>
      </c>
      <c r="AD186" s="5">
        <v>28</v>
      </c>
      <c r="AE186" s="5">
        <v>36</v>
      </c>
      <c r="AF186" s="5">
        <v>-5</v>
      </c>
      <c r="AG186" s="5">
        <v>-5</v>
      </c>
      <c r="AH186" s="5">
        <v>6</v>
      </c>
      <c r="AI186" s="5">
        <v>24</v>
      </c>
      <c r="AJ186" s="5">
        <v>13</v>
      </c>
      <c r="AK186" s="5">
        <v>7</v>
      </c>
      <c r="AL186" s="6">
        <v>5</v>
      </c>
    </row>
    <row r="187" spans="1:38">
      <c r="A187" s="4">
        <v>7</v>
      </c>
      <c r="B187" s="5">
        <v>-17</v>
      </c>
      <c r="C187" s="5">
        <v>-35</v>
      </c>
      <c r="D187" s="5">
        <v>64</v>
      </c>
      <c r="E187" s="5">
        <v>-32</v>
      </c>
      <c r="F187" s="5">
        <v>11</v>
      </c>
      <c r="G187" s="5">
        <v>-16</v>
      </c>
      <c r="H187" s="5">
        <v>-55</v>
      </c>
      <c r="I187" s="5">
        <v>2</v>
      </c>
      <c r="J187" s="5">
        <v>-64</v>
      </c>
      <c r="K187" s="5">
        <v>36</v>
      </c>
      <c r="L187" s="5">
        <v>-13</v>
      </c>
      <c r="M187" s="5">
        <v>21</v>
      </c>
      <c r="N187" s="5">
        <v>-8</v>
      </c>
      <c r="O187" s="5">
        <v>42</v>
      </c>
      <c r="P187" s="5">
        <v>-8</v>
      </c>
      <c r="Q187" s="5">
        <v>1</v>
      </c>
      <c r="R187" s="5">
        <v>35</v>
      </c>
      <c r="S187" s="5">
        <v>-22</v>
      </c>
      <c r="T187" s="5">
        <v>-23</v>
      </c>
      <c r="U187" s="5">
        <v>-28</v>
      </c>
      <c r="V187" s="5">
        <v>-14</v>
      </c>
      <c r="W187" s="5">
        <v>-12</v>
      </c>
      <c r="X187" s="5">
        <v>-16</v>
      </c>
      <c r="Y187" s="5">
        <v>10</v>
      </c>
      <c r="Z187" s="5">
        <v>-12</v>
      </c>
      <c r="AA187" s="5">
        <v>15</v>
      </c>
      <c r="AB187" s="5">
        <v>15</v>
      </c>
      <c r="AC187" s="5">
        <v>10</v>
      </c>
      <c r="AD187" s="5">
        <v>5</v>
      </c>
      <c r="AE187" s="5">
        <v>7</v>
      </c>
      <c r="AF187" s="5">
        <v>36</v>
      </c>
      <c r="AG187" s="5">
        <v>-14</v>
      </c>
      <c r="AH187" s="5">
        <v>-8</v>
      </c>
      <c r="AI187" s="5">
        <v>-12</v>
      </c>
      <c r="AJ187" s="5">
        <v>-16</v>
      </c>
      <c r="AK187" s="5">
        <v>22</v>
      </c>
      <c r="AL187" s="6">
        <v>-18</v>
      </c>
    </row>
    <row r="188" spans="1:38">
      <c r="A188" s="4">
        <v>15</v>
      </c>
      <c r="B188" s="5">
        <v>-16</v>
      </c>
      <c r="C188" s="5">
        <v>-41</v>
      </c>
      <c r="D188" s="5">
        <v>51</v>
      </c>
      <c r="E188" s="5">
        <v>-27</v>
      </c>
      <c r="F188" s="5">
        <v>20</v>
      </c>
      <c r="G188" s="5">
        <v>-13</v>
      </c>
      <c r="H188" s="5">
        <v>-45</v>
      </c>
      <c r="I188" s="5">
        <v>1</v>
      </c>
      <c r="J188" s="5">
        <v>-58</v>
      </c>
      <c r="K188" s="5">
        <v>25</v>
      </c>
      <c r="L188" s="5">
        <v>-12</v>
      </c>
      <c r="M188" s="5">
        <v>26</v>
      </c>
      <c r="N188" s="5">
        <v>-14</v>
      </c>
      <c r="O188" s="5">
        <v>27</v>
      </c>
      <c r="P188" s="5">
        <v>-1</v>
      </c>
      <c r="Q188" s="5">
        <v>5</v>
      </c>
      <c r="R188" s="5">
        <v>39</v>
      </c>
      <c r="S188" s="5">
        <v>-15</v>
      </c>
      <c r="T188" s="5">
        <v>5</v>
      </c>
      <c r="U188" s="5">
        <v>-2</v>
      </c>
      <c r="V188" s="5">
        <v>2</v>
      </c>
      <c r="W188" s="5">
        <v>-7</v>
      </c>
      <c r="X188" s="5">
        <v>-28</v>
      </c>
      <c r="Y188" s="5">
        <v>10</v>
      </c>
      <c r="Z188" s="5">
        <v>-12</v>
      </c>
      <c r="AA188" s="5">
        <v>-2</v>
      </c>
      <c r="AB188" s="5">
        <v>-7</v>
      </c>
      <c r="AC188" s="5">
        <v>-8</v>
      </c>
      <c r="AD188" s="5">
        <v>-7</v>
      </c>
      <c r="AE188" s="5">
        <v>22</v>
      </c>
      <c r="AF188" s="5">
        <v>5</v>
      </c>
      <c r="AG188" s="5">
        <v>9</v>
      </c>
      <c r="AH188" s="5">
        <v>-21</v>
      </c>
      <c r="AI188" s="5">
        <v>-13</v>
      </c>
      <c r="AJ188" s="5">
        <v>-8</v>
      </c>
      <c r="AK188" s="5">
        <v>16</v>
      </c>
      <c r="AL188" s="6">
        <v>0</v>
      </c>
    </row>
    <row r="189" spans="1:38">
      <c r="A189" s="4">
        <v>8</v>
      </c>
      <c r="B189" s="5">
        <v>0</v>
      </c>
      <c r="C189" s="5">
        <v>-25</v>
      </c>
      <c r="D189" s="5">
        <v>28</v>
      </c>
      <c r="E189" s="5">
        <v>-17</v>
      </c>
      <c r="F189" s="5">
        <v>11</v>
      </c>
      <c r="G189" s="5">
        <v>-10</v>
      </c>
      <c r="H189" s="5">
        <v>-24</v>
      </c>
      <c r="I189" s="5">
        <v>2</v>
      </c>
      <c r="J189" s="5">
        <v>-35</v>
      </c>
      <c r="K189" s="5">
        <v>13</v>
      </c>
      <c r="L189" s="5">
        <v>-10</v>
      </c>
      <c r="M189" s="5">
        <v>23</v>
      </c>
      <c r="N189" s="5">
        <v>-16</v>
      </c>
      <c r="O189" s="5">
        <v>14</v>
      </c>
      <c r="P189" s="5">
        <v>5</v>
      </c>
      <c r="Q189" s="5">
        <v>-2</v>
      </c>
      <c r="R189" s="5">
        <v>18</v>
      </c>
      <c r="S189" s="5">
        <v>-1</v>
      </c>
      <c r="T189" s="5">
        <v>17</v>
      </c>
      <c r="U189" s="5">
        <v>-11</v>
      </c>
      <c r="V189" s="5">
        <v>-5</v>
      </c>
      <c r="W189" s="5">
        <v>-2</v>
      </c>
      <c r="X189" s="5">
        <v>-12</v>
      </c>
      <c r="Y189" s="5">
        <v>-1</v>
      </c>
      <c r="Z189" s="5">
        <v>-14</v>
      </c>
      <c r="AA189" s="5">
        <v>-9</v>
      </c>
      <c r="AB189" s="5">
        <v>-6</v>
      </c>
      <c r="AC189" s="5">
        <v>-4</v>
      </c>
      <c r="AD189" s="5">
        <v>3</v>
      </c>
      <c r="AE189" s="5">
        <v>14</v>
      </c>
      <c r="AF189" s="5">
        <v>-4</v>
      </c>
      <c r="AG189" s="5">
        <v>9</v>
      </c>
      <c r="AH189" s="5">
        <v>-6</v>
      </c>
      <c r="AI189" s="5">
        <v>-19</v>
      </c>
      <c r="AJ189" s="5">
        <v>-10</v>
      </c>
      <c r="AK189" s="5">
        <v>18</v>
      </c>
      <c r="AL189" s="6">
        <v>1</v>
      </c>
    </row>
    <row r="190" spans="1:38">
      <c r="A190" s="4">
        <v>0</v>
      </c>
      <c r="B190" s="5">
        <v>-1</v>
      </c>
      <c r="C190" s="5">
        <v>-16</v>
      </c>
      <c r="D190" s="5">
        <v>39</v>
      </c>
      <c r="E190" s="5">
        <v>-18</v>
      </c>
      <c r="F190" s="5">
        <v>7</v>
      </c>
      <c r="G190" s="5">
        <v>-16</v>
      </c>
      <c r="H190" s="5">
        <v>-46</v>
      </c>
      <c r="I190" s="5">
        <v>7</v>
      </c>
      <c r="J190" s="5">
        <v>-31</v>
      </c>
      <c r="K190" s="5">
        <v>27</v>
      </c>
      <c r="L190" s="5">
        <v>-6</v>
      </c>
      <c r="M190" s="5">
        <v>5</v>
      </c>
      <c r="N190" s="5">
        <v>-9</v>
      </c>
      <c r="O190" s="5">
        <v>14</v>
      </c>
      <c r="P190" s="5">
        <v>-11</v>
      </c>
      <c r="Q190" s="5">
        <v>15</v>
      </c>
      <c r="R190" s="5">
        <v>1</v>
      </c>
      <c r="S190" s="5">
        <v>1</v>
      </c>
      <c r="T190" s="5">
        <v>-5</v>
      </c>
      <c r="U190" s="5">
        <v>-10</v>
      </c>
      <c r="V190" s="5">
        <v>-12</v>
      </c>
      <c r="W190" s="5">
        <v>0</v>
      </c>
      <c r="X190" s="5">
        <v>-6</v>
      </c>
      <c r="Y190" s="5">
        <v>17</v>
      </c>
      <c r="Z190" s="5">
        <v>-19</v>
      </c>
      <c r="AA190" s="5">
        <v>12</v>
      </c>
      <c r="AB190" s="5">
        <v>15</v>
      </c>
      <c r="AC190" s="5">
        <v>19</v>
      </c>
      <c r="AD190" s="5">
        <v>-6</v>
      </c>
      <c r="AE190" s="5">
        <v>-4</v>
      </c>
      <c r="AF190" s="5">
        <v>11</v>
      </c>
      <c r="AG190" s="5">
        <v>-1</v>
      </c>
      <c r="AH190" s="5">
        <v>9</v>
      </c>
      <c r="AI190" s="5">
        <v>-3</v>
      </c>
      <c r="AJ190" s="5">
        <v>-7</v>
      </c>
      <c r="AK190" s="5">
        <v>16</v>
      </c>
      <c r="AL190" s="6">
        <v>3</v>
      </c>
    </row>
    <row r="191" spans="1:38">
      <c r="A191" s="4">
        <v>-11</v>
      </c>
      <c r="B191" s="5">
        <v>3</v>
      </c>
      <c r="C191" s="5">
        <v>-29</v>
      </c>
      <c r="D191" s="5">
        <v>27</v>
      </c>
      <c r="E191" s="5">
        <v>-11</v>
      </c>
      <c r="F191" s="5">
        <v>0</v>
      </c>
      <c r="G191" s="5">
        <v>-17</v>
      </c>
      <c r="H191" s="5">
        <v>-25</v>
      </c>
      <c r="I191" s="5">
        <v>-3</v>
      </c>
      <c r="J191" s="5">
        <v>-33</v>
      </c>
      <c r="K191" s="5">
        <v>28</v>
      </c>
      <c r="L191" s="5">
        <v>1</v>
      </c>
      <c r="M191" s="5">
        <v>33</v>
      </c>
      <c r="N191" s="5">
        <v>-9</v>
      </c>
      <c r="O191" s="5">
        <v>7</v>
      </c>
      <c r="P191" s="5">
        <v>-10</v>
      </c>
      <c r="Q191" s="5">
        <v>-8</v>
      </c>
      <c r="R191" s="5">
        <v>0</v>
      </c>
      <c r="S191" s="5">
        <v>-7</v>
      </c>
      <c r="T191" s="5">
        <v>-26</v>
      </c>
      <c r="U191" s="5">
        <v>-25</v>
      </c>
      <c r="V191" s="5">
        <v>6</v>
      </c>
      <c r="W191" s="5">
        <v>20</v>
      </c>
      <c r="X191" s="5">
        <v>-5</v>
      </c>
      <c r="Y191" s="5">
        <v>18</v>
      </c>
      <c r="Z191" s="5">
        <v>4</v>
      </c>
      <c r="AA191" s="5">
        <v>-14</v>
      </c>
      <c r="AB191" s="5">
        <v>-14</v>
      </c>
      <c r="AC191" s="5">
        <v>-2</v>
      </c>
      <c r="AD191" s="5">
        <v>5</v>
      </c>
      <c r="AE191" s="5">
        <v>-4</v>
      </c>
      <c r="AF191" s="5">
        <v>6</v>
      </c>
      <c r="AG191" s="5">
        <v>2</v>
      </c>
      <c r="AH191" s="5">
        <v>-4</v>
      </c>
      <c r="AI191" s="5">
        <v>-16</v>
      </c>
      <c r="AJ191" s="5">
        <v>2</v>
      </c>
      <c r="AK191" s="5">
        <v>42</v>
      </c>
      <c r="AL191" s="6">
        <v>9</v>
      </c>
    </row>
    <row r="192" spans="1:38">
      <c r="A192" s="4">
        <v>-3</v>
      </c>
      <c r="B192" s="5">
        <v>14</v>
      </c>
      <c r="C192" s="5">
        <v>-17</v>
      </c>
      <c r="D192" s="5">
        <v>7</v>
      </c>
      <c r="E192" s="5">
        <v>1</v>
      </c>
      <c r="F192" s="5">
        <v>1</v>
      </c>
      <c r="G192" s="5">
        <v>-6</v>
      </c>
      <c r="H192" s="5">
        <v>-9</v>
      </c>
      <c r="I192" s="5">
        <v>-8</v>
      </c>
      <c r="J192" s="5">
        <v>-26</v>
      </c>
      <c r="K192" s="5">
        <v>20</v>
      </c>
      <c r="L192" s="5">
        <v>-23</v>
      </c>
      <c r="M192" s="5">
        <v>34</v>
      </c>
      <c r="N192" s="5">
        <v>5</v>
      </c>
      <c r="O192" s="5">
        <v>0</v>
      </c>
      <c r="P192" s="5">
        <v>-26</v>
      </c>
      <c r="Q192" s="5">
        <v>-19</v>
      </c>
      <c r="R192" s="5">
        <v>8</v>
      </c>
      <c r="S192" s="5">
        <v>0</v>
      </c>
      <c r="T192" s="5">
        <v>-29</v>
      </c>
      <c r="U192" s="5">
        <v>11</v>
      </c>
      <c r="V192" s="5">
        <v>-13</v>
      </c>
      <c r="W192" s="5">
        <v>22</v>
      </c>
      <c r="X192" s="5">
        <v>19</v>
      </c>
      <c r="Y192" s="5">
        <v>29</v>
      </c>
      <c r="Z192" s="5">
        <v>-26</v>
      </c>
      <c r="AA192" s="5">
        <v>9</v>
      </c>
      <c r="AB192" s="5">
        <v>35</v>
      </c>
      <c r="AC192" s="5">
        <v>15</v>
      </c>
      <c r="AD192" s="5">
        <v>-17</v>
      </c>
      <c r="AE192" s="5">
        <v>-6</v>
      </c>
      <c r="AF192" s="5">
        <v>-1</v>
      </c>
      <c r="AG192" s="5">
        <v>16</v>
      </c>
      <c r="AH192" s="5">
        <v>-3</v>
      </c>
      <c r="AI192" s="5">
        <v>-16</v>
      </c>
      <c r="AJ192" s="5">
        <v>22</v>
      </c>
      <c r="AK192" s="5">
        <v>-3</v>
      </c>
      <c r="AL192" s="6">
        <v>-21</v>
      </c>
    </row>
    <row r="193" spans="1:38">
      <c r="A193" s="4">
        <v>-2</v>
      </c>
      <c r="B193" s="5">
        <v>-35</v>
      </c>
      <c r="C193" s="5">
        <v>-18</v>
      </c>
      <c r="D193" s="5">
        <v>57</v>
      </c>
      <c r="E193" s="5">
        <v>13</v>
      </c>
      <c r="F193" s="5">
        <v>0</v>
      </c>
      <c r="G193" s="5">
        <v>-15</v>
      </c>
      <c r="H193" s="5">
        <v>-10</v>
      </c>
      <c r="I193" s="5">
        <v>0</v>
      </c>
      <c r="J193" s="5">
        <v>-22</v>
      </c>
      <c r="K193" s="5">
        <v>31</v>
      </c>
      <c r="L193" s="5">
        <v>3</v>
      </c>
      <c r="M193" s="5">
        <v>-11</v>
      </c>
      <c r="N193" s="5">
        <v>-3</v>
      </c>
      <c r="O193" s="5">
        <v>2</v>
      </c>
      <c r="P193" s="5">
        <v>-17</v>
      </c>
      <c r="Q193" s="5">
        <v>1</v>
      </c>
      <c r="R193" s="5">
        <v>11</v>
      </c>
      <c r="S193" s="5">
        <v>-1</v>
      </c>
      <c r="T193" s="5">
        <v>-3</v>
      </c>
      <c r="U193" s="5">
        <v>9</v>
      </c>
      <c r="V193" s="5">
        <v>-4</v>
      </c>
      <c r="W193" s="5">
        <v>-1</v>
      </c>
      <c r="X193" s="5">
        <v>30</v>
      </c>
      <c r="Y193" s="5">
        <v>18</v>
      </c>
      <c r="Z193" s="5">
        <v>28</v>
      </c>
      <c r="AA193" s="5">
        <v>0</v>
      </c>
      <c r="AB193" s="5">
        <v>14</v>
      </c>
      <c r="AC193" s="5">
        <v>-15</v>
      </c>
      <c r="AD193" s="5">
        <v>20</v>
      </c>
      <c r="AE193" s="5">
        <v>9</v>
      </c>
      <c r="AF193" s="5">
        <v>15</v>
      </c>
      <c r="AG193" s="5">
        <v>17</v>
      </c>
      <c r="AH193" s="5">
        <v>-6</v>
      </c>
      <c r="AI193" s="5">
        <v>13</v>
      </c>
      <c r="AJ193" s="5">
        <v>-4</v>
      </c>
      <c r="AK193" s="5">
        <v>-26</v>
      </c>
      <c r="AL193" s="6">
        <v>6</v>
      </c>
    </row>
    <row r="194" spans="1:38">
      <c r="A194" s="4">
        <v>-9</v>
      </c>
      <c r="B194" s="5">
        <v>6</v>
      </c>
      <c r="C194" s="5">
        <v>0</v>
      </c>
      <c r="D194" s="5">
        <v>11</v>
      </c>
      <c r="E194" s="5">
        <v>-2</v>
      </c>
      <c r="F194" s="5">
        <v>-6</v>
      </c>
      <c r="G194" s="5">
        <v>-14</v>
      </c>
      <c r="H194" s="5">
        <v>-9</v>
      </c>
      <c r="I194" s="5">
        <v>13</v>
      </c>
      <c r="J194" s="5">
        <v>-1</v>
      </c>
      <c r="K194" s="5">
        <v>15</v>
      </c>
      <c r="L194" s="5">
        <v>-14</v>
      </c>
      <c r="M194" s="5">
        <v>-12</v>
      </c>
      <c r="N194" s="5">
        <v>-2</v>
      </c>
      <c r="O194" s="5">
        <v>10</v>
      </c>
      <c r="P194" s="5">
        <v>-6</v>
      </c>
      <c r="Q194" s="5">
        <v>11</v>
      </c>
      <c r="R194" s="5">
        <v>-2</v>
      </c>
      <c r="S194" s="5">
        <v>1</v>
      </c>
      <c r="T194" s="5">
        <v>12</v>
      </c>
      <c r="U194" s="5">
        <v>5</v>
      </c>
      <c r="V194" s="5">
        <v>-7</v>
      </c>
      <c r="W194" s="5">
        <v>16</v>
      </c>
      <c r="X194" s="5">
        <v>21</v>
      </c>
      <c r="Y194" s="5">
        <v>21</v>
      </c>
      <c r="Z194" s="5">
        <v>-9</v>
      </c>
      <c r="AA194" s="5">
        <v>15</v>
      </c>
      <c r="AB194" s="5">
        <v>-16</v>
      </c>
      <c r="AC194" s="5">
        <v>-2</v>
      </c>
      <c r="AD194" s="5">
        <v>-14</v>
      </c>
      <c r="AE194" s="5">
        <v>8</v>
      </c>
      <c r="AF194" s="5">
        <v>-18</v>
      </c>
      <c r="AG194" s="5">
        <v>33</v>
      </c>
      <c r="AH194" s="5">
        <v>14</v>
      </c>
      <c r="AI194" s="5">
        <v>37</v>
      </c>
      <c r="AJ194" s="5">
        <v>14</v>
      </c>
      <c r="AK194" s="5">
        <v>3</v>
      </c>
      <c r="AL194" s="6">
        <v>16</v>
      </c>
    </row>
    <row r="195" spans="1:38">
      <c r="A195" s="4">
        <v>3</v>
      </c>
      <c r="B195" s="5">
        <v>-16</v>
      </c>
      <c r="C195" s="5">
        <v>0</v>
      </c>
      <c r="D195" s="5">
        <v>46</v>
      </c>
      <c r="E195" s="5">
        <v>2</v>
      </c>
      <c r="F195" s="5">
        <v>6</v>
      </c>
      <c r="G195" s="5">
        <v>-9</v>
      </c>
      <c r="H195" s="5">
        <v>-31</v>
      </c>
      <c r="I195" s="5">
        <v>10</v>
      </c>
      <c r="J195" s="5">
        <v>-26</v>
      </c>
      <c r="K195" s="5">
        <v>6</v>
      </c>
      <c r="L195" s="5">
        <v>-10</v>
      </c>
      <c r="M195" s="5">
        <v>-4</v>
      </c>
      <c r="N195" s="5">
        <v>1</v>
      </c>
      <c r="O195" s="5">
        <v>8</v>
      </c>
      <c r="P195" s="5">
        <v>4</v>
      </c>
      <c r="Q195" s="5">
        <v>-23</v>
      </c>
      <c r="R195" s="5">
        <v>3</v>
      </c>
      <c r="S195" s="5">
        <v>-10</v>
      </c>
      <c r="T195" s="5">
        <v>-20</v>
      </c>
      <c r="U195" s="5">
        <v>3</v>
      </c>
      <c r="V195" s="5">
        <v>-18</v>
      </c>
      <c r="W195" s="5">
        <v>-17</v>
      </c>
      <c r="X195" s="5">
        <v>5</v>
      </c>
      <c r="Y195" s="5">
        <v>-2</v>
      </c>
      <c r="Z195" s="5">
        <v>16</v>
      </c>
      <c r="AA195" s="5">
        <v>20</v>
      </c>
      <c r="AB195" s="5">
        <v>-1</v>
      </c>
      <c r="AC195" s="5">
        <v>1</v>
      </c>
      <c r="AD195" s="5">
        <v>14</v>
      </c>
      <c r="AE195" s="5">
        <v>22</v>
      </c>
      <c r="AF195" s="5">
        <v>22</v>
      </c>
      <c r="AG195" s="5">
        <v>-13</v>
      </c>
      <c r="AH195" s="5">
        <v>3</v>
      </c>
      <c r="AI195" s="5">
        <v>4</v>
      </c>
      <c r="AJ195" s="5">
        <v>16</v>
      </c>
      <c r="AK195" s="5">
        <v>7</v>
      </c>
      <c r="AL195" s="6">
        <v>-11</v>
      </c>
    </row>
    <row r="196" spans="1:38">
      <c r="A196" s="4">
        <v>0</v>
      </c>
      <c r="B196" s="5">
        <v>-20</v>
      </c>
      <c r="C196" s="5">
        <v>-13</v>
      </c>
      <c r="D196" s="5">
        <v>29</v>
      </c>
      <c r="E196" s="5">
        <v>2</v>
      </c>
      <c r="F196" s="5">
        <v>-2</v>
      </c>
      <c r="G196" s="5">
        <v>-1</v>
      </c>
      <c r="H196" s="5">
        <v>-10</v>
      </c>
      <c r="I196" s="5">
        <v>14</v>
      </c>
      <c r="J196" s="5">
        <v>1</v>
      </c>
      <c r="K196" s="5">
        <v>18</v>
      </c>
      <c r="L196" s="5">
        <v>-13</v>
      </c>
      <c r="M196" s="5">
        <v>-13</v>
      </c>
      <c r="N196" s="5">
        <v>9</v>
      </c>
      <c r="O196" s="5">
        <v>0</v>
      </c>
      <c r="P196" s="5">
        <v>-19</v>
      </c>
      <c r="Q196" s="5">
        <v>9</v>
      </c>
      <c r="R196" s="5">
        <v>12</v>
      </c>
      <c r="S196" s="5">
        <v>-26</v>
      </c>
      <c r="T196" s="5">
        <v>-2</v>
      </c>
      <c r="U196" s="5">
        <v>19</v>
      </c>
      <c r="V196" s="5">
        <v>11</v>
      </c>
      <c r="W196" s="5">
        <v>-14</v>
      </c>
      <c r="X196" s="5">
        <v>30</v>
      </c>
      <c r="Y196" s="5">
        <v>23</v>
      </c>
      <c r="Z196" s="5">
        <v>16</v>
      </c>
      <c r="AA196" s="5">
        <v>21</v>
      </c>
      <c r="AB196" s="5">
        <v>-6</v>
      </c>
      <c r="AC196" s="5">
        <v>14</v>
      </c>
      <c r="AD196" s="5">
        <v>8</v>
      </c>
      <c r="AE196" s="5">
        <v>7</v>
      </c>
      <c r="AF196" s="5">
        <v>-7</v>
      </c>
      <c r="AG196" s="5">
        <v>-1</v>
      </c>
      <c r="AH196" s="5">
        <v>23</v>
      </c>
      <c r="AI196" s="5">
        <v>26</v>
      </c>
      <c r="AJ196" s="5">
        <v>25</v>
      </c>
      <c r="AK196" s="5">
        <v>-8</v>
      </c>
      <c r="AL196" s="6">
        <v>12</v>
      </c>
    </row>
    <row r="197" spans="1:38">
      <c r="A197" s="4">
        <v>4</v>
      </c>
      <c r="B197" s="5">
        <v>10</v>
      </c>
      <c r="C197" s="5">
        <v>8</v>
      </c>
      <c r="D197" s="5">
        <v>36</v>
      </c>
      <c r="E197" s="5">
        <v>9</v>
      </c>
      <c r="F197" s="5">
        <v>-5</v>
      </c>
      <c r="G197" s="5">
        <v>-15</v>
      </c>
      <c r="H197" s="5">
        <v>-20</v>
      </c>
      <c r="I197" s="5">
        <v>10</v>
      </c>
      <c r="J197" s="5">
        <v>-8</v>
      </c>
      <c r="K197" s="5">
        <v>19</v>
      </c>
      <c r="L197" s="5">
        <v>-16</v>
      </c>
      <c r="M197" s="5">
        <v>10</v>
      </c>
      <c r="N197" s="5">
        <v>-5</v>
      </c>
      <c r="O197" s="5">
        <v>7</v>
      </c>
      <c r="P197" s="5">
        <v>-15</v>
      </c>
      <c r="Q197" s="5">
        <v>-3</v>
      </c>
      <c r="R197" s="5">
        <v>-2</v>
      </c>
      <c r="S197" s="5">
        <v>31</v>
      </c>
      <c r="T197" s="5">
        <v>-17</v>
      </c>
      <c r="U197" s="5">
        <v>-26</v>
      </c>
      <c r="V197" s="5">
        <v>-7</v>
      </c>
      <c r="W197" s="5">
        <v>-18</v>
      </c>
      <c r="X197" s="5">
        <v>35</v>
      </c>
      <c r="Y197" s="5">
        <v>4</v>
      </c>
      <c r="Z197" s="5">
        <v>9</v>
      </c>
      <c r="AA197" s="5">
        <v>24</v>
      </c>
      <c r="AB197" s="5">
        <v>5</v>
      </c>
      <c r="AC197" s="5">
        <v>16</v>
      </c>
      <c r="AD197" s="5">
        <v>-13</v>
      </c>
      <c r="AE197" s="5">
        <v>14</v>
      </c>
      <c r="AF197" s="5">
        <v>1</v>
      </c>
      <c r="AG197" s="5">
        <v>5</v>
      </c>
      <c r="AH197" s="5">
        <v>-12</v>
      </c>
      <c r="AI197" s="5">
        <v>-3</v>
      </c>
      <c r="AJ197" s="5">
        <v>35</v>
      </c>
      <c r="AK197" s="5">
        <v>-20</v>
      </c>
      <c r="AL197" s="6">
        <v>2</v>
      </c>
    </row>
    <row r="198" spans="1:38">
      <c r="A198" s="4">
        <v>-14</v>
      </c>
      <c r="B198" s="5">
        <v>-4</v>
      </c>
      <c r="C198" s="5">
        <v>-9</v>
      </c>
      <c r="D198" s="5">
        <v>-10</v>
      </c>
      <c r="E198" s="5">
        <v>9</v>
      </c>
      <c r="F198" s="5">
        <v>-12</v>
      </c>
      <c r="G198" s="5">
        <v>-15</v>
      </c>
      <c r="H198" s="5">
        <v>-9</v>
      </c>
      <c r="I198" s="5">
        <v>-14</v>
      </c>
      <c r="J198" s="5">
        <v>7</v>
      </c>
      <c r="K198" s="5">
        <v>-11</v>
      </c>
      <c r="L198" s="5">
        <v>14</v>
      </c>
      <c r="M198" s="5">
        <v>8</v>
      </c>
      <c r="N198" s="5">
        <v>-7</v>
      </c>
      <c r="O198" s="5">
        <v>-10</v>
      </c>
      <c r="P198" s="5">
        <v>-10</v>
      </c>
      <c r="Q198" s="5">
        <v>-11</v>
      </c>
      <c r="R198" s="5">
        <v>7</v>
      </c>
      <c r="S198" s="5">
        <v>-5</v>
      </c>
      <c r="T198" s="5">
        <v>10</v>
      </c>
      <c r="U198" s="5">
        <v>-7</v>
      </c>
      <c r="V198" s="5">
        <v>-10</v>
      </c>
      <c r="W198" s="5">
        <v>-6</v>
      </c>
      <c r="X198" s="5">
        <v>7</v>
      </c>
      <c r="Y198" s="5">
        <v>20</v>
      </c>
      <c r="Z198" s="5">
        <v>-15</v>
      </c>
      <c r="AA198" s="5">
        <v>-2</v>
      </c>
      <c r="AB198" s="5">
        <v>7</v>
      </c>
      <c r="AC198" s="5">
        <v>-1</v>
      </c>
      <c r="AD198" s="5">
        <v>-8</v>
      </c>
      <c r="AE198" s="5">
        <v>-17</v>
      </c>
      <c r="AF198" s="5">
        <v>-6</v>
      </c>
      <c r="AG198" s="5">
        <v>-3</v>
      </c>
      <c r="AH198" s="5">
        <v>3</v>
      </c>
      <c r="AI198" s="5">
        <v>-12</v>
      </c>
      <c r="AJ198" s="5">
        <v>0</v>
      </c>
      <c r="AK198" s="5">
        <v>-20</v>
      </c>
      <c r="AL198" s="6">
        <v>7</v>
      </c>
    </row>
    <row r="199" spans="1:38">
      <c r="A199" s="4">
        <v>1</v>
      </c>
      <c r="B199" s="5">
        <v>-5</v>
      </c>
      <c r="C199" s="5">
        <v>4</v>
      </c>
      <c r="D199" s="5">
        <v>6</v>
      </c>
      <c r="E199" s="5">
        <v>0</v>
      </c>
      <c r="F199" s="5">
        <v>-8</v>
      </c>
      <c r="G199" s="5">
        <v>-6</v>
      </c>
      <c r="H199" s="5">
        <v>-6</v>
      </c>
      <c r="I199" s="5">
        <v>-5</v>
      </c>
      <c r="J199" s="5">
        <v>9</v>
      </c>
      <c r="K199" s="5">
        <v>6</v>
      </c>
      <c r="L199" s="5">
        <v>-5</v>
      </c>
      <c r="M199" s="5">
        <v>6</v>
      </c>
      <c r="N199" s="5">
        <v>6</v>
      </c>
      <c r="O199" s="5">
        <v>5</v>
      </c>
      <c r="P199" s="5">
        <v>9</v>
      </c>
      <c r="Q199" s="5">
        <v>8</v>
      </c>
      <c r="R199" s="5">
        <v>8</v>
      </c>
      <c r="S199" s="5">
        <v>-4</v>
      </c>
      <c r="T199" s="5">
        <v>4</v>
      </c>
      <c r="U199" s="5">
        <v>-14</v>
      </c>
      <c r="V199" s="5">
        <v>-22</v>
      </c>
      <c r="W199" s="5">
        <v>-1</v>
      </c>
      <c r="X199" s="5">
        <v>3</v>
      </c>
      <c r="Y199" s="5">
        <v>1</v>
      </c>
      <c r="Z199" s="5">
        <v>9</v>
      </c>
      <c r="AA199" s="5">
        <v>13</v>
      </c>
      <c r="AB199" s="5">
        <v>-9</v>
      </c>
      <c r="AC199" s="5">
        <v>-11</v>
      </c>
      <c r="AD199" s="5">
        <v>6</v>
      </c>
      <c r="AE199" s="5">
        <v>-4</v>
      </c>
      <c r="AF199" s="5">
        <v>16</v>
      </c>
      <c r="AG199" s="5">
        <v>5</v>
      </c>
      <c r="AH199" s="5">
        <v>15</v>
      </c>
      <c r="AI199" s="5">
        <v>16</v>
      </c>
      <c r="AJ199" s="5">
        <v>-16</v>
      </c>
      <c r="AK199" s="5">
        <v>13</v>
      </c>
      <c r="AL199" s="6">
        <v>1</v>
      </c>
    </row>
    <row r="200" spans="1:38">
      <c r="A200" s="4">
        <v>-6</v>
      </c>
      <c r="B200" s="5">
        <v>1</v>
      </c>
      <c r="C200" s="5">
        <v>1</v>
      </c>
      <c r="D200" s="5">
        <v>-6</v>
      </c>
      <c r="E200" s="5">
        <v>4</v>
      </c>
      <c r="F200" s="5">
        <v>-22</v>
      </c>
      <c r="G200" s="5">
        <v>-30</v>
      </c>
      <c r="H200" s="5">
        <v>-8</v>
      </c>
      <c r="I200" s="5">
        <v>2</v>
      </c>
      <c r="J200" s="5">
        <v>29</v>
      </c>
      <c r="K200" s="5">
        <v>1</v>
      </c>
      <c r="L200" s="5">
        <v>4</v>
      </c>
      <c r="M200" s="5">
        <v>12</v>
      </c>
      <c r="N200" s="5">
        <v>9</v>
      </c>
      <c r="O200" s="5">
        <v>-9</v>
      </c>
      <c r="P200" s="5">
        <v>3</v>
      </c>
      <c r="Q200" s="5">
        <v>0</v>
      </c>
      <c r="R200" s="5">
        <v>1</v>
      </c>
      <c r="S200" s="5">
        <v>-20</v>
      </c>
      <c r="T200" s="5">
        <v>17</v>
      </c>
      <c r="U200" s="5">
        <v>-15</v>
      </c>
      <c r="V200" s="5">
        <v>-23</v>
      </c>
      <c r="W200" s="5">
        <v>-11</v>
      </c>
      <c r="X200" s="5">
        <v>6</v>
      </c>
      <c r="Y200" s="5">
        <v>1</v>
      </c>
      <c r="Z200" s="5">
        <v>-22</v>
      </c>
      <c r="AA200" s="5">
        <v>2</v>
      </c>
      <c r="AB200" s="5">
        <v>-7</v>
      </c>
      <c r="AC200" s="5">
        <v>-14</v>
      </c>
      <c r="AD200" s="5">
        <v>-9</v>
      </c>
      <c r="AE200" s="5">
        <v>-7</v>
      </c>
      <c r="AF200" s="5">
        <v>5</v>
      </c>
      <c r="AG200" s="5">
        <v>7</v>
      </c>
      <c r="AH200" s="5">
        <v>8</v>
      </c>
      <c r="AI200" s="5">
        <v>-13</v>
      </c>
      <c r="AJ200" s="5">
        <v>4</v>
      </c>
      <c r="AK200" s="5">
        <v>-16</v>
      </c>
      <c r="AL200" s="6">
        <v>8</v>
      </c>
    </row>
    <row r="201" spans="1:38">
      <c r="A201" s="4">
        <v>-10</v>
      </c>
      <c r="B201" s="5">
        <v>5</v>
      </c>
      <c r="C201" s="5">
        <v>23</v>
      </c>
      <c r="D201" s="5">
        <v>19</v>
      </c>
      <c r="E201" s="5">
        <v>-2</v>
      </c>
      <c r="F201" s="5">
        <v>-42</v>
      </c>
      <c r="G201" s="5">
        <v>-29</v>
      </c>
      <c r="H201" s="5">
        <v>1</v>
      </c>
      <c r="I201" s="5">
        <v>3</v>
      </c>
      <c r="J201" s="5">
        <v>22</v>
      </c>
      <c r="K201" s="5">
        <v>19</v>
      </c>
      <c r="L201" s="5">
        <v>13</v>
      </c>
      <c r="M201" s="5">
        <v>17</v>
      </c>
      <c r="N201" s="5">
        <v>5</v>
      </c>
      <c r="O201" s="5">
        <v>-19</v>
      </c>
      <c r="P201" s="5">
        <v>-6</v>
      </c>
      <c r="Q201" s="5">
        <v>-12</v>
      </c>
      <c r="R201" s="5">
        <v>15</v>
      </c>
      <c r="S201" s="5">
        <v>-2</v>
      </c>
      <c r="T201" s="5">
        <v>28</v>
      </c>
      <c r="U201" s="5">
        <v>-15</v>
      </c>
      <c r="V201" s="5">
        <v>-6</v>
      </c>
      <c r="W201" s="5">
        <v>-2</v>
      </c>
      <c r="X201" s="5">
        <v>-4</v>
      </c>
      <c r="Y201" s="5">
        <v>-8</v>
      </c>
      <c r="Z201" s="5">
        <v>-37</v>
      </c>
      <c r="AA201" s="5">
        <v>17</v>
      </c>
      <c r="AB201" s="5">
        <v>-10</v>
      </c>
      <c r="AC201" s="5">
        <v>-5</v>
      </c>
      <c r="AD201" s="5">
        <v>5</v>
      </c>
      <c r="AE201" s="5">
        <v>8</v>
      </c>
      <c r="AF201" s="5">
        <v>-4</v>
      </c>
      <c r="AG201" s="5">
        <v>3</v>
      </c>
      <c r="AH201" s="5">
        <v>17</v>
      </c>
      <c r="AI201" s="5">
        <v>-5</v>
      </c>
      <c r="AJ201" s="5">
        <v>-4</v>
      </c>
      <c r="AK201" s="5">
        <v>-14</v>
      </c>
      <c r="AL201" s="6">
        <v>21</v>
      </c>
    </row>
    <row r="202" spans="1:38">
      <c r="A202" s="4">
        <v>6</v>
      </c>
      <c r="B202" s="5">
        <v>23</v>
      </c>
      <c r="C202" s="5">
        <v>28</v>
      </c>
      <c r="D202" s="5">
        <v>41</v>
      </c>
      <c r="E202" s="5">
        <v>-26</v>
      </c>
      <c r="F202" s="5">
        <v>-25</v>
      </c>
      <c r="G202" s="5">
        <v>-26</v>
      </c>
      <c r="H202" s="5">
        <v>-30</v>
      </c>
      <c r="I202" s="5">
        <v>15</v>
      </c>
      <c r="J202" s="5">
        <v>4</v>
      </c>
      <c r="K202" s="5">
        <v>7</v>
      </c>
      <c r="L202" s="5">
        <v>-7</v>
      </c>
      <c r="M202" s="5">
        <v>48</v>
      </c>
      <c r="N202" s="5">
        <v>28</v>
      </c>
      <c r="O202" s="5">
        <v>-37</v>
      </c>
      <c r="P202" s="5">
        <v>3</v>
      </c>
      <c r="Q202" s="5">
        <v>8</v>
      </c>
      <c r="R202" s="5">
        <v>-14</v>
      </c>
      <c r="S202" s="5">
        <v>7</v>
      </c>
      <c r="T202" s="5">
        <v>2</v>
      </c>
      <c r="U202" s="5">
        <v>-21</v>
      </c>
      <c r="V202" s="5">
        <v>-20</v>
      </c>
      <c r="W202" s="5">
        <v>-9</v>
      </c>
      <c r="X202" s="5">
        <v>-5</v>
      </c>
      <c r="Y202" s="5">
        <v>-13</v>
      </c>
      <c r="Z202" s="5">
        <v>3</v>
      </c>
      <c r="AA202" s="5">
        <v>0</v>
      </c>
      <c r="AB202" s="5">
        <v>50</v>
      </c>
      <c r="AC202" s="5">
        <v>9</v>
      </c>
      <c r="AD202" s="5">
        <v>21</v>
      </c>
      <c r="AE202" s="5">
        <v>-26</v>
      </c>
      <c r="AF202" s="5">
        <v>-5</v>
      </c>
      <c r="AG202" s="5">
        <v>-14</v>
      </c>
      <c r="AH202" s="5">
        <v>1</v>
      </c>
      <c r="AI202" s="5">
        <v>44</v>
      </c>
      <c r="AJ202" s="5">
        <v>-56</v>
      </c>
      <c r="AK202" s="5">
        <v>-3</v>
      </c>
      <c r="AL202" s="6">
        <v>26</v>
      </c>
    </row>
    <row r="203" spans="1:38">
      <c r="A203" s="4">
        <v>5</v>
      </c>
      <c r="B203" s="5">
        <v>7</v>
      </c>
      <c r="C203" s="5">
        <v>-6</v>
      </c>
      <c r="D203" s="5">
        <v>0</v>
      </c>
      <c r="E203" s="5">
        <v>0</v>
      </c>
      <c r="F203" s="5">
        <v>-10</v>
      </c>
      <c r="G203" s="5">
        <v>-3</v>
      </c>
      <c r="H203" s="5">
        <v>-7</v>
      </c>
      <c r="I203" s="5">
        <v>-2</v>
      </c>
      <c r="J203" s="5">
        <v>1</v>
      </c>
      <c r="K203" s="5">
        <v>-7</v>
      </c>
      <c r="L203" s="5">
        <v>-2</v>
      </c>
      <c r="M203" s="5">
        <v>10</v>
      </c>
      <c r="N203" s="5">
        <v>1</v>
      </c>
      <c r="O203" s="5">
        <v>-18</v>
      </c>
      <c r="P203" s="5">
        <v>4</v>
      </c>
      <c r="Q203" s="5">
        <v>-13</v>
      </c>
      <c r="R203" s="5">
        <v>6</v>
      </c>
      <c r="S203" s="5">
        <v>-11</v>
      </c>
      <c r="T203" s="5">
        <v>15</v>
      </c>
      <c r="U203" s="5">
        <v>-6</v>
      </c>
      <c r="V203" s="5">
        <v>1</v>
      </c>
      <c r="W203" s="5">
        <v>-6</v>
      </c>
      <c r="X203" s="5">
        <v>-5</v>
      </c>
      <c r="Y203" s="5">
        <v>1</v>
      </c>
      <c r="Z203" s="5">
        <v>-10</v>
      </c>
      <c r="AA203" s="5">
        <v>-7</v>
      </c>
      <c r="AB203" s="5">
        <v>2</v>
      </c>
      <c r="AC203" s="5">
        <v>-11</v>
      </c>
      <c r="AD203" s="5">
        <v>-8</v>
      </c>
      <c r="AE203" s="5">
        <v>-1</v>
      </c>
      <c r="AF203" s="5">
        <v>-10</v>
      </c>
      <c r="AG203" s="5">
        <v>3</v>
      </c>
      <c r="AH203" s="5">
        <v>10</v>
      </c>
      <c r="AI203" s="5">
        <v>-1</v>
      </c>
      <c r="AJ203" s="5">
        <v>-1</v>
      </c>
      <c r="AK203" s="5">
        <v>-7</v>
      </c>
      <c r="AL203" s="6">
        <v>14</v>
      </c>
    </row>
    <row r="204" spans="1:38">
      <c r="A204" s="4">
        <v>-1</v>
      </c>
      <c r="B204" s="5">
        <v>-2</v>
      </c>
      <c r="C204" s="5">
        <v>8</v>
      </c>
      <c r="D204" s="5">
        <v>27</v>
      </c>
      <c r="E204" s="5">
        <v>-9</v>
      </c>
      <c r="F204" s="5">
        <v>-32</v>
      </c>
      <c r="G204" s="5">
        <v>-25</v>
      </c>
      <c r="H204" s="5">
        <v>-15</v>
      </c>
      <c r="I204" s="5">
        <v>4</v>
      </c>
      <c r="J204" s="5">
        <v>31</v>
      </c>
      <c r="K204" s="5">
        <v>8</v>
      </c>
      <c r="L204" s="5">
        <v>-17</v>
      </c>
      <c r="M204" s="5">
        <v>23</v>
      </c>
      <c r="N204" s="5">
        <v>21</v>
      </c>
      <c r="O204" s="5">
        <v>-48</v>
      </c>
      <c r="P204" s="5">
        <v>17</v>
      </c>
      <c r="Q204" s="5">
        <v>-6</v>
      </c>
      <c r="R204" s="5">
        <v>8</v>
      </c>
      <c r="S204" s="5">
        <v>8</v>
      </c>
      <c r="T204" s="5">
        <v>16</v>
      </c>
      <c r="U204" s="5">
        <v>-14</v>
      </c>
      <c r="V204" s="5">
        <v>-14</v>
      </c>
      <c r="W204" s="5">
        <v>3</v>
      </c>
      <c r="X204" s="5">
        <v>-3</v>
      </c>
      <c r="Y204" s="5">
        <v>-11</v>
      </c>
      <c r="Z204" s="5">
        <v>-1</v>
      </c>
      <c r="AA204" s="5">
        <v>15</v>
      </c>
      <c r="AB204" s="5">
        <v>17</v>
      </c>
      <c r="AC204" s="5">
        <v>-2</v>
      </c>
      <c r="AD204" s="5">
        <v>2</v>
      </c>
      <c r="AE204" s="5">
        <v>-18</v>
      </c>
      <c r="AF204" s="5">
        <v>-4</v>
      </c>
      <c r="AG204" s="5">
        <v>8</v>
      </c>
      <c r="AH204" s="5">
        <v>15</v>
      </c>
      <c r="AI204" s="5">
        <v>6</v>
      </c>
      <c r="AJ204" s="5">
        <v>-33</v>
      </c>
      <c r="AK204" s="5">
        <v>-15</v>
      </c>
      <c r="AL204" s="6">
        <v>27</v>
      </c>
    </row>
    <row r="205" spans="1:38">
      <c r="A205" s="4">
        <v>-3</v>
      </c>
      <c r="B205" s="5">
        <v>-2</v>
      </c>
      <c r="C205" s="5">
        <v>12</v>
      </c>
      <c r="D205" s="5">
        <v>11</v>
      </c>
      <c r="E205" s="5">
        <v>-14</v>
      </c>
      <c r="F205" s="5">
        <v>-19</v>
      </c>
      <c r="G205" s="5">
        <v>-9</v>
      </c>
      <c r="H205" s="5">
        <v>-26</v>
      </c>
      <c r="I205" s="5">
        <v>5</v>
      </c>
      <c r="J205" s="5">
        <v>10</v>
      </c>
      <c r="K205" s="5">
        <v>-2</v>
      </c>
      <c r="L205" s="5">
        <v>4</v>
      </c>
      <c r="M205" s="5">
        <v>6</v>
      </c>
      <c r="N205" s="5">
        <v>2</v>
      </c>
      <c r="O205" s="5">
        <v>-20</v>
      </c>
      <c r="P205" s="5">
        <v>3</v>
      </c>
      <c r="Q205" s="5">
        <v>4</v>
      </c>
      <c r="R205" s="5">
        <v>-2</v>
      </c>
      <c r="S205" s="5">
        <v>-6</v>
      </c>
      <c r="T205" s="5">
        <v>-13</v>
      </c>
      <c r="U205" s="5">
        <v>-17</v>
      </c>
      <c r="V205" s="5">
        <v>-6</v>
      </c>
      <c r="W205" s="5">
        <v>-1</v>
      </c>
      <c r="X205" s="5">
        <v>-1</v>
      </c>
      <c r="Y205" s="5">
        <v>-7</v>
      </c>
      <c r="Z205" s="5">
        <v>-10</v>
      </c>
      <c r="AA205" s="5">
        <v>0</v>
      </c>
      <c r="AB205" s="5">
        <v>16</v>
      </c>
      <c r="AC205" s="5">
        <v>-2</v>
      </c>
      <c r="AD205" s="5">
        <v>5</v>
      </c>
      <c r="AE205" s="5">
        <v>-4</v>
      </c>
      <c r="AF205" s="5">
        <v>-13</v>
      </c>
      <c r="AG205" s="5">
        <v>16</v>
      </c>
      <c r="AH205" s="5">
        <v>9</v>
      </c>
      <c r="AI205" s="5">
        <v>-13</v>
      </c>
      <c r="AJ205" s="5">
        <v>-5</v>
      </c>
      <c r="AK205" s="5">
        <v>3</v>
      </c>
      <c r="AL205" s="6">
        <v>11</v>
      </c>
    </row>
    <row r="206" spans="1:38">
      <c r="A206" s="4">
        <v>0</v>
      </c>
      <c r="B206" s="5">
        <v>6</v>
      </c>
      <c r="C206" s="5">
        <v>3</v>
      </c>
      <c r="D206" s="5">
        <v>0</v>
      </c>
      <c r="E206" s="5">
        <v>-5</v>
      </c>
      <c r="F206" s="5">
        <v>-7</v>
      </c>
      <c r="G206" s="5">
        <v>-2</v>
      </c>
      <c r="H206" s="5">
        <v>3</v>
      </c>
      <c r="I206" s="5">
        <v>-2</v>
      </c>
      <c r="J206" s="5">
        <v>3</v>
      </c>
      <c r="K206" s="5">
        <v>0</v>
      </c>
      <c r="L206" s="5">
        <v>4</v>
      </c>
      <c r="M206" s="5">
        <v>15</v>
      </c>
      <c r="N206" s="5">
        <v>0</v>
      </c>
      <c r="O206" s="5">
        <v>-18</v>
      </c>
      <c r="P206" s="5">
        <v>9</v>
      </c>
      <c r="Q206" s="5">
        <v>-2</v>
      </c>
      <c r="R206" s="5">
        <v>-1</v>
      </c>
      <c r="S206" s="5">
        <v>0</v>
      </c>
      <c r="T206" s="5">
        <v>2</v>
      </c>
      <c r="U206" s="5">
        <v>-9</v>
      </c>
      <c r="V206" s="5">
        <v>7</v>
      </c>
      <c r="W206" s="5">
        <v>-5</v>
      </c>
      <c r="X206" s="5">
        <v>-11</v>
      </c>
      <c r="Y206" s="5">
        <v>0</v>
      </c>
      <c r="Z206" s="5">
        <v>14</v>
      </c>
      <c r="AA206" s="5">
        <v>10</v>
      </c>
      <c r="AB206" s="5">
        <v>14</v>
      </c>
      <c r="AC206" s="5">
        <v>1</v>
      </c>
      <c r="AD206" s="5">
        <v>10</v>
      </c>
      <c r="AE206" s="5">
        <v>6</v>
      </c>
      <c r="AF206" s="5">
        <v>7</v>
      </c>
      <c r="AG206" s="5">
        <v>-9</v>
      </c>
      <c r="AH206" s="5">
        <v>1</v>
      </c>
      <c r="AI206" s="5">
        <v>25</v>
      </c>
      <c r="AJ206" s="5">
        <v>-15</v>
      </c>
      <c r="AK206" s="5">
        <v>3</v>
      </c>
      <c r="AL206" s="6">
        <v>3</v>
      </c>
    </row>
    <row r="207" spans="1:38">
      <c r="A207" s="4">
        <v>1</v>
      </c>
      <c r="B207" s="5">
        <v>1</v>
      </c>
      <c r="C207" s="5">
        <v>3</v>
      </c>
      <c r="D207" s="5">
        <v>3</v>
      </c>
      <c r="E207" s="5">
        <v>-7</v>
      </c>
      <c r="F207" s="5">
        <v>-11</v>
      </c>
      <c r="G207" s="5">
        <v>-9</v>
      </c>
      <c r="H207" s="5">
        <v>3</v>
      </c>
      <c r="I207" s="5">
        <v>3</v>
      </c>
      <c r="J207" s="5">
        <v>4</v>
      </c>
      <c r="K207" s="5">
        <v>2</v>
      </c>
      <c r="L207" s="5">
        <v>1</v>
      </c>
      <c r="M207" s="5">
        <v>21</v>
      </c>
      <c r="N207" s="5">
        <v>-4</v>
      </c>
      <c r="O207" s="5">
        <v>-17</v>
      </c>
      <c r="P207" s="5">
        <v>-3</v>
      </c>
      <c r="Q207" s="5">
        <v>-3</v>
      </c>
      <c r="R207" s="5">
        <v>-2</v>
      </c>
      <c r="S207" s="5">
        <v>6</v>
      </c>
      <c r="T207" s="5">
        <v>4</v>
      </c>
      <c r="U207" s="5">
        <v>-3</v>
      </c>
      <c r="V207" s="5">
        <v>11</v>
      </c>
      <c r="W207" s="5">
        <v>-1</v>
      </c>
      <c r="X207" s="5">
        <v>-1</v>
      </c>
      <c r="Y207" s="5">
        <v>-2</v>
      </c>
      <c r="Z207" s="5">
        <v>0</v>
      </c>
      <c r="AA207" s="5">
        <v>12</v>
      </c>
      <c r="AB207" s="5">
        <v>4</v>
      </c>
      <c r="AC207" s="5">
        <v>-5</v>
      </c>
      <c r="AD207" s="5">
        <v>2</v>
      </c>
      <c r="AE207" s="5">
        <v>-7</v>
      </c>
      <c r="AF207" s="5">
        <v>1</v>
      </c>
      <c r="AG207" s="5">
        <v>4</v>
      </c>
      <c r="AH207" s="5">
        <v>2</v>
      </c>
      <c r="AI207" s="5">
        <v>2</v>
      </c>
      <c r="AJ207" s="5">
        <v>-13</v>
      </c>
      <c r="AK207" s="5">
        <v>-11</v>
      </c>
      <c r="AL207" s="6">
        <v>-1</v>
      </c>
    </row>
    <row r="208" spans="1:38">
      <c r="A208" s="4">
        <v>7</v>
      </c>
      <c r="B208" s="5">
        <v>3</v>
      </c>
      <c r="C208" s="5">
        <v>2</v>
      </c>
      <c r="D208" s="5">
        <v>-1</v>
      </c>
      <c r="E208" s="5">
        <v>-6</v>
      </c>
      <c r="F208" s="5">
        <v>5</v>
      </c>
      <c r="G208" s="5">
        <v>-4</v>
      </c>
      <c r="H208" s="5">
        <v>4</v>
      </c>
      <c r="I208" s="5">
        <v>3</v>
      </c>
      <c r="J208" s="5">
        <v>13</v>
      </c>
      <c r="K208" s="5">
        <v>2</v>
      </c>
      <c r="L208" s="5">
        <v>-17</v>
      </c>
      <c r="M208" s="5">
        <v>13</v>
      </c>
      <c r="N208" s="5">
        <v>6</v>
      </c>
      <c r="O208" s="5">
        <v>-29</v>
      </c>
      <c r="P208" s="5">
        <v>5</v>
      </c>
      <c r="Q208" s="5">
        <v>12</v>
      </c>
      <c r="R208" s="5">
        <v>12</v>
      </c>
      <c r="S208" s="5">
        <v>12</v>
      </c>
      <c r="T208" s="5">
        <v>-10</v>
      </c>
      <c r="U208" s="5">
        <v>10</v>
      </c>
      <c r="V208" s="5">
        <v>-1</v>
      </c>
      <c r="W208" s="5">
        <v>-4</v>
      </c>
      <c r="X208" s="5">
        <v>4</v>
      </c>
      <c r="Y208" s="5">
        <v>-4</v>
      </c>
      <c r="Z208" s="5">
        <v>10</v>
      </c>
      <c r="AA208" s="5">
        <v>2</v>
      </c>
      <c r="AB208" s="5">
        <v>20</v>
      </c>
      <c r="AC208" s="5">
        <v>4</v>
      </c>
      <c r="AD208" s="5">
        <v>4</v>
      </c>
      <c r="AE208" s="5">
        <v>1</v>
      </c>
      <c r="AF208" s="5">
        <v>-10</v>
      </c>
      <c r="AG208" s="5">
        <v>-7</v>
      </c>
      <c r="AH208" s="5">
        <v>-13</v>
      </c>
      <c r="AI208" s="5">
        <v>-1</v>
      </c>
      <c r="AJ208" s="5">
        <v>-14</v>
      </c>
      <c r="AK208" s="5">
        <v>3</v>
      </c>
      <c r="AL208" s="6">
        <v>-1</v>
      </c>
    </row>
    <row r="209" spans="1:38">
      <c r="A209" s="4">
        <v>3</v>
      </c>
      <c r="B209" s="5">
        <v>1</v>
      </c>
      <c r="C209" s="5">
        <v>10</v>
      </c>
      <c r="D209" s="5">
        <v>-3</v>
      </c>
      <c r="E209" s="5">
        <v>-15</v>
      </c>
      <c r="F209" s="5">
        <v>8</v>
      </c>
      <c r="G209" s="5">
        <v>-8</v>
      </c>
      <c r="H209" s="5">
        <v>20</v>
      </c>
      <c r="I209" s="5">
        <v>9</v>
      </c>
      <c r="J209" s="5">
        <v>-5</v>
      </c>
      <c r="K209" s="5">
        <v>-23</v>
      </c>
      <c r="L209" s="5">
        <v>-13</v>
      </c>
      <c r="M209" s="5">
        <v>26</v>
      </c>
      <c r="N209" s="5">
        <v>6</v>
      </c>
      <c r="O209" s="5">
        <v>5</v>
      </c>
      <c r="P209" s="5">
        <v>2</v>
      </c>
      <c r="Q209" s="5">
        <v>-7</v>
      </c>
      <c r="R209" s="5">
        <v>5</v>
      </c>
      <c r="S209" s="5">
        <v>5</v>
      </c>
      <c r="T209" s="5">
        <v>2</v>
      </c>
      <c r="U209" s="5">
        <v>-2</v>
      </c>
      <c r="V209" s="5">
        <v>-16</v>
      </c>
      <c r="W209" s="5">
        <v>11</v>
      </c>
      <c r="X209" s="5">
        <v>15</v>
      </c>
      <c r="Y209" s="5">
        <v>-7</v>
      </c>
      <c r="Z209" s="5">
        <v>-24</v>
      </c>
      <c r="AA209" s="5">
        <v>22</v>
      </c>
      <c r="AB209" s="5">
        <v>1</v>
      </c>
      <c r="AC209" s="5">
        <v>-15</v>
      </c>
      <c r="AD209" s="5">
        <v>-25</v>
      </c>
      <c r="AE209" s="5">
        <v>-14</v>
      </c>
      <c r="AF209" s="5">
        <v>5</v>
      </c>
      <c r="AG209" s="5">
        <v>-4</v>
      </c>
      <c r="AH209" s="5">
        <v>-8</v>
      </c>
      <c r="AI209" s="5">
        <v>9</v>
      </c>
      <c r="AJ209" s="5">
        <v>22</v>
      </c>
      <c r="AK209" s="5">
        <v>-14</v>
      </c>
      <c r="AL209" s="6">
        <v>5</v>
      </c>
    </row>
    <row r="210" spans="1:38">
      <c r="A210" s="4">
        <v>-18</v>
      </c>
      <c r="B210" s="5">
        <v>-5</v>
      </c>
      <c r="C210" s="5">
        <v>19</v>
      </c>
      <c r="D210" s="5">
        <v>8</v>
      </c>
      <c r="E210" s="5">
        <v>38</v>
      </c>
      <c r="F210" s="5">
        <v>18</v>
      </c>
      <c r="G210" s="5">
        <v>-2</v>
      </c>
      <c r="H210" s="5">
        <v>-2</v>
      </c>
      <c r="I210" s="5">
        <v>-5</v>
      </c>
      <c r="J210" s="5">
        <v>-1</v>
      </c>
      <c r="K210" s="5">
        <v>-25</v>
      </c>
      <c r="L210" s="5">
        <v>5</v>
      </c>
      <c r="M210" s="5">
        <v>-4</v>
      </c>
      <c r="N210" s="5">
        <v>-8</v>
      </c>
      <c r="O210" s="5">
        <v>0</v>
      </c>
      <c r="P210" s="5">
        <v>-8</v>
      </c>
      <c r="Q210" s="5">
        <v>-5</v>
      </c>
      <c r="R210" s="5">
        <v>32</v>
      </c>
      <c r="S210" s="5">
        <v>-4</v>
      </c>
      <c r="T210" s="5">
        <v>6</v>
      </c>
      <c r="U210" s="5">
        <v>-29</v>
      </c>
      <c r="V210" s="5">
        <v>-15</v>
      </c>
      <c r="W210" s="5">
        <v>8</v>
      </c>
      <c r="X210" s="5">
        <v>10</v>
      </c>
      <c r="Y210" s="5">
        <v>10</v>
      </c>
      <c r="Z210" s="5">
        <v>-4</v>
      </c>
      <c r="AA210" s="5">
        <v>5</v>
      </c>
      <c r="AB210" s="5">
        <v>-3</v>
      </c>
      <c r="AC210" s="5">
        <v>-12</v>
      </c>
      <c r="AD210" s="5">
        <v>15</v>
      </c>
      <c r="AE210" s="5">
        <v>-14</v>
      </c>
      <c r="AF210" s="5">
        <v>33</v>
      </c>
      <c r="AG210" s="5">
        <v>-11</v>
      </c>
      <c r="AH210" s="5">
        <v>-5</v>
      </c>
      <c r="AI210" s="5">
        <v>15</v>
      </c>
      <c r="AJ210" s="5">
        <v>-15</v>
      </c>
      <c r="AK210" s="5">
        <v>6</v>
      </c>
      <c r="AL210" s="6">
        <v>-4</v>
      </c>
    </row>
    <row r="211" spans="1:38">
      <c r="A211" s="4">
        <v>10</v>
      </c>
      <c r="B211" s="5">
        <v>12</v>
      </c>
      <c r="C211" s="5">
        <v>-11</v>
      </c>
      <c r="D211" s="5">
        <v>-7</v>
      </c>
      <c r="E211" s="5">
        <v>24</v>
      </c>
      <c r="F211" s="5">
        <v>3</v>
      </c>
      <c r="G211" s="5">
        <v>-3</v>
      </c>
      <c r="H211" s="5">
        <v>-12</v>
      </c>
      <c r="I211" s="5">
        <v>1</v>
      </c>
      <c r="J211" s="5">
        <v>4</v>
      </c>
      <c r="K211" s="5">
        <v>-24</v>
      </c>
      <c r="L211" s="5">
        <v>19</v>
      </c>
      <c r="M211" s="5">
        <v>-11</v>
      </c>
      <c r="N211" s="5">
        <v>-2</v>
      </c>
      <c r="O211" s="5">
        <v>3</v>
      </c>
      <c r="P211" s="5">
        <v>1</v>
      </c>
      <c r="Q211" s="5">
        <v>-8</v>
      </c>
      <c r="R211" s="5">
        <v>29</v>
      </c>
      <c r="S211" s="5">
        <v>11</v>
      </c>
      <c r="T211" s="5">
        <v>11</v>
      </c>
      <c r="U211" s="5">
        <v>-25</v>
      </c>
      <c r="V211" s="5">
        <v>-5</v>
      </c>
      <c r="W211" s="5">
        <v>7</v>
      </c>
      <c r="X211" s="5">
        <v>7</v>
      </c>
      <c r="Y211" s="5">
        <v>8</v>
      </c>
      <c r="Z211" s="5">
        <v>14</v>
      </c>
      <c r="AA211" s="5">
        <v>22</v>
      </c>
      <c r="AB211" s="5">
        <v>-1</v>
      </c>
      <c r="AC211" s="5">
        <v>-24</v>
      </c>
      <c r="AD211" s="5">
        <v>-6</v>
      </c>
      <c r="AE211" s="5">
        <v>1</v>
      </c>
      <c r="AF211" s="5">
        <v>16</v>
      </c>
      <c r="AG211" s="5">
        <v>13</v>
      </c>
      <c r="AH211" s="5">
        <v>-15</v>
      </c>
      <c r="AI211" s="5">
        <v>23</v>
      </c>
      <c r="AJ211" s="5">
        <v>-1</v>
      </c>
      <c r="AK211" s="5">
        <v>-22</v>
      </c>
      <c r="AL211" s="6">
        <v>7</v>
      </c>
    </row>
    <row r="212" spans="1:38">
      <c r="A212" s="4">
        <v>-72</v>
      </c>
      <c r="B212" s="5">
        <v>8</v>
      </c>
      <c r="C212" s="5">
        <v>-41</v>
      </c>
      <c r="D212" s="5">
        <v>-16</v>
      </c>
      <c r="E212" s="5">
        <v>3</v>
      </c>
      <c r="F212" s="5">
        <v>-14</v>
      </c>
      <c r="G212" s="5">
        <v>13</v>
      </c>
      <c r="H212" s="5">
        <v>-8</v>
      </c>
      <c r="I212" s="5">
        <v>-52</v>
      </c>
      <c r="J212" s="5">
        <v>-9</v>
      </c>
      <c r="K212" s="5">
        <v>-29</v>
      </c>
      <c r="L212" s="5">
        <v>37</v>
      </c>
      <c r="M212" s="5">
        <v>13</v>
      </c>
      <c r="N212" s="5">
        <v>-28</v>
      </c>
      <c r="O212" s="5">
        <v>-26</v>
      </c>
      <c r="P212" s="5">
        <v>-19</v>
      </c>
      <c r="Q212" s="5">
        <v>-21</v>
      </c>
      <c r="R212" s="5">
        <v>13</v>
      </c>
      <c r="S212" s="5">
        <v>19</v>
      </c>
      <c r="T212" s="5">
        <v>-28</v>
      </c>
      <c r="U212" s="5">
        <v>14</v>
      </c>
      <c r="V212" s="5">
        <v>12</v>
      </c>
      <c r="W212" s="5">
        <v>-27</v>
      </c>
      <c r="X212" s="5">
        <v>-1</v>
      </c>
      <c r="Y212" s="5">
        <v>36</v>
      </c>
      <c r="Z212" s="5">
        <v>-12</v>
      </c>
      <c r="AA212" s="5">
        <v>15</v>
      </c>
      <c r="AB212" s="5">
        <v>-4</v>
      </c>
      <c r="AC212" s="5">
        <v>33</v>
      </c>
      <c r="AD212" s="5">
        <v>7</v>
      </c>
      <c r="AE212" s="5">
        <v>-10</v>
      </c>
      <c r="AF212" s="5">
        <v>-27</v>
      </c>
      <c r="AG212" s="5">
        <v>-27</v>
      </c>
      <c r="AH212" s="5">
        <v>2</v>
      </c>
      <c r="AI212" s="5">
        <v>15</v>
      </c>
      <c r="AJ212" s="5">
        <v>9</v>
      </c>
      <c r="AK212" s="5">
        <v>-5</v>
      </c>
      <c r="AL212" s="6">
        <v>-9</v>
      </c>
    </row>
    <row r="213" spans="1:38">
      <c r="A213" s="4">
        <v>-45</v>
      </c>
      <c r="B213" s="5">
        <v>9</v>
      </c>
      <c r="C213" s="5">
        <v>-38</v>
      </c>
      <c r="D213" s="5">
        <v>1</v>
      </c>
      <c r="E213" s="5">
        <v>9</v>
      </c>
      <c r="F213" s="5">
        <v>-10</v>
      </c>
      <c r="G213" s="5">
        <v>3</v>
      </c>
      <c r="H213" s="5">
        <v>17</v>
      </c>
      <c r="I213" s="5">
        <v>-1</v>
      </c>
      <c r="J213" s="5">
        <v>3</v>
      </c>
      <c r="K213" s="5">
        <v>20</v>
      </c>
      <c r="L213" s="5">
        <v>24</v>
      </c>
      <c r="M213" s="5">
        <v>-3</v>
      </c>
      <c r="N213" s="5">
        <v>35</v>
      </c>
      <c r="O213" s="5">
        <v>-54</v>
      </c>
      <c r="P213" s="5">
        <v>-14</v>
      </c>
      <c r="Q213" s="5">
        <v>16</v>
      </c>
      <c r="R213" s="5">
        <v>7</v>
      </c>
      <c r="S213" s="5">
        <v>-16</v>
      </c>
      <c r="T213" s="5">
        <v>-20</v>
      </c>
      <c r="U213" s="5">
        <v>34</v>
      </c>
      <c r="V213" s="5">
        <v>20</v>
      </c>
      <c r="W213" s="5">
        <v>31</v>
      </c>
      <c r="X213" s="5">
        <v>-21</v>
      </c>
      <c r="Y213" s="5">
        <v>-5</v>
      </c>
      <c r="Z213" s="5">
        <v>-26</v>
      </c>
      <c r="AA213" s="5">
        <v>23</v>
      </c>
      <c r="AB213" s="5">
        <v>-13</v>
      </c>
      <c r="AC213" s="5">
        <v>-10</v>
      </c>
      <c r="AD213" s="5">
        <v>15</v>
      </c>
      <c r="AE213" s="5">
        <v>-11</v>
      </c>
      <c r="AF213" s="5">
        <v>12</v>
      </c>
      <c r="AG213" s="5">
        <v>8</v>
      </c>
      <c r="AH213" s="5">
        <v>-7</v>
      </c>
      <c r="AI213" s="5">
        <v>-9</v>
      </c>
      <c r="AJ213" s="5">
        <v>1</v>
      </c>
      <c r="AK213" s="5">
        <v>7</v>
      </c>
      <c r="AL213" s="6">
        <v>-38</v>
      </c>
    </row>
    <row r="214" spans="1:38">
      <c r="A214" s="4">
        <v>1</v>
      </c>
      <c r="B214" s="5">
        <v>-15</v>
      </c>
      <c r="C214" s="5">
        <v>16</v>
      </c>
      <c r="D214" s="5">
        <v>18</v>
      </c>
      <c r="E214" s="5">
        <v>6</v>
      </c>
      <c r="F214" s="5">
        <v>10</v>
      </c>
      <c r="G214" s="5">
        <v>-20</v>
      </c>
      <c r="H214" s="5">
        <v>-16</v>
      </c>
      <c r="I214" s="5">
        <v>8</v>
      </c>
      <c r="J214" s="5">
        <v>13</v>
      </c>
      <c r="K214" s="5">
        <v>4</v>
      </c>
      <c r="L214" s="5">
        <v>-9</v>
      </c>
      <c r="M214" s="5">
        <v>-2</v>
      </c>
      <c r="N214" s="5">
        <v>-7</v>
      </c>
      <c r="O214" s="5">
        <v>-6</v>
      </c>
      <c r="P214" s="5">
        <v>5</v>
      </c>
      <c r="Q214" s="5">
        <v>-1</v>
      </c>
      <c r="R214" s="5">
        <v>8</v>
      </c>
      <c r="S214" s="5">
        <v>13</v>
      </c>
      <c r="T214" s="5">
        <v>-10</v>
      </c>
      <c r="U214" s="5">
        <v>7</v>
      </c>
      <c r="V214" s="5">
        <v>7</v>
      </c>
      <c r="W214" s="5">
        <v>-11</v>
      </c>
      <c r="X214" s="5">
        <v>20</v>
      </c>
      <c r="Y214" s="5">
        <v>24</v>
      </c>
      <c r="Z214" s="5">
        <v>19</v>
      </c>
      <c r="AA214" s="5">
        <v>-7</v>
      </c>
      <c r="AB214" s="5">
        <v>-15</v>
      </c>
      <c r="AC214" s="5">
        <v>19</v>
      </c>
      <c r="AD214" s="5">
        <v>3</v>
      </c>
      <c r="AE214" s="5">
        <v>-5</v>
      </c>
      <c r="AF214" s="5">
        <v>-5</v>
      </c>
      <c r="AG214" s="5">
        <v>-6</v>
      </c>
      <c r="AH214" s="5">
        <v>-11</v>
      </c>
      <c r="AI214" s="5">
        <v>8</v>
      </c>
      <c r="AJ214" s="5">
        <v>6</v>
      </c>
      <c r="AK214" s="5">
        <v>-35</v>
      </c>
      <c r="AL214" s="6">
        <v>11</v>
      </c>
    </row>
    <row r="215" spans="1:38">
      <c r="A215" s="4">
        <v>18</v>
      </c>
      <c r="B215" s="5">
        <v>8</v>
      </c>
      <c r="C215" s="5">
        <v>21</v>
      </c>
      <c r="D215" s="5">
        <v>24</v>
      </c>
      <c r="E215" s="5">
        <v>1</v>
      </c>
      <c r="F215" s="5">
        <v>33</v>
      </c>
      <c r="G215" s="5">
        <v>-16</v>
      </c>
      <c r="H215" s="5">
        <v>2</v>
      </c>
      <c r="I215" s="5">
        <v>-9</v>
      </c>
      <c r="J215" s="5">
        <v>10</v>
      </c>
      <c r="K215" s="5">
        <v>-15</v>
      </c>
      <c r="L215" s="5">
        <v>5</v>
      </c>
      <c r="M215" s="5">
        <v>-12</v>
      </c>
      <c r="N215" s="5">
        <v>-6</v>
      </c>
      <c r="O215" s="5">
        <v>-37</v>
      </c>
      <c r="P215" s="5">
        <v>24</v>
      </c>
      <c r="Q215" s="5">
        <v>-54</v>
      </c>
      <c r="R215" s="5">
        <v>-17</v>
      </c>
      <c r="S215" s="5">
        <v>13</v>
      </c>
      <c r="T215" s="5">
        <v>-14</v>
      </c>
      <c r="U215" s="5">
        <v>-41</v>
      </c>
      <c r="V215" s="5">
        <v>11</v>
      </c>
      <c r="W215" s="5">
        <v>-4</v>
      </c>
      <c r="X215" s="5">
        <v>15</v>
      </c>
      <c r="Y215" s="5">
        <v>7</v>
      </c>
      <c r="Z215" s="5">
        <v>-17</v>
      </c>
      <c r="AA215" s="5">
        <v>-23</v>
      </c>
      <c r="AB215" s="5">
        <v>-8</v>
      </c>
      <c r="AC215" s="5">
        <v>6</v>
      </c>
      <c r="AD215" s="5">
        <v>-37</v>
      </c>
      <c r="AE215" s="5">
        <v>5</v>
      </c>
      <c r="AF215" s="5">
        <v>12</v>
      </c>
      <c r="AG215" s="5">
        <v>19</v>
      </c>
      <c r="AH215" s="5">
        <v>-22</v>
      </c>
      <c r="AI215" s="5">
        <v>26</v>
      </c>
      <c r="AJ215" s="5">
        <v>-13</v>
      </c>
      <c r="AK215" s="5">
        <v>14</v>
      </c>
      <c r="AL215" s="6">
        <v>-38</v>
      </c>
    </row>
    <row r="216" spans="1:38">
      <c r="A216" s="4">
        <v>-2</v>
      </c>
      <c r="B216" s="5">
        <v>-2</v>
      </c>
      <c r="C216" s="5">
        <v>9</v>
      </c>
      <c r="D216" s="5">
        <v>-2</v>
      </c>
      <c r="E216" s="5">
        <v>-36</v>
      </c>
      <c r="F216" s="5">
        <v>-34</v>
      </c>
      <c r="G216" s="5">
        <v>-1</v>
      </c>
      <c r="H216" s="5">
        <v>-25</v>
      </c>
      <c r="I216" s="5">
        <v>-8</v>
      </c>
      <c r="J216" s="5">
        <v>32</v>
      </c>
      <c r="K216" s="5">
        <v>1</v>
      </c>
      <c r="L216" s="5">
        <v>14</v>
      </c>
      <c r="M216" s="5">
        <v>24</v>
      </c>
      <c r="N216" s="5">
        <v>0</v>
      </c>
      <c r="O216" s="5">
        <v>-28</v>
      </c>
      <c r="P216" s="5">
        <v>16</v>
      </c>
      <c r="Q216" s="5">
        <v>21</v>
      </c>
      <c r="R216" s="5">
        <v>10</v>
      </c>
      <c r="S216" s="5">
        <v>-14</v>
      </c>
      <c r="T216" s="5">
        <v>-1</v>
      </c>
      <c r="U216" s="5">
        <v>-19</v>
      </c>
      <c r="V216" s="5">
        <v>-16</v>
      </c>
      <c r="W216" s="5">
        <v>12</v>
      </c>
      <c r="X216" s="5">
        <v>10</v>
      </c>
      <c r="Y216" s="5">
        <v>-13</v>
      </c>
      <c r="Z216" s="5">
        <v>-5</v>
      </c>
      <c r="AA216" s="5">
        <v>6</v>
      </c>
      <c r="AB216" s="5">
        <v>11</v>
      </c>
      <c r="AC216" s="5">
        <v>7</v>
      </c>
      <c r="AD216" s="5">
        <v>8</v>
      </c>
      <c r="AE216" s="5">
        <v>-12</v>
      </c>
      <c r="AF216" s="5">
        <v>-28</v>
      </c>
      <c r="AG216" s="5">
        <v>-9</v>
      </c>
      <c r="AH216" s="5">
        <v>-1</v>
      </c>
      <c r="AI216" s="5">
        <v>46</v>
      </c>
      <c r="AJ216" s="5">
        <v>3</v>
      </c>
      <c r="AK216" s="5">
        <v>-2</v>
      </c>
      <c r="AL216" s="6">
        <v>-8</v>
      </c>
    </row>
    <row r="217" spans="1:38">
      <c r="A217" s="4">
        <v>45</v>
      </c>
      <c r="B217" s="5">
        <v>2</v>
      </c>
      <c r="C217" s="5">
        <v>30</v>
      </c>
      <c r="D217" s="5">
        <v>0</v>
      </c>
      <c r="E217" s="5">
        <v>-26</v>
      </c>
      <c r="F217" s="5">
        <v>-30</v>
      </c>
      <c r="G217" s="5">
        <v>-65</v>
      </c>
      <c r="H217" s="5">
        <v>-26</v>
      </c>
      <c r="I217" s="5">
        <v>28</v>
      </c>
      <c r="J217" s="5">
        <v>46</v>
      </c>
      <c r="K217" s="5">
        <v>26</v>
      </c>
      <c r="L217" s="5">
        <v>-47</v>
      </c>
      <c r="M217" s="5">
        <v>42</v>
      </c>
      <c r="N217" s="5">
        <v>-3</v>
      </c>
      <c r="O217" s="5">
        <v>-88</v>
      </c>
      <c r="P217" s="5">
        <v>1</v>
      </c>
      <c r="Q217" s="5">
        <v>16</v>
      </c>
      <c r="R217" s="5">
        <v>46</v>
      </c>
      <c r="S217" s="5">
        <v>9</v>
      </c>
      <c r="T217" s="5">
        <v>-26</v>
      </c>
      <c r="U217" s="5">
        <v>-22</v>
      </c>
      <c r="V217" s="5">
        <v>-27</v>
      </c>
      <c r="W217" s="5">
        <v>-17</v>
      </c>
      <c r="X217" s="5">
        <v>38</v>
      </c>
      <c r="Y217" s="5">
        <v>22</v>
      </c>
      <c r="Z217" s="5">
        <v>26</v>
      </c>
      <c r="AA217" s="5">
        <v>28</v>
      </c>
      <c r="AB217" s="5">
        <v>1</v>
      </c>
      <c r="AC217" s="5">
        <v>31</v>
      </c>
      <c r="AD217" s="5">
        <v>-2</v>
      </c>
      <c r="AE217" s="5">
        <v>-16</v>
      </c>
      <c r="AF217" s="5">
        <v>-75</v>
      </c>
      <c r="AG217" s="5">
        <v>-3</v>
      </c>
      <c r="AH217" s="5">
        <v>-36</v>
      </c>
      <c r="AI217" s="5">
        <v>-28</v>
      </c>
      <c r="AJ217" s="5">
        <v>-29</v>
      </c>
      <c r="AK217" s="5">
        <v>-46</v>
      </c>
      <c r="AL217" s="6">
        <v>-21</v>
      </c>
    </row>
    <row r="218" spans="1:38">
      <c r="A218" s="4">
        <v>29</v>
      </c>
      <c r="B218" s="5">
        <v>5</v>
      </c>
      <c r="C218" s="5">
        <v>-1</v>
      </c>
      <c r="D218" s="5">
        <v>5</v>
      </c>
      <c r="E218" s="5">
        <v>-12</v>
      </c>
      <c r="F218" s="5">
        <v>-40</v>
      </c>
      <c r="G218" s="5">
        <v>-61</v>
      </c>
      <c r="H218" s="5">
        <v>-22</v>
      </c>
      <c r="I218" s="5">
        <v>26</v>
      </c>
      <c r="J218" s="5">
        <v>43</v>
      </c>
      <c r="K218" s="5">
        <v>19</v>
      </c>
      <c r="L218" s="5">
        <v>-43</v>
      </c>
      <c r="M218" s="5">
        <v>-39</v>
      </c>
      <c r="N218" s="5">
        <v>-3</v>
      </c>
      <c r="O218" s="5">
        <v>-113</v>
      </c>
      <c r="P218" s="5">
        <v>37</v>
      </c>
      <c r="Q218" s="5">
        <v>-10</v>
      </c>
      <c r="R218" s="5">
        <v>25</v>
      </c>
      <c r="S218" s="5">
        <v>-29</v>
      </c>
      <c r="T218" s="5">
        <v>-16</v>
      </c>
      <c r="U218" s="5">
        <v>10</v>
      </c>
      <c r="V218" s="5">
        <v>-33</v>
      </c>
      <c r="W218" s="5">
        <v>12</v>
      </c>
      <c r="X218" s="5">
        <v>9</v>
      </c>
      <c r="Y218" s="5">
        <v>-2</v>
      </c>
      <c r="Z218" s="5">
        <v>13</v>
      </c>
      <c r="AA218" s="5">
        <v>7</v>
      </c>
      <c r="AB218" s="5">
        <v>-1</v>
      </c>
      <c r="AC218" s="5">
        <v>2</v>
      </c>
      <c r="AD218" s="5">
        <v>-30</v>
      </c>
      <c r="AE218" s="5">
        <v>19</v>
      </c>
      <c r="AF218" s="5">
        <v>-20</v>
      </c>
      <c r="AG218" s="5">
        <v>25</v>
      </c>
      <c r="AH218" s="5">
        <v>31</v>
      </c>
      <c r="AI218" s="5">
        <v>11</v>
      </c>
      <c r="AJ218" s="5">
        <v>-48</v>
      </c>
      <c r="AK218" s="5">
        <v>7</v>
      </c>
      <c r="AL218" s="6">
        <v>39</v>
      </c>
    </row>
    <row r="219" spans="1:38">
      <c r="A219" s="4">
        <v>-27</v>
      </c>
      <c r="B219" s="5">
        <v>3</v>
      </c>
      <c r="C219" s="5">
        <v>2</v>
      </c>
      <c r="D219" s="5">
        <v>3</v>
      </c>
      <c r="E219" s="5">
        <v>-10</v>
      </c>
      <c r="F219" s="5">
        <v>-12</v>
      </c>
      <c r="G219" s="5">
        <v>-10</v>
      </c>
      <c r="H219" s="5">
        <v>-13</v>
      </c>
      <c r="I219" s="5">
        <v>9</v>
      </c>
      <c r="J219" s="5">
        <v>24</v>
      </c>
      <c r="K219" s="5">
        <v>-19</v>
      </c>
      <c r="L219" s="5">
        <v>3</v>
      </c>
      <c r="M219" s="5">
        <v>11</v>
      </c>
      <c r="N219" s="5">
        <v>8</v>
      </c>
      <c r="O219" s="5">
        <v>-14</v>
      </c>
      <c r="P219" s="5">
        <v>-16</v>
      </c>
      <c r="Q219" s="5">
        <v>6</v>
      </c>
      <c r="R219" s="5">
        <v>-15</v>
      </c>
      <c r="S219" s="5">
        <v>-12</v>
      </c>
      <c r="T219" s="5">
        <v>-2</v>
      </c>
      <c r="U219" s="5">
        <v>-8</v>
      </c>
      <c r="V219" s="5">
        <v>21</v>
      </c>
      <c r="W219" s="5">
        <v>50</v>
      </c>
      <c r="X219" s="5">
        <v>-6</v>
      </c>
      <c r="Y219" s="5">
        <v>-17</v>
      </c>
      <c r="Z219" s="5">
        <v>7</v>
      </c>
      <c r="AA219" s="5">
        <v>-5</v>
      </c>
      <c r="AB219" s="5">
        <v>7</v>
      </c>
      <c r="AC219" s="5">
        <v>-21</v>
      </c>
      <c r="AD219" s="5">
        <v>11</v>
      </c>
      <c r="AE219" s="5">
        <v>7</v>
      </c>
      <c r="AF219" s="5">
        <v>24</v>
      </c>
      <c r="AG219" s="5">
        <v>-29</v>
      </c>
      <c r="AH219" s="5">
        <v>-5</v>
      </c>
      <c r="AI219" s="5">
        <v>3</v>
      </c>
      <c r="AJ219" s="5">
        <v>24</v>
      </c>
      <c r="AK219" s="5">
        <v>11</v>
      </c>
      <c r="AL219" s="6">
        <v>8</v>
      </c>
    </row>
    <row r="220" spans="1:38">
      <c r="A220" s="4">
        <v>-39</v>
      </c>
      <c r="B220" s="5">
        <v>8</v>
      </c>
      <c r="C220" s="5">
        <v>1</v>
      </c>
      <c r="D220" s="5">
        <v>-5</v>
      </c>
      <c r="E220" s="5">
        <v>-4</v>
      </c>
      <c r="F220" s="5">
        <v>-33</v>
      </c>
      <c r="G220" s="5">
        <v>18</v>
      </c>
      <c r="H220" s="5">
        <v>-35</v>
      </c>
      <c r="I220" s="5">
        <v>-38</v>
      </c>
      <c r="J220" s="5">
        <v>7</v>
      </c>
      <c r="K220" s="5">
        <v>-26</v>
      </c>
      <c r="L220" s="5">
        <v>36</v>
      </c>
      <c r="M220" s="5">
        <v>28</v>
      </c>
      <c r="N220" s="5">
        <v>-16</v>
      </c>
      <c r="O220" s="5">
        <v>-34</v>
      </c>
      <c r="P220" s="5">
        <v>-21</v>
      </c>
      <c r="Q220" s="5">
        <v>-6</v>
      </c>
      <c r="R220" s="5">
        <v>4</v>
      </c>
      <c r="S220" s="5">
        <v>-9</v>
      </c>
      <c r="T220" s="5">
        <v>-7</v>
      </c>
      <c r="U220" s="5">
        <v>-12</v>
      </c>
      <c r="V220" s="5">
        <v>-25</v>
      </c>
      <c r="W220" s="5">
        <v>6</v>
      </c>
      <c r="X220" s="5">
        <v>5</v>
      </c>
      <c r="Y220" s="5">
        <v>-10</v>
      </c>
      <c r="Z220" s="5">
        <v>6</v>
      </c>
      <c r="AA220" s="5">
        <v>8</v>
      </c>
      <c r="AB220" s="5">
        <v>-11</v>
      </c>
      <c r="AC220" s="5">
        <v>28</v>
      </c>
      <c r="AD220" s="5">
        <v>-10</v>
      </c>
      <c r="AE220" s="5">
        <v>-16</v>
      </c>
      <c r="AF220" s="5">
        <v>21</v>
      </c>
      <c r="AG220" s="5">
        <v>15</v>
      </c>
      <c r="AH220" s="5">
        <v>-14</v>
      </c>
      <c r="AI220" s="5">
        <v>5</v>
      </c>
      <c r="AJ220" s="5">
        <v>-20</v>
      </c>
      <c r="AK220" s="5">
        <v>15</v>
      </c>
      <c r="AL220" s="6">
        <v>-3</v>
      </c>
    </row>
    <row r="221" spans="1:38">
      <c r="A221" s="4">
        <v>-46</v>
      </c>
      <c r="B221" s="5">
        <v>19</v>
      </c>
      <c r="C221" s="5">
        <v>-16</v>
      </c>
      <c r="D221" s="5">
        <v>19</v>
      </c>
      <c r="E221" s="5">
        <v>38</v>
      </c>
      <c r="F221" s="5">
        <v>-27</v>
      </c>
      <c r="G221" s="5">
        <v>-29</v>
      </c>
      <c r="H221" s="5">
        <v>-4</v>
      </c>
      <c r="I221" s="5">
        <v>-7</v>
      </c>
      <c r="J221" s="5">
        <v>12</v>
      </c>
      <c r="K221" s="5">
        <v>28</v>
      </c>
      <c r="L221" s="5">
        <v>26</v>
      </c>
      <c r="M221" s="5">
        <v>9</v>
      </c>
      <c r="N221" s="5">
        <v>35</v>
      </c>
      <c r="O221" s="5">
        <v>-50</v>
      </c>
      <c r="P221" s="5">
        <v>-10</v>
      </c>
      <c r="Q221" s="5">
        <v>7</v>
      </c>
      <c r="R221" s="5">
        <v>-18</v>
      </c>
      <c r="S221" s="5">
        <v>-26</v>
      </c>
      <c r="T221" s="5">
        <v>-27</v>
      </c>
      <c r="U221" s="5">
        <v>26</v>
      </c>
      <c r="V221" s="5">
        <v>35</v>
      </c>
      <c r="W221" s="5">
        <v>35</v>
      </c>
      <c r="X221" s="5">
        <v>-3</v>
      </c>
      <c r="Y221" s="5">
        <v>3</v>
      </c>
      <c r="Z221" s="5">
        <v>-15</v>
      </c>
      <c r="AA221" s="5">
        <v>-7</v>
      </c>
      <c r="AB221" s="5">
        <v>-31</v>
      </c>
      <c r="AC221" s="5">
        <v>16</v>
      </c>
      <c r="AD221" s="5">
        <v>9</v>
      </c>
      <c r="AE221" s="5">
        <v>-14</v>
      </c>
      <c r="AF221" s="5">
        <v>15</v>
      </c>
      <c r="AG221" s="5">
        <v>-42</v>
      </c>
      <c r="AH221" s="5">
        <v>-28</v>
      </c>
      <c r="AI221" s="5">
        <v>-27</v>
      </c>
      <c r="AJ221" s="5">
        <v>0</v>
      </c>
      <c r="AK221" s="5">
        <v>18</v>
      </c>
      <c r="AL221" s="6">
        <v>-4</v>
      </c>
    </row>
    <row r="222" spans="1:38">
      <c r="A222" s="4">
        <v>1</v>
      </c>
      <c r="B222" s="5">
        <v>-11</v>
      </c>
      <c r="C222" s="5">
        <v>32</v>
      </c>
      <c r="D222" s="5">
        <v>28</v>
      </c>
      <c r="E222" s="5">
        <v>-5</v>
      </c>
      <c r="F222" s="5">
        <v>-19</v>
      </c>
      <c r="G222" s="5">
        <v>-9</v>
      </c>
      <c r="H222" s="5">
        <v>41</v>
      </c>
      <c r="I222" s="5">
        <v>4</v>
      </c>
      <c r="J222" s="5">
        <v>-3</v>
      </c>
      <c r="K222" s="5">
        <v>18</v>
      </c>
      <c r="L222" s="5">
        <v>34</v>
      </c>
      <c r="M222" s="5">
        <v>-29</v>
      </c>
      <c r="N222" s="5">
        <v>-7</v>
      </c>
      <c r="O222" s="5">
        <v>0</v>
      </c>
      <c r="P222" s="5">
        <v>-29</v>
      </c>
      <c r="Q222" s="5">
        <v>-27</v>
      </c>
      <c r="R222" s="5">
        <v>11</v>
      </c>
      <c r="S222" s="5">
        <v>22</v>
      </c>
      <c r="T222" s="5">
        <v>1</v>
      </c>
      <c r="U222" s="5">
        <v>0</v>
      </c>
      <c r="V222" s="5">
        <v>-5</v>
      </c>
      <c r="W222" s="5">
        <v>17</v>
      </c>
      <c r="X222" s="5">
        <v>11</v>
      </c>
      <c r="Y222" s="5">
        <v>-10</v>
      </c>
      <c r="Z222" s="5">
        <v>-19</v>
      </c>
      <c r="AA222" s="5">
        <v>-10</v>
      </c>
      <c r="AB222" s="5">
        <v>-11</v>
      </c>
      <c r="AC222" s="5">
        <v>-4</v>
      </c>
      <c r="AD222" s="5">
        <v>37</v>
      </c>
      <c r="AE222" s="5">
        <v>3</v>
      </c>
      <c r="AF222" s="5">
        <v>2</v>
      </c>
      <c r="AG222" s="5">
        <v>5</v>
      </c>
      <c r="AH222" s="5">
        <v>-5</v>
      </c>
      <c r="AI222" s="5">
        <v>3</v>
      </c>
      <c r="AJ222" s="5">
        <v>-5</v>
      </c>
      <c r="AK222" s="5">
        <v>13</v>
      </c>
      <c r="AL222" s="6">
        <v>2</v>
      </c>
    </row>
    <row r="223" spans="1:38">
      <c r="A223" s="4">
        <v>19</v>
      </c>
      <c r="B223" s="5">
        <v>-29</v>
      </c>
      <c r="C223" s="5">
        <v>-25</v>
      </c>
      <c r="D223" s="5">
        <v>10</v>
      </c>
      <c r="E223" s="5">
        <v>-7</v>
      </c>
      <c r="F223" s="5">
        <v>28</v>
      </c>
      <c r="G223" s="5">
        <v>-27</v>
      </c>
      <c r="H223" s="5">
        <v>40</v>
      </c>
      <c r="I223" s="5">
        <v>-29</v>
      </c>
      <c r="J223" s="5">
        <v>10</v>
      </c>
      <c r="K223" s="5">
        <v>-24</v>
      </c>
      <c r="L223" s="5">
        <v>-28</v>
      </c>
      <c r="M223" s="5">
        <v>20</v>
      </c>
      <c r="N223" s="5">
        <v>4</v>
      </c>
      <c r="O223" s="5">
        <v>-39</v>
      </c>
      <c r="P223" s="5">
        <v>24</v>
      </c>
      <c r="Q223" s="5">
        <v>-14</v>
      </c>
      <c r="R223" s="5">
        <v>-13</v>
      </c>
      <c r="S223" s="5">
        <v>31</v>
      </c>
      <c r="T223" s="5">
        <v>-1</v>
      </c>
      <c r="U223" s="5">
        <v>16</v>
      </c>
      <c r="V223" s="5">
        <v>-14</v>
      </c>
      <c r="W223" s="5">
        <v>-23</v>
      </c>
      <c r="X223" s="5">
        <v>24</v>
      </c>
      <c r="Y223" s="5">
        <v>-19</v>
      </c>
      <c r="Z223" s="5">
        <v>8</v>
      </c>
      <c r="AA223" s="5">
        <v>12</v>
      </c>
      <c r="AB223" s="5">
        <v>29</v>
      </c>
      <c r="AC223" s="5">
        <v>36</v>
      </c>
      <c r="AD223" s="5">
        <v>69</v>
      </c>
      <c r="AE223" s="5">
        <v>-17</v>
      </c>
      <c r="AF223" s="5">
        <v>-6</v>
      </c>
      <c r="AG223" s="5">
        <v>-3</v>
      </c>
      <c r="AH223" s="5">
        <v>-15</v>
      </c>
      <c r="AI223" s="5">
        <v>-10</v>
      </c>
      <c r="AJ223" s="5">
        <v>35</v>
      </c>
      <c r="AK223" s="5">
        <v>19</v>
      </c>
      <c r="AL223" s="6">
        <v>-5</v>
      </c>
    </row>
    <row r="224" spans="1:38">
      <c r="A224" s="4">
        <v>18</v>
      </c>
      <c r="B224" s="5">
        <v>-3</v>
      </c>
      <c r="C224" s="5">
        <v>-11</v>
      </c>
      <c r="D224" s="5">
        <v>-2</v>
      </c>
      <c r="E224" s="5">
        <v>6</v>
      </c>
      <c r="F224" s="5">
        <v>16</v>
      </c>
      <c r="G224" s="5">
        <v>13</v>
      </c>
      <c r="H224" s="5">
        <v>12</v>
      </c>
      <c r="I224" s="5">
        <v>12</v>
      </c>
      <c r="J224" s="5">
        <v>38</v>
      </c>
      <c r="K224" s="5">
        <v>-12</v>
      </c>
      <c r="L224" s="5">
        <v>-19</v>
      </c>
      <c r="M224" s="5">
        <v>58</v>
      </c>
      <c r="N224" s="5">
        <v>14</v>
      </c>
      <c r="O224" s="5">
        <v>45</v>
      </c>
      <c r="P224" s="5">
        <v>-52</v>
      </c>
      <c r="Q224" s="5">
        <v>10</v>
      </c>
      <c r="R224" s="5">
        <v>-21</v>
      </c>
      <c r="S224" s="5">
        <v>-8</v>
      </c>
      <c r="T224" s="5">
        <v>-36</v>
      </c>
      <c r="U224" s="5">
        <v>-34</v>
      </c>
      <c r="V224" s="5">
        <v>-5</v>
      </c>
      <c r="W224" s="5">
        <v>31</v>
      </c>
      <c r="X224" s="5">
        <v>12</v>
      </c>
      <c r="Y224" s="5">
        <v>-26</v>
      </c>
      <c r="Z224" s="5">
        <v>32</v>
      </c>
      <c r="AA224" s="5">
        <v>-42</v>
      </c>
      <c r="AB224" s="5">
        <v>-31</v>
      </c>
      <c r="AC224" s="5">
        <v>-5</v>
      </c>
      <c r="AD224" s="5">
        <v>-5</v>
      </c>
      <c r="AE224" s="5">
        <v>12</v>
      </c>
      <c r="AF224" s="5">
        <v>2</v>
      </c>
      <c r="AG224" s="5">
        <v>5</v>
      </c>
      <c r="AH224" s="5">
        <v>-13</v>
      </c>
      <c r="AI224" s="5">
        <v>10</v>
      </c>
      <c r="AJ224" s="5">
        <v>-23</v>
      </c>
      <c r="AK224" s="5">
        <v>13</v>
      </c>
      <c r="AL224" s="6">
        <v>-14</v>
      </c>
    </row>
    <row r="225" spans="1:38">
      <c r="A225" s="4">
        <v>-22</v>
      </c>
      <c r="B225" s="5">
        <v>-26</v>
      </c>
      <c r="C225" s="5">
        <v>12</v>
      </c>
      <c r="D225" s="5">
        <v>25</v>
      </c>
      <c r="E225" s="5">
        <v>53</v>
      </c>
      <c r="F225" s="5">
        <v>18</v>
      </c>
      <c r="G225" s="5">
        <v>32</v>
      </c>
      <c r="H225" s="5">
        <v>-22</v>
      </c>
      <c r="I225" s="5">
        <v>-13</v>
      </c>
      <c r="J225" s="5">
        <v>-6</v>
      </c>
      <c r="K225" s="5">
        <v>-37</v>
      </c>
      <c r="L225" s="5">
        <v>-9</v>
      </c>
      <c r="M225" s="5">
        <v>-6</v>
      </c>
      <c r="N225" s="5">
        <v>-20</v>
      </c>
      <c r="O225" s="5">
        <v>-15</v>
      </c>
      <c r="P225" s="5">
        <v>2</v>
      </c>
      <c r="Q225" s="5">
        <v>-4</v>
      </c>
      <c r="R225" s="5">
        <v>32</v>
      </c>
      <c r="S225" s="5">
        <v>-24</v>
      </c>
      <c r="T225" s="5">
        <v>20</v>
      </c>
      <c r="U225" s="5">
        <v>-19</v>
      </c>
      <c r="V225" s="5">
        <v>-11</v>
      </c>
      <c r="W225" s="5">
        <v>21</v>
      </c>
      <c r="X225" s="5">
        <v>-9</v>
      </c>
      <c r="Y225" s="5">
        <v>2</v>
      </c>
      <c r="Z225" s="5">
        <v>9</v>
      </c>
      <c r="AA225" s="5">
        <v>1</v>
      </c>
      <c r="AB225" s="5">
        <v>-24</v>
      </c>
      <c r="AC225" s="5">
        <v>22</v>
      </c>
      <c r="AD225" s="5">
        <v>-4</v>
      </c>
      <c r="AE225" s="5">
        <v>-46</v>
      </c>
      <c r="AF225" s="5">
        <v>13</v>
      </c>
      <c r="AG225" s="5">
        <v>-23</v>
      </c>
      <c r="AH225" s="5">
        <v>-5</v>
      </c>
      <c r="AI225" s="5">
        <v>4</v>
      </c>
      <c r="AJ225" s="5">
        <v>-12</v>
      </c>
      <c r="AK225" s="5">
        <v>9</v>
      </c>
      <c r="AL225" s="6">
        <v>5</v>
      </c>
    </row>
    <row r="226" spans="1:38">
      <c r="A226" s="4">
        <v>55</v>
      </c>
      <c r="B226" s="5">
        <v>-8</v>
      </c>
      <c r="C226" s="5">
        <v>-29</v>
      </c>
      <c r="D226" s="5">
        <v>13</v>
      </c>
      <c r="E226" s="5">
        <v>11</v>
      </c>
      <c r="F226" s="5">
        <v>23</v>
      </c>
      <c r="G226" s="5">
        <v>-3</v>
      </c>
      <c r="H226" s="5">
        <v>10</v>
      </c>
      <c r="I226" s="5">
        <v>-5</v>
      </c>
      <c r="J226" s="5">
        <v>6</v>
      </c>
      <c r="K226" s="5">
        <v>-39</v>
      </c>
      <c r="L226" s="5">
        <v>32</v>
      </c>
      <c r="M226" s="5">
        <v>-31</v>
      </c>
      <c r="N226" s="5">
        <v>-6</v>
      </c>
      <c r="O226" s="5">
        <v>-23</v>
      </c>
      <c r="P226" s="5">
        <v>12</v>
      </c>
      <c r="Q226" s="5">
        <v>-51</v>
      </c>
      <c r="R226" s="5">
        <v>-31</v>
      </c>
      <c r="S226" s="5">
        <v>-43</v>
      </c>
      <c r="T226" s="5">
        <v>-17</v>
      </c>
      <c r="U226" s="5">
        <v>6</v>
      </c>
      <c r="V226" s="5">
        <v>5</v>
      </c>
      <c r="W226" s="5">
        <v>0</v>
      </c>
      <c r="X226" s="5">
        <v>-4</v>
      </c>
      <c r="Y226" s="5">
        <v>-19</v>
      </c>
      <c r="Z226" s="5">
        <v>47</v>
      </c>
      <c r="AA226" s="5">
        <v>-17</v>
      </c>
      <c r="AB226" s="5">
        <v>7</v>
      </c>
      <c r="AC226" s="5">
        <v>-19</v>
      </c>
      <c r="AD226" s="5">
        <v>-23</v>
      </c>
      <c r="AE226" s="5">
        <v>25</v>
      </c>
      <c r="AF226" s="5">
        <v>-7</v>
      </c>
      <c r="AG226" s="5">
        <v>31</v>
      </c>
      <c r="AH226" s="5">
        <v>20</v>
      </c>
      <c r="AI226" s="5">
        <v>-1</v>
      </c>
      <c r="AJ226" s="5">
        <v>-26</v>
      </c>
      <c r="AK226" s="5">
        <v>-28</v>
      </c>
      <c r="AL226" s="6">
        <v>8</v>
      </c>
    </row>
    <row r="227" spans="1:38">
      <c r="A227" s="4">
        <v>31</v>
      </c>
      <c r="B227" s="5">
        <v>6</v>
      </c>
      <c r="C227" s="5">
        <v>-21</v>
      </c>
      <c r="D227" s="5">
        <v>5</v>
      </c>
      <c r="E227" s="5">
        <v>17</v>
      </c>
      <c r="F227" s="5">
        <v>13</v>
      </c>
      <c r="G227" s="5">
        <v>0</v>
      </c>
      <c r="H227" s="5">
        <v>1</v>
      </c>
      <c r="I227" s="5">
        <v>-7</v>
      </c>
      <c r="J227" s="5">
        <v>5</v>
      </c>
      <c r="K227" s="5">
        <v>-47</v>
      </c>
      <c r="L227" s="5">
        <v>17</v>
      </c>
      <c r="M227" s="5">
        <v>0</v>
      </c>
      <c r="N227" s="5">
        <v>-8</v>
      </c>
      <c r="O227" s="5">
        <v>4</v>
      </c>
      <c r="P227" s="5">
        <v>1</v>
      </c>
      <c r="Q227" s="5">
        <v>-40</v>
      </c>
      <c r="R227" s="5">
        <v>5</v>
      </c>
      <c r="S227" s="5">
        <v>-13</v>
      </c>
      <c r="T227" s="5">
        <v>-11</v>
      </c>
      <c r="U227" s="5">
        <v>-20</v>
      </c>
      <c r="V227" s="5">
        <v>-2</v>
      </c>
      <c r="W227" s="5">
        <v>15</v>
      </c>
      <c r="X227" s="5">
        <v>-16</v>
      </c>
      <c r="Y227" s="5">
        <v>-23</v>
      </c>
      <c r="Z227" s="5">
        <v>10</v>
      </c>
      <c r="AA227" s="5">
        <v>8</v>
      </c>
      <c r="AB227" s="5">
        <v>-32</v>
      </c>
      <c r="AC227" s="5">
        <v>-23</v>
      </c>
      <c r="AD227" s="5">
        <v>-14</v>
      </c>
      <c r="AE227" s="5">
        <v>-24</v>
      </c>
      <c r="AF227" s="5">
        <v>-2</v>
      </c>
      <c r="AG227" s="5">
        <v>16</v>
      </c>
      <c r="AH227" s="5">
        <v>17</v>
      </c>
      <c r="AI227" s="5">
        <v>-17</v>
      </c>
      <c r="AJ227" s="5">
        <v>3</v>
      </c>
      <c r="AK227" s="5">
        <v>-4</v>
      </c>
      <c r="AL227" s="6">
        <v>4</v>
      </c>
    </row>
    <row r="228" spans="1:38">
      <c r="A228" s="4">
        <v>51</v>
      </c>
      <c r="B228" s="5">
        <v>10</v>
      </c>
      <c r="C228" s="5">
        <v>-49</v>
      </c>
      <c r="D228" s="5">
        <v>5</v>
      </c>
      <c r="E228" s="5">
        <v>21</v>
      </c>
      <c r="F228" s="5">
        <v>27</v>
      </c>
      <c r="G228" s="5">
        <v>8</v>
      </c>
      <c r="H228" s="5">
        <v>21</v>
      </c>
      <c r="I228" s="5">
        <v>-11</v>
      </c>
      <c r="J228" s="5">
        <v>36</v>
      </c>
      <c r="K228" s="5">
        <v>-24</v>
      </c>
      <c r="L228" s="5">
        <v>0</v>
      </c>
      <c r="M228" s="5">
        <v>13</v>
      </c>
      <c r="N228" s="5">
        <v>-31</v>
      </c>
      <c r="O228" s="5">
        <v>-3</v>
      </c>
      <c r="P228" s="5">
        <v>-6</v>
      </c>
      <c r="Q228" s="5">
        <v>-1</v>
      </c>
      <c r="R228" s="5">
        <v>-24</v>
      </c>
      <c r="S228" s="5">
        <v>34</v>
      </c>
      <c r="T228" s="5">
        <v>-4</v>
      </c>
      <c r="U228" s="5">
        <v>-10</v>
      </c>
      <c r="V228" s="5">
        <v>-47</v>
      </c>
      <c r="W228" s="5">
        <v>13</v>
      </c>
      <c r="X228" s="5">
        <v>-20</v>
      </c>
      <c r="Y228" s="5">
        <v>0</v>
      </c>
      <c r="Z228" s="5">
        <v>-33</v>
      </c>
      <c r="AA228" s="5">
        <v>33</v>
      </c>
      <c r="AB228" s="5">
        <v>-3</v>
      </c>
      <c r="AC228" s="5">
        <v>37</v>
      </c>
      <c r="AD228" s="5">
        <v>62</v>
      </c>
      <c r="AE228" s="5">
        <v>31</v>
      </c>
      <c r="AF228" s="5">
        <v>-47</v>
      </c>
      <c r="AG228" s="5">
        <v>-10</v>
      </c>
      <c r="AH228" s="5">
        <v>0</v>
      </c>
      <c r="AI228" s="5">
        <v>-44</v>
      </c>
      <c r="AJ228" s="5">
        <v>31</v>
      </c>
      <c r="AK228" s="5">
        <v>-11</v>
      </c>
      <c r="AL228" s="6">
        <v>6</v>
      </c>
    </row>
    <row r="229" spans="1:38">
      <c r="A229" s="4">
        <v>49</v>
      </c>
      <c r="B229" s="5">
        <v>8</v>
      </c>
      <c r="C229" s="5">
        <v>-49</v>
      </c>
      <c r="D229" s="5">
        <v>33</v>
      </c>
      <c r="E229" s="5">
        <v>7</v>
      </c>
      <c r="F229" s="5">
        <v>5</v>
      </c>
      <c r="G229" s="5">
        <v>-4</v>
      </c>
      <c r="H229" s="5">
        <v>5</v>
      </c>
      <c r="I229" s="5">
        <v>-8</v>
      </c>
      <c r="J229" s="5">
        <v>36</v>
      </c>
      <c r="K229" s="5">
        <v>-33</v>
      </c>
      <c r="L229" s="5">
        <v>-2</v>
      </c>
      <c r="M229" s="5">
        <v>35</v>
      </c>
      <c r="N229" s="5">
        <v>-28</v>
      </c>
      <c r="O229" s="5">
        <v>-2</v>
      </c>
      <c r="P229" s="5">
        <v>-14</v>
      </c>
      <c r="Q229" s="5">
        <v>7</v>
      </c>
      <c r="R229" s="5">
        <v>-19</v>
      </c>
      <c r="S229" s="5">
        <v>25</v>
      </c>
      <c r="T229" s="5">
        <v>9</v>
      </c>
      <c r="U229" s="5">
        <v>21</v>
      </c>
      <c r="V229" s="5">
        <v>-38</v>
      </c>
      <c r="W229" s="5">
        <v>-27</v>
      </c>
      <c r="X229" s="5">
        <v>-21</v>
      </c>
      <c r="Y229" s="5">
        <v>-3</v>
      </c>
      <c r="Z229" s="5">
        <v>15</v>
      </c>
      <c r="AA229" s="5">
        <v>13</v>
      </c>
      <c r="AB229" s="5">
        <v>17</v>
      </c>
      <c r="AC229" s="5">
        <v>-1</v>
      </c>
      <c r="AD229" s="5">
        <v>52</v>
      </c>
      <c r="AE229" s="5">
        <v>35</v>
      </c>
      <c r="AF229" s="5">
        <v>-70</v>
      </c>
      <c r="AG229" s="5">
        <v>-4</v>
      </c>
      <c r="AH229" s="5">
        <v>22</v>
      </c>
      <c r="AI229" s="5">
        <v>-48</v>
      </c>
      <c r="AJ229" s="5">
        <v>20</v>
      </c>
      <c r="AK229" s="5">
        <v>43</v>
      </c>
      <c r="AL229" s="6">
        <v>4</v>
      </c>
    </row>
    <row r="230" spans="1:38">
      <c r="A230" s="4">
        <v>32</v>
      </c>
      <c r="B230" s="5">
        <v>29</v>
      </c>
      <c r="C230" s="5">
        <v>-17</v>
      </c>
      <c r="D230" s="5">
        <v>-9</v>
      </c>
      <c r="E230" s="5">
        <v>-10</v>
      </c>
      <c r="F230" s="5">
        <v>-18</v>
      </c>
      <c r="G230" s="5">
        <v>-9</v>
      </c>
      <c r="H230" s="5">
        <v>-14</v>
      </c>
      <c r="I230" s="5">
        <v>19</v>
      </c>
      <c r="J230" s="5">
        <v>2</v>
      </c>
      <c r="K230" s="5">
        <v>-2</v>
      </c>
      <c r="L230" s="5">
        <v>-12</v>
      </c>
      <c r="M230" s="5">
        <v>-6</v>
      </c>
      <c r="N230" s="5">
        <v>-28</v>
      </c>
      <c r="O230" s="5">
        <v>-19</v>
      </c>
      <c r="P230" s="5">
        <v>-14</v>
      </c>
      <c r="Q230" s="5">
        <v>-17</v>
      </c>
      <c r="R230" s="5">
        <v>23</v>
      </c>
      <c r="S230" s="5">
        <v>23</v>
      </c>
      <c r="T230" s="5">
        <v>12</v>
      </c>
      <c r="U230" s="5">
        <v>33</v>
      </c>
      <c r="V230" s="5">
        <v>-24</v>
      </c>
      <c r="W230" s="5">
        <v>13</v>
      </c>
      <c r="X230" s="5">
        <v>10</v>
      </c>
      <c r="Y230" s="5">
        <v>24</v>
      </c>
      <c r="Z230" s="5">
        <v>13</v>
      </c>
      <c r="AA230" s="5">
        <v>-48</v>
      </c>
      <c r="AB230" s="5">
        <v>2</v>
      </c>
      <c r="AC230" s="5">
        <v>-16</v>
      </c>
      <c r="AD230" s="5">
        <v>10</v>
      </c>
      <c r="AE230" s="5">
        <v>-39</v>
      </c>
      <c r="AF230" s="5">
        <v>-6</v>
      </c>
      <c r="AG230" s="5">
        <v>27</v>
      </c>
      <c r="AH230" s="5">
        <v>-70</v>
      </c>
      <c r="AI230" s="5">
        <v>16</v>
      </c>
      <c r="AJ230" s="5">
        <v>15</v>
      </c>
      <c r="AK230" s="5">
        <v>-53</v>
      </c>
      <c r="AL230" s="6">
        <v>4</v>
      </c>
    </row>
    <row r="231" spans="1:38">
      <c r="A231" s="4">
        <v>25</v>
      </c>
      <c r="B231" s="5">
        <v>-32</v>
      </c>
      <c r="C231" s="5">
        <v>-26</v>
      </c>
      <c r="D231" s="5">
        <v>23</v>
      </c>
      <c r="E231" s="5">
        <v>-16</v>
      </c>
      <c r="F231" s="5">
        <v>13</v>
      </c>
      <c r="G231" s="5">
        <v>9</v>
      </c>
      <c r="H231" s="5">
        <v>12</v>
      </c>
      <c r="I231" s="5">
        <v>-12</v>
      </c>
      <c r="J231" s="5">
        <v>13</v>
      </c>
      <c r="K231" s="5">
        <v>-41</v>
      </c>
      <c r="L231" s="5">
        <v>-9</v>
      </c>
      <c r="M231" s="5">
        <v>40</v>
      </c>
      <c r="N231" s="5">
        <v>-20</v>
      </c>
      <c r="O231" s="5">
        <v>-14</v>
      </c>
      <c r="P231" s="5">
        <v>-8</v>
      </c>
      <c r="Q231" s="5">
        <v>0</v>
      </c>
      <c r="R231" s="5">
        <v>-37</v>
      </c>
      <c r="S231" s="5">
        <v>1</v>
      </c>
      <c r="T231" s="5">
        <v>-9</v>
      </c>
      <c r="U231" s="5">
        <v>1</v>
      </c>
      <c r="V231" s="5">
        <v>7</v>
      </c>
      <c r="W231" s="5">
        <v>-10</v>
      </c>
      <c r="X231" s="5">
        <v>-2</v>
      </c>
      <c r="Y231" s="5">
        <v>-29</v>
      </c>
      <c r="Z231" s="5">
        <v>-18</v>
      </c>
      <c r="AA231" s="5">
        <v>21</v>
      </c>
      <c r="AB231" s="5">
        <v>9</v>
      </c>
      <c r="AC231" s="5">
        <v>-43</v>
      </c>
      <c r="AD231" s="5">
        <v>24</v>
      </c>
      <c r="AE231" s="5">
        <v>7</v>
      </c>
      <c r="AF231" s="5">
        <v>0</v>
      </c>
      <c r="AG231" s="5">
        <v>-8</v>
      </c>
      <c r="AH231" s="5">
        <v>11</v>
      </c>
      <c r="AI231" s="5">
        <v>-8</v>
      </c>
      <c r="AJ231" s="5">
        <v>23</v>
      </c>
      <c r="AK231" s="5">
        <v>5</v>
      </c>
      <c r="AL231" s="6">
        <v>13</v>
      </c>
    </row>
    <row r="232" spans="1:38">
      <c r="A232" s="4">
        <v>-6</v>
      </c>
      <c r="B232" s="5">
        <v>-10</v>
      </c>
      <c r="C232" s="5">
        <v>-16</v>
      </c>
      <c r="D232" s="5">
        <v>-2</v>
      </c>
      <c r="E232" s="5">
        <v>-3</v>
      </c>
      <c r="F232" s="5">
        <v>-1</v>
      </c>
      <c r="G232" s="5">
        <v>-7</v>
      </c>
      <c r="H232" s="5">
        <v>2</v>
      </c>
      <c r="I232" s="5">
        <v>-10</v>
      </c>
      <c r="J232" s="5">
        <v>5</v>
      </c>
      <c r="K232" s="5">
        <v>-9</v>
      </c>
      <c r="L232" s="5">
        <v>-9</v>
      </c>
      <c r="M232" s="5">
        <v>8</v>
      </c>
      <c r="N232" s="5">
        <v>-7</v>
      </c>
      <c r="O232" s="5">
        <v>-6</v>
      </c>
      <c r="P232" s="5">
        <v>-10</v>
      </c>
      <c r="Q232" s="5">
        <v>4</v>
      </c>
      <c r="R232" s="5">
        <v>-11</v>
      </c>
      <c r="S232" s="5">
        <v>-16</v>
      </c>
      <c r="T232" s="5">
        <v>-14</v>
      </c>
      <c r="U232" s="5">
        <v>-8</v>
      </c>
      <c r="V232" s="5">
        <v>7</v>
      </c>
      <c r="W232" s="5">
        <v>1</v>
      </c>
      <c r="X232" s="5">
        <v>-3</v>
      </c>
      <c r="Y232" s="5">
        <v>-11</v>
      </c>
      <c r="Z232" s="5">
        <v>-4</v>
      </c>
      <c r="AA232" s="5">
        <v>6</v>
      </c>
      <c r="AB232" s="5">
        <v>1</v>
      </c>
      <c r="AC232" s="5">
        <v>-26</v>
      </c>
      <c r="AD232" s="5">
        <v>34</v>
      </c>
      <c r="AE232" s="5">
        <v>5</v>
      </c>
      <c r="AF232" s="5">
        <v>18</v>
      </c>
      <c r="AG232" s="5">
        <v>-3</v>
      </c>
      <c r="AH232" s="5">
        <v>-19</v>
      </c>
      <c r="AI232" s="5">
        <v>16</v>
      </c>
      <c r="AJ232" s="5">
        <v>15</v>
      </c>
      <c r="AK232" s="5">
        <v>-12</v>
      </c>
      <c r="AL232" s="6">
        <v>-9</v>
      </c>
    </row>
    <row r="233" spans="1:38">
      <c r="A233" s="4">
        <v>69</v>
      </c>
      <c r="B233" s="5">
        <v>17</v>
      </c>
      <c r="C233" s="5">
        <v>-48</v>
      </c>
      <c r="D233" s="5">
        <v>28</v>
      </c>
      <c r="E233" s="5">
        <v>5</v>
      </c>
      <c r="F233" s="5">
        <v>13</v>
      </c>
      <c r="G233" s="5">
        <v>26</v>
      </c>
      <c r="H233" s="5">
        <v>25</v>
      </c>
      <c r="I233" s="5">
        <v>-2</v>
      </c>
      <c r="J233" s="5">
        <v>31</v>
      </c>
      <c r="K233" s="5">
        <v>-29</v>
      </c>
      <c r="L233" s="5">
        <v>-2</v>
      </c>
      <c r="M233" s="5">
        <v>63</v>
      </c>
      <c r="N233" s="5">
        <v>-57</v>
      </c>
      <c r="O233" s="5">
        <v>-5</v>
      </c>
      <c r="P233" s="5">
        <v>-5</v>
      </c>
      <c r="Q233" s="5">
        <v>19</v>
      </c>
      <c r="R233" s="5">
        <v>-42</v>
      </c>
      <c r="S233" s="5">
        <v>45</v>
      </c>
      <c r="T233" s="5">
        <v>-17</v>
      </c>
      <c r="U233" s="5">
        <v>18</v>
      </c>
      <c r="V233" s="5">
        <v>-21</v>
      </c>
      <c r="W233" s="5">
        <v>-8</v>
      </c>
      <c r="X233" s="5">
        <v>25</v>
      </c>
      <c r="Y233" s="5">
        <v>-9</v>
      </c>
      <c r="Z233" s="5">
        <v>-17</v>
      </c>
      <c r="AA233" s="5">
        <v>47</v>
      </c>
      <c r="AB233" s="5">
        <v>32</v>
      </c>
      <c r="AC233" s="5">
        <v>-10</v>
      </c>
      <c r="AD233" s="5">
        <v>75</v>
      </c>
      <c r="AE233" s="5">
        <v>8</v>
      </c>
      <c r="AF233" s="5">
        <v>-4</v>
      </c>
      <c r="AG233" s="5">
        <v>-7</v>
      </c>
      <c r="AH233" s="5">
        <v>-31</v>
      </c>
      <c r="AI233" s="5">
        <v>-13</v>
      </c>
      <c r="AJ233" s="5">
        <v>-20</v>
      </c>
      <c r="AK233" s="5">
        <v>-6</v>
      </c>
      <c r="AL233" s="6">
        <v>-13</v>
      </c>
    </row>
    <row r="234" spans="1:38">
      <c r="A234" s="4">
        <v>-15</v>
      </c>
      <c r="B234" s="5">
        <v>8</v>
      </c>
      <c r="C234" s="5">
        <v>-11</v>
      </c>
      <c r="D234" s="5">
        <v>3</v>
      </c>
      <c r="E234" s="5">
        <v>10</v>
      </c>
      <c r="F234" s="5">
        <v>6</v>
      </c>
      <c r="G234" s="5">
        <v>-5</v>
      </c>
      <c r="H234" s="5">
        <v>9</v>
      </c>
      <c r="I234" s="5">
        <v>-9</v>
      </c>
      <c r="J234" s="5">
        <v>-2</v>
      </c>
      <c r="K234" s="5">
        <v>-7</v>
      </c>
      <c r="L234" s="5">
        <v>6</v>
      </c>
      <c r="M234" s="5">
        <v>9</v>
      </c>
      <c r="N234" s="5">
        <v>3</v>
      </c>
      <c r="O234" s="5">
        <v>-8</v>
      </c>
      <c r="P234" s="5">
        <v>-4</v>
      </c>
      <c r="Q234" s="5">
        <v>-2</v>
      </c>
      <c r="R234" s="5">
        <v>-6</v>
      </c>
      <c r="S234" s="5">
        <v>-6</v>
      </c>
      <c r="T234" s="5">
        <v>-13</v>
      </c>
      <c r="U234" s="5">
        <v>-4</v>
      </c>
      <c r="V234" s="5">
        <v>-9</v>
      </c>
      <c r="W234" s="5">
        <v>22</v>
      </c>
      <c r="X234" s="5">
        <v>-7</v>
      </c>
      <c r="Y234" s="5">
        <v>2</v>
      </c>
      <c r="Z234" s="5">
        <v>1</v>
      </c>
      <c r="AA234" s="5">
        <v>-1</v>
      </c>
      <c r="AB234" s="5">
        <v>-18</v>
      </c>
      <c r="AC234" s="5">
        <v>-11</v>
      </c>
      <c r="AD234" s="5">
        <v>9</v>
      </c>
      <c r="AE234" s="5">
        <v>8</v>
      </c>
      <c r="AF234" s="5">
        <v>11</v>
      </c>
      <c r="AG234" s="5">
        <v>8</v>
      </c>
      <c r="AH234" s="5">
        <v>16</v>
      </c>
      <c r="AI234" s="5">
        <v>7</v>
      </c>
      <c r="AJ234" s="5">
        <v>3</v>
      </c>
      <c r="AK234" s="5">
        <v>-6</v>
      </c>
      <c r="AL234" s="6">
        <v>-13</v>
      </c>
    </row>
    <row r="235" spans="1:38">
      <c r="A235" s="4">
        <v>-9</v>
      </c>
      <c r="B235" s="5">
        <v>25</v>
      </c>
      <c r="C235" s="5">
        <v>35</v>
      </c>
      <c r="D235" s="5">
        <v>36</v>
      </c>
      <c r="E235" s="5">
        <v>115</v>
      </c>
      <c r="F235" s="5">
        <v>-16</v>
      </c>
      <c r="G235" s="5">
        <v>62</v>
      </c>
      <c r="H235" s="5">
        <v>-4</v>
      </c>
      <c r="I235" s="5">
        <v>17</v>
      </c>
      <c r="J235" s="5">
        <v>-25</v>
      </c>
      <c r="K235" s="5">
        <v>33</v>
      </c>
      <c r="L235" s="5">
        <v>-33</v>
      </c>
      <c r="M235" s="5">
        <v>13</v>
      </c>
      <c r="N235" s="5">
        <v>77</v>
      </c>
      <c r="O235" s="5">
        <v>-16</v>
      </c>
      <c r="P235" s="5">
        <v>33</v>
      </c>
      <c r="Q235" s="5">
        <v>29</v>
      </c>
      <c r="R235" s="5">
        <v>-46</v>
      </c>
      <c r="S235" s="5">
        <v>-46</v>
      </c>
      <c r="T235" s="5">
        <v>-32</v>
      </c>
      <c r="U235" s="5">
        <v>-3</v>
      </c>
      <c r="V235" s="5">
        <v>-10</v>
      </c>
      <c r="W235" s="5">
        <v>-27</v>
      </c>
      <c r="X235" s="5">
        <v>3</v>
      </c>
      <c r="Y235" s="5">
        <v>-40</v>
      </c>
      <c r="Z235" s="5">
        <v>1</v>
      </c>
      <c r="AA235" s="5">
        <v>-14</v>
      </c>
      <c r="AB235" s="5">
        <v>-6</v>
      </c>
      <c r="AC235" s="5">
        <v>22</v>
      </c>
      <c r="AD235" s="5">
        <v>0</v>
      </c>
      <c r="AE235" s="5">
        <v>-45</v>
      </c>
      <c r="AF235" s="5">
        <v>-13</v>
      </c>
      <c r="AG235" s="5">
        <v>19</v>
      </c>
      <c r="AH235" s="5">
        <v>-35</v>
      </c>
      <c r="AI235" s="5">
        <v>-52</v>
      </c>
      <c r="AJ235" s="5">
        <v>6</v>
      </c>
      <c r="AK235" s="5">
        <v>31</v>
      </c>
      <c r="AL235" s="6">
        <v>30</v>
      </c>
    </row>
    <row r="236" spans="1:38">
      <c r="A236" s="4">
        <v>30</v>
      </c>
      <c r="B236" s="5">
        <v>18</v>
      </c>
      <c r="C236" s="5">
        <v>-1</v>
      </c>
      <c r="D236" s="5">
        <v>-3</v>
      </c>
      <c r="E236" s="5">
        <v>40</v>
      </c>
      <c r="F236" s="5">
        <v>-5</v>
      </c>
      <c r="G236" s="5">
        <v>50</v>
      </c>
      <c r="H236" s="5">
        <v>2</v>
      </c>
      <c r="I236" s="5">
        <v>51</v>
      </c>
      <c r="J236" s="5">
        <v>-20</v>
      </c>
      <c r="K236" s="5">
        <v>-15</v>
      </c>
      <c r="L236" s="5">
        <v>-17</v>
      </c>
      <c r="M236" s="5">
        <v>10</v>
      </c>
      <c r="N236" s="5">
        <v>37</v>
      </c>
      <c r="O236" s="5">
        <v>-21</v>
      </c>
      <c r="P236" s="5">
        <v>-87</v>
      </c>
      <c r="Q236" s="5">
        <v>-3</v>
      </c>
      <c r="R236" s="5">
        <v>7</v>
      </c>
      <c r="S236" s="5">
        <v>-42</v>
      </c>
      <c r="T236" s="5">
        <v>-25</v>
      </c>
      <c r="U236" s="5">
        <v>-31</v>
      </c>
      <c r="V236" s="5">
        <v>12</v>
      </c>
      <c r="W236" s="5">
        <v>3</v>
      </c>
      <c r="X236" s="5">
        <v>23</v>
      </c>
      <c r="Y236" s="5">
        <v>33</v>
      </c>
      <c r="Z236" s="5">
        <v>0</v>
      </c>
      <c r="AA236" s="5">
        <v>21</v>
      </c>
      <c r="AB236" s="5">
        <v>-52</v>
      </c>
      <c r="AC236" s="5">
        <v>14</v>
      </c>
      <c r="AD236" s="5">
        <v>-22</v>
      </c>
      <c r="AE236" s="5">
        <v>9</v>
      </c>
      <c r="AF236" s="5">
        <v>-2</v>
      </c>
      <c r="AG236" s="5">
        <v>50</v>
      </c>
      <c r="AH236" s="5">
        <v>8</v>
      </c>
      <c r="AI236" s="5">
        <v>-7</v>
      </c>
      <c r="AJ236" s="5">
        <v>-31</v>
      </c>
      <c r="AK236" s="5">
        <v>22</v>
      </c>
      <c r="AL236" s="6">
        <v>-34</v>
      </c>
    </row>
    <row r="237" spans="1:38">
      <c r="A237" s="4">
        <v>68</v>
      </c>
      <c r="B237" s="5">
        <v>1</v>
      </c>
      <c r="C237" s="5">
        <v>-49</v>
      </c>
      <c r="D237" s="5">
        <v>-10</v>
      </c>
      <c r="E237" s="5">
        <v>23</v>
      </c>
      <c r="F237" s="5">
        <v>30</v>
      </c>
      <c r="G237" s="5">
        <v>-7</v>
      </c>
      <c r="H237" s="5">
        <v>-14</v>
      </c>
      <c r="I237" s="5">
        <v>-15</v>
      </c>
      <c r="J237" s="5">
        <v>2</v>
      </c>
      <c r="K237" s="5">
        <v>-2</v>
      </c>
      <c r="L237" s="5">
        <v>34</v>
      </c>
      <c r="M237" s="5">
        <v>-16</v>
      </c>
      <c r="N237" s="5">
        <v>0</v>
      </c>
      <c r="O237" s="5">
        <v>1</v>
      </c>
      <c r="P237" s="5">
        <v>13</v>
      </c>
      <c r="Q237" s="5">
        <v>-37</v>
      </c>
      <c r="R237" s="5">
        <v>43</v>
      </c>
      <c r="S237" s="5">
        <v>-12</v>
      </c>
      <c r="T237" s="5">
        <v>-2</v>
      </c>
      <c r="U237" s="5">
        <v>-4</v>
      </c>
      <c r="V237" s="5">
        <v>-9</v>
      </c>
      <c r="W237" s="5">
        <v>-4</v>
      </c>
      <c r="X237" s="5">
        <v>-48</v>
      </c>
      <c r="Y237" s="5">
        <v>-30</v>
      </c>
      <c r="Z237" s="5">
        <v>-15</v>
      </c>
      <c r="AA237" s="5">
        <v>22</v>
      </c>
      <c r="AB237" s="5">
        <v>-12</v>
      </c>
      <c r="AC237" s="5">
        <v>0</v>
      </c>
      <c r="AD237" s="5">
        <v>-18</v>
      </c>
      <c r="AE237" s="5">
        <v>11</v>
      </c>
      <c r="AF237" s="5">
        <v>-53</v>
      </c>
      <c r="AG237" s="5">
        <v>4</v>
      </c>
      <c r="AH237" s="5">
        <v>39</v>
      </c>
      <c r="AI237" s="5">
        <v>-24</v>
      </c>
      <c r="AJ237" s="5">
        <v>38</v>
      </c>
      <c r="AK237" s="5">
        <v>5</v>
      </c>
      <c r="AL237" s="6">
        <v>28</v>
      </c>
    </row>
    <row r="238" spans="1:38">
      <c r="A238" s="4">
        <v>26</v>
      </c>
      <c r="B238" s="5">
        <v>-55</v>
      </c>
      <c r="C238" s="5">
        <v>-21</v>
      </c>
      <c r="D238" s="5">
        <v>51</v>
      </c>
      <c r="E238" s="5">
        <v>-16</v>
      </c>
      <c r="F238" s="5">
        <v>18</v>
      </c>
      <c r="G238" s="5">
        <v>20</v>
      </c>
      <c r="H238" s="5">
        <v>3</v>
      </c>
      <c r="I238" s="5">
        <v>-13</v>
      </c>
      <c r="J238" s="5">
        <v>-23</v>
      </c>
      <c r="K238" s="5">
        <v>-31</v>
      </c>
      <c r="L238" s="5">
        <v>-3</v>
      </c>
      <c r="M238" s="5">
        <v>43</v>
      </c>
      <c r="N238" s="5">
        <v>-21</v>
      </c>
      <c r="O238" s="5">
        <v>-28</v>
      </c>
      <c r="P238" s="5">
        <v>-25</v>
      </c>
      <c r="Q238" s="5">
        <v>-9</v>
      </c>
      <c r="R238" s="5">
        <v>-55</v>
      </c>
      <c r="S238" s="5">
        <v>-40</v>
      </c>
      <c r="T238" s="5">
        <v>31</v>
      </c>
      <c r="U238" s="5">
        <v>-4</v>
      </c>
      <c r="V238" s="5">
        <v>17</v>
      </c>
      <c r="W238" s="5">
        <v>-21</v>
      </c>
      <c r="X238" s="5">
        <v>-4</v>
      </c>
      <c r="Y238" s="5">
        <v>-8</v>
      </c>
      <c r="Z238" s="5">
        <v>-11</v>
      </c>
      <c r="AA238" s="5">
        <v>34</v>
      </c>
      <c r="AB238" s="5">
        <v>-30</v>
      </c>
      <c r="AC238" s="5">
        <v>-58</v>
      </c>
      <c r="AD238" s="5">
        <v>-21</v>
      </c>
      <c r="AE238" s="5">
        <v>-17</v>
      </c>
      <c r="AF238" s="5">
        <v>4</v>
      </c>
      <c r="AG238" s="5">
        <v>23</v>
      </c>
      <c r="AH238" s="5">
        <v>13</v>
      </c>
      <c r="AI238" s="5">
        <v>7</v>
      </c>
      <c r="AJ238" s="5">
        <v>25</v>
      </c>
      <c r="AK238" s="5">
        <v>-10</v>
      </c>
      <c r="AL238" s="6">
        <v>1</v>
      </c>
    </row>
    <row r="239" spans="1:38">
      <c r="A239" s="4">
        <v>-59</v>
      </c>
      <c r="B239" s="5">
        <v>1</v>
      </c>
      <c r="C239" s="5">
        <v>2</v>
      </c>
      <c r="D239" s="5">
        <v>-10</v>
      </c>
      <c r="E239" s="5">
        <v>-25</v>
      </c>
      <c r="F239" s="5">
        <v>-27</v>
      </c>
      <c r="G239" s="5">
        <v>31</v>
      </c>
      <c r="H239" s="5">
        <v>-65</v>
      </c>
      <c r="I239" s="5">
        <v>-43</v>
      </c>
      <c r="J239" s="5">
        <v>-9</v>
      </c>
      <c r="K239" s="5">
        <v>-35</v>
      </c>
      <c r="L239" s="5">
        <v>51</v>
      </c>
      <c r="M239" s="5">
        <v>-3</v>
      </c>
      <c r="N239" s="5">
        <v>-31</v>
      </c>
      <c r="O239" s="5">
        <v>-29</v>
      </c>
      <c r="P239" s="5">
        <v>-29</v>
      </c>
      <c r="Q239" s="5">
        <v>3</v>
      </c>
      <c r="R239" s="5">
        <v>3</v>
      </c>
      <c r="S239" s="5">
        <v>-15</v>
      </c>
      <c r="T239" s="5">
        <v>6</v>
      </c>
      <c r="U239" s="5">
        <v>-26</v>
      </c>
      <c r="V239" s="5">
        <v>-49</v>
      </c>
      <c r="W239" s="5">
        <v>-31</v>
      </c>
      <c r="X239" s="5">
        <v>-12</v>
      </c>
      <c r="Y239" s="5">
        <v>-32</v>
      </c>
      <c r="Z239" s="5">
        <v>21</v>
      </c>
      <c r="AA239" s="5">
        <v>7</v>
      </c>
      <c r="AB239" s="5">
        <v>12</v>
      </c>
      <c r="AC239" s="5">
        <v>25</v>
      </c>
      <c r="AD239" s="5">
        <v>-24</v>
      </c>
      <c r="AE239" s="5">
        <v>-10</v>
      </c>
      <c r="AF239" s="5">
        <v>19</v>
      </c>
      <c r="AG239" s="5">
        <v>18</v>
      </c>
      <c r="AH239" s="5">
        <v>-22</v>
      </c>
      <c r="AI239" s="5">
        <v>-5</v>
      </c>
      <c r="AJ239" s="5">
        <v>-15</v>
      </c>
      <c r="AK239" s="5">
        <v>13</v>
      </c>
      <c r="AL239" s="6">
        <v>18</v>
      </c>
    </row>
    <row r="240" spans="1:38">
      <c r="A240" s="4">
        <v>6</v>
      </c>
      <c r="B240" s="5">
        <v>-22</v>
      </c>
      <c r="C240" s="5">
        <v>0</v>
      </c>
      <c r="D240" s="5">
        <v>10</v>
      </c>
      <c r="E240" s="5">
        <v>-4</v>
      </c>
      <c r="F240" s="5">
        <v>-30</v>
      </c>
      <c r="G240" s="5">
        <v>-59</v>
      </c>
      <c r="H240" s="5">
        <v>-34</v>
      </c>
      <c r="I240" s="5">
        <v>-15</v>
      </c>
      <c r="J240" s="5">
        <v>17</v>
      </c>
      <c r="K240" s="5">
        <v>8</v>
      </c>
      <c r="L240" s="5">
        <v>-21</v>
      </c>
      <c r="M240" s="5">
        <v>-1</v>
      </c>
      <c r="N240" s="5">
        <v>-13</v>
      </c>
      <c r="O240" s="5">
        <v>-56</v>
      </c>
      <c r="P240" s="5">
        <v>27</v>
      </c>
      <c r="Q240" s="5">
        <v>-1</v>
      </c>
      <c r="R240" s="5">
        <v>-24</v>
      </c>
      <c r="S240" s="5">
        <v>-1</v>
      </c>
      <c r="T240" s="5">
        <v>-12</v>
      </c>
      <c r="U240" s="5">
        <v>13</v>
      </c>
      <c r="V240" s="5">
        <v>-1</v>
      </c>
      <c r="W240" s="5">
        <v>7</v>
      </c>
      <c r="X240" s="5">
        <v>0</v>
      </c>
      <c r="Y240" s="5">
        <v>-10</v>
      </c>
      <c r="Z240" s="5">
        <v>24</v>
      </c>
      <c r="AA240" s="5">
        <v>-7</v>
      </c>
      <c r="AB240" s="5">
        <v>-20</v>
      </c>
      <c r="AC240" s="5">
        <v>-15</v>
      </c>
      <c r="AD240" s="5">
        <v>-1</v>
      </c>
      <c r="AE240" s="5">
        <v>-26</v>
      </c>
      <c r="AF240" s="5">
        <v>-8</v>
      </c>
      <c r="AG240" s="5">
        <v>26</v>
      </c>
      <c r="AH240" s="5">
        <v>16</v>
      </c>
      <c r="AI240" s="5">
        <v>-5</v>
      </c>
      <c r="AJ240" s="5">
        <v>-38</v>
      </c>
      <c r="AK240" s="5">
        <v>16</v>
      </c>
      <c r="AL240" s="6">
        <v>-31</v>
      </c>
    </row>
    <row r="241" spans="1:38">
      <c r="A241" s="4">
        <v>-10</v>
      </c>
      <c r="B241" s="5">
        <v>31</v>
      </c>
      <c r="C241" s="5">
        <v>35</v>
      </c>
      <c r="D241" s="5">
        <v>32</v>
      </c>
      <c r="E241" s="5">
        <v>107</v>
      </c>
      <c r="F241" s="5">
        <v>-22</v>
      </c>
      <c r="G241" s="5">
        <v>57</v>
      </c>
      <c r="H241" s="5">
        <v>4</v>
      </c>
      <c r="I241" s="5">
        <v>22</v>
      </c>
      <c r="J241" s="5">
        <v>-35</v>
      </c>
      <c r="K241" s="5">
        <v>29</v>
      </c>
      <c r="L241" s="5">
        <v>-43</v>
      </c>
      <c r="M241" s="5">
        <v>24</v>
      </c>
      <c r="N241" s="5">
        <v>78</v>
      </c>
      <c r="O241" s="5">
        <v>-31</v>
      </c>
      <c r="P241" s="5">
        <v>33</v>
      </c>
      <c r="Q241" s="5">
        <v>37</v>
      </c>
      <c r="R241" s="5">
        <v>-43</v>
      </c>
      <c r="S241" s="5">
        <v>-39</v>
      </c>
      <c r="T241" s="5">
        <v>-27</v>
      </c>
      <c r="U241" s="5">
        <v>-8</v>
      </c>
      <c r="V241" s="5">
        <v>-13</v>
      </c>
      <c r="W241" s="5">
        <v>-29</v>
      </c>
      <c r="X241" s="5">
        <v>7</v>
      </c>
      <c r="Y241" s="5">
        <v>-37</v>
      </c>
      <c r="Z241" s="5">
        <v>-7</v>
      </c>
      <c r="AA241" s="5">
        <v>-2</v>
      </c>
      <c r="AB241" s="5">
        <v>-3</v>
      </c>
      <c r="AC241" s="5">
        <v>34</v>
      </c>
      <c r="AD241" s="5">
        <v>6</v>
      </c>
      <c r="AE241" s="5">
        <v>-39</v>
      </c>
      <c r="AF241" s="5">
        <v>-10</v>
      </c>
      <c r="AG241" s="5">
        <v>7</v>
      </c>
      <c r="AH241" s="5">
        <v>-26</v>
      </c>
      <c r="AI241" s="5">
        <v>-51</v>
      </c>
      <c r="AJ241" s="5">
        <v>-8</v>
      </c>
      <c r="AK241" s="5">
        <v>38</v>
      </c>
      <c r="AL241" s="6">
        <v>20</v>
      </c>
    </row>
    <row r="242" spans="1:38">
      <c r="A242" s="4">
        <v>15</v>
      </c>
      <c r="B242" s="5">
        <v>-11</v>
      </c>
      <c r="C242" s="5">
        <v>-3</v>
      </c>
      <c r="D242" s="5">
        <v>9</v>
      </c>
      <c r="E242" s="5">
        <v>-13</v>
      </c>
      <c r="F242" s="5">
        <v>-11</v>
      </c>
      <c r="G242" s="5">
        <v>-19</v>
      </c>
      <c r="H242" s="5">
        <v>-12</v>
      </c>
      <c r="I242" s="5">
        <v>-6</v>
      </c>
      <c r="J242" s="5">
        <v>-1</v>
      </c>
      <c r="K242" s="5">
        <v>1</v>
      </c>
      <c r="L242" s="5">
        <v>18</v>
      </c>
      <c r="M242" s="5">
        <v>4</v>
      </c>
      <c r="N242" s="5">
        <v>-21</v>
      </c>
      <c r="O242" s="5">
        <v>0</v>
      </c>
      <c r="P242" s="5">
        <v>-3</v>
      </c>
      <c r="Q242" s="5">
        <v>-6</v>
      </c>
      <c r="R242" s="5">
        <v>-16</v>
      </c>
      <c r="S242" s="5">
        <v>17</v>
      </c>
      <c r="T242" s="5">
        <v>1</v>
      </c>
      <c r="U242" s="5">
        <v>18</v>
      </c>
      <c r="V242" s="5">
        <v>36</v>
      </c>
      <c r="W242" s="5">
        <v>-25</v>
      </c>
      <c r="X242" s="5">
        <v>-10</v>
      </c>
      <c r="Y242" s="5">
        <v>-2</v>
      </c>
      <c r="Z242" s="5">
        <v>35</v>
      </c>
      <c r="AA242" s="5">
        <v>5</v>
      </c>
      <c r="AB242" s="5">
        <v>-17</v>
      </c>
      <c r="AC242" s="5">
        <v>-57</v>
      </c>
      <c r="AD242" s="5">
        <v>27</v>
      </c>
      <c r="AE242" s="5">
        <v>-20</v>
      </c>
      <c r="AF242" s="5">
        <v>27</v>
      </c>
      <c r="AG242" s="5">
        <v>20</v>
      </c>
      <c r="AH242" s="5">
        <v>-3</v>
      </c>
      <c r="AI242" s="5">
        <v>-4</v>
      </c>
      <c r="AJ242" s="5">
        <v>-26</v>
      </c>
      <c r="AK242" s="5">
        <v>-46</v>
      </c>
      <c r="AL242" s="6">
        <v>-4</v>
      </c>
    </row>
    <row r="243" spans="1:38">
      <c r="A243" s="4">
        <v>2</v>
      </c>
      <c r="B243" s="5">
        <v>-5</v>
      </c>
      <c r="C243" s="5">
        <v>3</v>
      </c>
      <c r="D243" s="5">
        <v>-1</v>
      </c>
      <c r="E243" s="5">
        <v>0</v>
      </c>
      <c r="F243" s="5">
        <v>32</v>
      </c>
      <c r="G243" s="5">
        <v>-1</v>
      </c>
      <c r="H243" s="5">
        <v>25</v>
      </c>
      <c r="I243" s="5">
        <v>3</v>
      </c>
      <c r="J243" s="5">
        <v>-19</v>
      </c>
      <c r="K243" s="5">
        <v>-33</v>
      </c>
      <c r="L243" s="5">
        <v>-12</v>
      </c>
      <c r="M243" s="5">
        <v>7</v>
      </c>
      <c r="N243" s="5">
        <v>-5</v>
      </c>
      <c r="O243" s="5">
        <v>-21</v>
      </c>
      <c r="P243" s="5">
        <v>-27</v>
      </c>
      <c r="Q243" s="5">
        <v>16</v>
      </c>
      <c r="R243" s="5">
        <v>5</v>
      </c>
      <c r="S243" s="5">
        <v>-31</v>
      </c>
      <c r="T243" s="5">
        <v>-17</v>
      </c>
      <c r="U243" s="5">
        <v>-22</v>
      </c>
      <c r="V243" s="5">
        <v>-12</v>
      </c>
      <c r="W243" s="5">
        <v>18</v>
      </c>
      <c r="X243" s="5">
        <v>-13</v>
      </c>
      <c r="Y243" s="5">
        <v>4</v>
      </c>
      <c r="Z243" s="5">
        <v>-6</v>
      </c>
      <c r="AA243" s="5">
        <v>23</v>
      </c>
      <c r="AB243" s="5">
        <v>-42</v>
      </c>
      <c r="AC243" s="5">
        <v>20</v>
      </c>
      <c r="AD243" s="5">
        <v>-9</v>
      </c>
      <c r="AE243" s="5">
        <v>-8</v>
      </c>
      <c r="AF243" s="5">
        <v>0</v>
      </c>
      <c r="AG243" s="5">
        <v>-3</v>
      </c>
      <c r="AH243" s="5">
        <v>3</v>
      </c>
      <c r="AI243" s="5">
        <v>8</v>
      </c>
      <c r="AJ243" s="5">
        <v>-26</v>
      </c>
      <c r="AK243" s="5">
        <v>-24</v>
      </c>
      <c r="AL243" s="6">
        <v>1</v>
      </c>
    </row>
    <row r="244" spans="1:38">
      <c r="A244" s="4">
        <v>29</v>
      </c>
      <c r="B244" s="5">
        <v>12</v>
      </c>
      <c r="C244" s="5">
        <v>5</v>
      </c>
      <c r="D244" s="5">
        <v>-17</v>
      </c>
      <c r="E244" s="5">
        <v>41</v>
      </c>
      <c r="F244" s="5">
        <v>-26</v>
      </c>
      <c r="G244" s="5">
        <v>35</v>
      </c>
      <c r="H244" s="5">
        <v>-17</v>
      </c>
      <c r="I244" s="5">
        <v>-2</v>
      </c>
      <c r="J244" s="5">
        <v>33</v>
      </c>
      <c r="K244" s="5">
        <v>12</v>
      </c>
      <c r="L244" s="5">
        <v>14</v>
      </c>
      <c r="M244" s="5">
        <v>15</v>
      </c>
      <c r="N244" s="5">
        <v>17</v>
      </c>
      <c r="O244" s="5">
        <v>49</v>
      </c>
      <c r="P244" s="5">
        <v>33</v>
      </c>
      <c r="Q244" s="5">
        <v>-6</v>
      </c>
      <c r="R244" s="5">
        <v>22</v>
      </c>
      <c r="S244" s="5">
        <v>-4</v>
      </c>
      <c r="T244" s="5">
        <v>-18</v>
      </c>
      <c r="U244" s="5">
        <v>-26</v>
      </c>
      <c r="V244" s="5">
        <v>8</v>
      </c>
      <c r="W244" s="5">
        <v>-1</v>
      </c>
      <c r="X244" s="5">
        <v>14</v>
      </c>
      <c r="Y244" s="5">
        <v>1</v>
      </c>
      <c r="Z244" s="5">
        <v>29</v>
      </c>
      <c r="AA244" s="5">
        <v>-10</v>
      </c>
      <c r="AB244" s="5">
        <v>-14</v>
      </c>
      <c r="AC244" s="5">
        <v>-8</v>
      </c>
      <c r="AD244" s="5">
        <v>33</v>
      </c>
      <c r="AE244" s="5">
        <v>-9</v>
      </c>
      <c r="AF244" s="5">
        <v>28</v>
      </c>
      <c r="AG244" s="5">
        <v>12</v>
      </c>
      <c r="AH244" s="5">
        <v>31</v>
      </c>
      <c r="AI244" s="5">
        <v>2</v>
      </c>
      <c r="AJ244" s="5">
        <v>-33</v>
      </c>
      <c r="AK244" s="5">
        <v>36</v>
      </c>
      <c r="AL244" s="6">
        <v>-1</v>
      </c>
    </row>
    <row r="245" spans="1:38">
      <c r="A245" s="4">
        <v>-17</v>
      </c>
      <c r="B245" s="5">
        <v>-60</v>
      </c>
      <c r="C245" s="5">
        <v>11</v>
      </c>
      <c r="D245" s="5">
        <v>7</v>
      </c>
      <c r="E245" s="5">
        <v>-10</v>
      </c>
      <c r="F245" s="5">
        <v>-20</v>
      </c>
      <c r="G245" s="5">
        <v>-36</v>
      </c>
      <c r="H245" s="5">
        <v>35</v>
      </c>
      <c r="I245" s="5">
        <v>-62</v>
      </c>
      <c r="J245" s="5">
        <v>18</v>
      </c>
      <c r="K245" s="5">
        <v>-2</v>
      </c>
      <c r="L245" s="5">
        <v>-51</v>
      </c>
      <c r="M245" s="5">
        <v>-10</v>
      </c>
      <c r="N245" s="5">
        <v>7</v>
      </c>
      <c r="O245" s="5">
        <v>14</v>
      </c>
      <c r="P245" s="5">
        <v>21</v>
      </c>
      <c r="Q245" s="5">
        <v>46</v>
      </c>
      <c r="R245" s="5">
        <v>-7</v>
      </c>
      <c r="S245" s="5">
        <v>-6</v>
      </c>
      <c r="T245" s="5">
        <v>4</v>
      </c>
      <c r="U245" s="5">
        <v>-24</v>
      </c>
      <c r="V245" s="5">
        <v>-19</v>
      </c>
      <c r="W245" s="5">
        <v>25</v>
      </c>
      <c r="X245" s="5">
        <v>30</v>
      </c>
      <c r="Y245" s="5">
        <v>-1</v>
      </c>
      <c r="Z245" s="5">
        <v>2</v>
      </c>
      <c r="AA245" s="5">
        <v>11</v>
      </c>
      <c r="AB245" s="5">
        <v>7</v>
      </c>
      <c r="AC245" s="5">
        <v>-12</v>
      </c>
      <c r="AD245" s="5">
        <v>6</v>
      </c>
      <c r="AE245" s="5">
        <v>-30</v>
      </c>
      <c r="AF245" s="5">
        <v>36</v>
      </c>
      <c r="AG245" s="5">
        <v>20</v>
      </c>
      <c r="AH245" s="5">
        <v>12</v>
      </c>
      <c r="AI245" s="5">
        <v>-10</v>
      </c>
      <c r="AJ245" s="5">
        <v>-8</v>
      </c>
      <c r="AK245" s="5">
        <v>30</v>
      </c>
      <c r="AL245" s="6">
        <v>-20</v>
      </c>
    </row>
    <row r="246" spans="1:38">
      <c r="A246" s="4">
        <v>0</v>
      </c>
      <c r="B246" s="5">
        <v>2</v>
      </c>
      <c r="C246" s="5">
        <v>27</v>
      </c>
      <c r="D246" s="5">
        <v>-4</v>
      </c>
      <c r="E246" s="5">
        <v>-2</v>
      </c>
      <c r="F246" s="5">
        <v>15</v>
      </c>
      <c r="G246" s="5">
        <v>-16</v>
      </c>
      <c r="H246" s="5">
        <v>18</v>
      </c>
      <c r="I246" s="5">
        <v>23</v>
      </c>
      <c r="J246" s="5">
        <v>-9</v>
      </c>
      <c r="K246" s="5">
        <v>-26</v>
      </c>
      <c r="L246" s="5">
        <v>0</v>
      </c>
      <c r="M246" s="5">
        <v>13</v>
      </c>
      <c r="N246" s="5">
        <v>2</v>
      </c>
      <c r="O246" s="5">
        <v>21</v>
      </c>
      <c r="P246" s="5">
        <v>19</v>
      </c>
      <c r="Q246" s="5">
        <v>-15</v>
      </c>
      <c r="R246" s="5">
        <v>-13</v>
      </c>
      <c r="S246" s="5">
        <v>-4</v>
      </c>
      <c r="T246" s="5">
        <v>-23</v>
      </c>
      <c r="U246" s="5">
        <v>26</v>
      </c>
      <c r="V246" s="5">
        <v>-17</v>
      </c>
      <c r="W246" s="5">
        <v>-6</v>
      </c>
      <c r="X246" s="5">
        <v>6</v>
      </c>
      <c r="Y246" s="5">
        <v>-5</v>
      </c>
      <c r="Z246" s="5">
        <v>-11</v>
      </c>
      <c r="AA246" s="5">
        <v>-3</v>
      </c>
      <c r="AB246" s="5">
        <v>9</v>
      </c>
      <c r="AC246" s="5">
        <v>13</v>
      </c>
      <c r="AD246" s="5">
        <v>-16</v>
      </c>
      <c r="AE246" s="5">
        <v>-9</v>
      </c>
      <c r="AF246" s="5">
        <v>29</v>
      </c>
      <c r="AG246" s="5">
        <v>13</v>
      </c>
      <c r="AH246" s="5">
        <v>13</v>
      </c>
      <c r="AI246" s="5">
        <v>-10</v>
      </c>
      <c r="AJ246" s="5">
        <v>18</v>
      </c>
      <c r="AK246" s="5">
        <v>-15</v>
      </c>
      <c r="AL246" s="6">
        <v>5</v>
      </c>
    </row>
    <row r="247" spans="1:38">
      <c r="A247" s="4">
        <v>13</v>
      </c>
      <c r="B247" s="5">
        <v>24</v>
      </c>
      <c r="C247" s="5">
        <v>24</v>
      </c>
      <c r="D247" s="5">
        <v>-11</v>
      </c>
      <c r="E247" s="5">
        <v>-14</v>
      </c>
      <c r="F247" s="5">
        <v>-4</v>
      </c>
      <c r="G247" s="5">
        <v>-5</v>
      </c>
      <c r="H247" s="5">
        <v>31</v>
      </c>
      <c r="I247" s="5">
        <v>19</v>
      </c>
      <c r="J247" s="5">
        <v>-11</v>
      </c>
      <c r="K247" s="5">
        <v>20</v>
      </c>
      <c r="L247" s="5">
        <v>6</v>
      </c>
      <c r="M247" s="5">
        <v>44</v>
      </c>
      <c r="N247" s="5">
        <v>-11</v>
      </c>
      <c r="O247" s="5">
        <v>1</v>
      </c>
      <c r="P247" s="5">
        <v>-2</v>
      </c>
      <c r="Q247" s="5">
        <v>0</v>
      </c>
      <c r="R247" s="5">
        <v>-4</v>
      </c>
      <c r="S247" s="5">
        <v>-8</v>
      </c>
      <c r="T247" s="5">
        <v>31</v>
      </c>
      <c r="U247" s="5">
        <v>18</v>
      </c>
      <c r="V247" s="5">
        <v>-30</v>
      </c>
      <c r="W247" s="5">
        <v>-9</v>
      </c>
      <c r="X247" s="5">
        <v>-5</v>
      </c>
      <c r="Y247" s="5">
        <v>14</v>
      </c>
      <c r="Z247" s="5">
        <v>25</v>
      </c>
      <c r="AA247" s="5">
        <v>5</v>
      </c>
      <c r="AB247" s="5">
        <v>8</v>
      </c>
      <c r="AC247" s="5">
        <v>18</v>
      </c>
      <c r="AD247" s="5">
        <v>-4</v>
      </c>
      <c r="AE247" s="5">
        <v>-6</v>
      </c>
      <c r="AF247" s="5">
        <v>6</v>
      </c>
      <c r="AG247" s="5">
        <v>11</v>
      </c>
      <c r="AH247" s="5">
        <v>-17</v>
      </c>
      <c r="AI247" s="5">
        <v>15</v>
      </c>
      <c r="AJ247" s="5">
        <v>19</v>
      </c>
      <c r="AK247" s="5">
        <v>16</v>
      </c>
      <c r="AL247" s="6">
        <v>-14</v>
      </c>
    </row>
    <row r="248" spans="1:38">
      <c r="A248" s="4">
        <v>2</v>
      </c>
      <c r="B248" s="5">
        <v>3</v>
      </c>
      <c r="C248" s="5">
        <v>17</v>
      </c>
      <c r="D248" s="5">
        <v>-8</v>
      </c>
      <c r="E248" s="5">
        <v>-10</v>
      </c>
      <c r="F248" s="5">
        <v>5</v>
      </c>
      <c r="G248" s="5">
        <v>-5</v>
      </c>
      <c r="H248" s="5">
        <v>8</v>
      </c>
      <c r="I248" s="5">
        <v>-19</v>
      </c>
      <c r="J248" s="5">
        <v>4</v>
      </c>
      <c r="K248" s="5">
        <v>26</v>
      </c>
      <c r="L248" s="5">
        <v>-8</v>
      </c>
      <c r="M248" s="5">
        <v>8</v>
      </c>
      <c r="N248" s="5">
        <v>-15</v>
      </c>
      <c r="O248" s="5">
        <v>-20</v>
      </c>
      <c r="P248" s="5">
        <v>-10</v>
      </c>
      <c r="Q248" s="5">
        <v>-5</v>
      </c>
      <c r="R248" s="5">
        <v>-14</v>
      </c>
      <c r="S248" s="5">
        <v>10</v>
      </c>
      <c r="T248" s="5">
        <v>-6</v>
      </c>
      <c r="U248" s="5">
        <v>-12</v>
      </c>
      <c r="V248" s="5">
        <v>5</v>
      </c>
      <c r="W248" s="5">
        <v>-5</v>
      </c>
      <c r="X248" s="5">
        <v>6</v>
      </c>
      <c r="Y248" s="5">
        <v>-9</v>
      </c>
      <c r="Z248" s="5">
        <v>12</v>
      </c>
      <c r="AA248" s="5">
        <v>7</v>
      </c>
      <c r="AB248" s="5">
        <v>6</v>
      </c>
      <c r="AC248" s="5">
        <v>-6</v>
      </c>
      <c r="AD248" s="5">
        <v>-11</v>
      </c>
      <c r="AE248" s="5">
        <v>2</v>
      </c>
      <c r="AF248" s="5">
        <v>24</v>
      </c>
      <c r="AG248" s="5">
        <v>-9</v>
      </c>
      <c r="AH248" s="5">
        <v>-9</v>
      </c>
      <c r="AI248" s="5">
        <v>7</v>
      </c>
      <c r="AJ248" s="5">
        <v>8</v>
      </c>
      <c r="AK248" s="5">
        <v>-27</v>
      </c>
      <c r="AL248" s="6">
        <v>6</v>
      </c>
    </row>
    <row r="249" spans="1:38">
      <c r="A249" s="4">
        <v>20</v>
      </c>
      <c r="B249" s="5">
        <v>-36</v>
      </c>
      <c r="C249" s="5">
        <v>1</v>
      </c>
      <c r="D249" s="5">
        <v>-37</v>
      </c>
      <c r="E249" s="5">
        <v>-13</v>
      </c>
      <c r="F249" s="5">
        <v>-14</v>
      </c>
      <c r="G249" s="5">
        <v>40</v>
      </c>
      <c r="H249" s="5">
        <v>-11</v>
      </c>
      <c r="I249" s="5">
        <v>15</v>
      </c>
      <c r="J249" s="5">
        <v>17</v>
      </c>
      <c r="K249" s="5">
        <v>25</v>
      </c>
      <c r="L249" s="5">
        <v>-8</v>
      </c>
      <c r="M249" s="5">
        <v>-10</v>
      </c>
      <c r="N249" s="5">
        <v>-28</v>
      </c>
      <c r="O249" s="5">
        <v>-37</v>
      </c>
      <c r="P249" s="5">
        <v>-1</v>
      </c>
      <c r="Q249" s="5">
        <v>13</v>
      </c>
      <c r="R249" s="5">
        <v>-19</v>
      </c>
      <c r="S249" s="5">
        <v>-3</v>
      </c>
      <c r="T249" s="5">
        <v>-71</v>
      </c>
      <c r="U249" s="5">
        <v>26</v>
      </c>
      <c r="V249" s="5">
        <v>-9</v>
      </c>
      <c r="W249" s="5">
        <v>3</v>
      </c>
      <c r="X249" s="5">
        <v>34</v>
      </c>
      <c r="Y249" s="5">
        <v>10</v>
      </c>
      <c r="Z249" s="5">
        <v>-19</v>
      </c>
      <c r="AA249" s="5">
        <v>-26</v>
      </c>
      <c r="AB249" s="5">
        <v>25</v>
      </c>
      <c r="AC249" s="5">
        <v>-13</v>
      </c>
      <c r="AD249" s="5">
        <v>-17</v>
      </c>
      <c r="AE249" s="5">
        <v>43</v>
      </c>
      <c r="AF249" s="5">
        <v>27</v>
      </c>
      <c r="AG249" s="5">
        <v>-2</v>
      </c>
      <c r="AH249" s="5">
        <v>-11</v>
      </c>
      <c r="AI249" s="5">
        <v>-47</v>
      </c>
      <c r="AJ249" s="5">
        <v>-3</v>
      </c>
      <c r="AK249" s="5">
        <v>-19</v>
      </c>
      <c r="AL249" s="6">
        <v>63</v>
      </c>
    </row>
    <row r="250" spans="1:38">
      <c r="A250" s="4">
        <v>20</v>
      </c>
      <c r="B250" s="5">
        <v>-11</v>
      </c>
      <c r="C250" s="5">
        <v>-17</v>
      </c>
      <c r="D250" s="5">
        <v>-43</v>
      </c>
      <c r="E250" s="5">
        <v>-2</v>
      </c>
      <c r="F250" s="5">
        <v>-27</v>
      </c>
      <c r="G250" s="5">
        <v>6</v>
      </c>
      <c r="H250" s="5">
        <v>1</v>
      </c>
      <c r="I250" s="5">
        <v>32</v>
      </c>
      <c r="J250" s="5">
        <v>11</v>
      </c>
      <c r="K250" s="5">
        <v>12</v>
      </c>
      <c r="L250" s="5">
        <v>5</v>
      </c>
      <c r="M250" s="5">
        <v>15</v>
      </c>
      <c r="N250" s="5">
        <v>-2</v>
      </c>
      <c r="O250" s="5">
        <v>50</v>
      </c>
      <c r="P250" s="5">
        <v>-18</v>
      </c>
      <c r="Q250" s="5">
        <v>-24</v>
      </c>
      <c r="R250" s="5">
        <v>14</v>
      </c>
      <c r="S250" s="5">
        <v>-25</v>
      </c>
      <c r="T250" s="5">
        <v>-42</v>
      </c>
      <c r="U250" s="5">
        <v>-20</v>
      </c>
      <c r="V250" s="5">
        <v>-7</v>
      </c>
      <c r="W250" s="5">
        <v>26</v>
      </c>
      <c r="X250" s="5">
        <v>2</v>
      </c>
      <c r="Y250" s="5">
        <v>-50</v>
      </c>
      <c r="Z250" s="5">
        <v>32</v>
      </c>
      <c r="AA250" s="5">
        <v>-20</v>
      </c>
      <c r="AB250" s="5">
        <v>27</v>
      </c>
      <c r="AC250" s="5">
        <v>-10</v>
      </c>
      <c r="AD250" s="5">
        <v>9</v>
      </c>
      <c r="AE250" s="5">
        <v>0</v>
      </c>
      <c r="AF250" s="5">
        <v>-10</v>
      </c>
      <c r="AG250" s="5">
        <v>-19</v>
      </c>
      <c r="AH250" s="5">
        <v>0</v>
      </c>
      <c r="AI250" s="5">
        <v>1</v>
      </c>
      <c r="AJ250" s="5">
        <v>-7</v>
      </c>
      <c r="AK250" s="5">
        <v>12</v>
      </c>
      <c r="AL250" s="6">
        <v>-25</v>
      </c>
    </row>
    <row r="251" spans="1:38">
      <c r="A251" s="4">
        <v>47</v>
      </c>
      <c r="B251" s="5">
        <v>-2</v>
      </c>
      <c r="C251" s="5">
        <v>0</v>
      </c>
      <c r="D251" s="5">
        <v>-28</v>
      </c>
      <c r="E251" s="5">
        <v>12</v>
      </c>
      <c r="F251" s="5">
        <v>-27</v>
      </c>
      <c r="G251" s="5">
        <v>-12</v>
      </c>
      <c r="H251" s="5">
        <v>-34</v>
      </c>
      <c r="I251" s="5">
        <v>23</v>
      </c>
      <c r="J251" s="5">
        <v>48</v>
      </c>
      <c r="K251" s="5">
        <v>-4</v>
      </c>
      <c r="L251" s="5">
        <v>-35</v>
      </c>
      <c r="M251" s="5">
        <v>-14</v>
      </c>
      <c r="N251" s="5">
        <v>10</v>
      </c>
      <c r="O251" s="5">
        <v>-12</v>
      </c>
      <c r="P251" s="5">
        <v>25</v>
      </c>
      <c r="Q251" s="5">
        <v>28</v>
      </c>
      <c r="R251" s="5">
        <v>54</v>
      </c>
      <c r="S251" s="5">
        <v>3</v>
      </c>
      <c r="T251" s="5">
        <v>-31</v>
      </c>
      <c r="U251" s="5">
        <v>7</v>
      </c>
      <c r="V251" s="5">
        <v>-58</v>
      </c>
      <c r="W251" s="5">
        <v>8</v>
      </c>
      <c r="X251" s="5">
        <v>-3</v>
      </c>
      <c r="Y251" s="5">
        <v>3</v>
      </c>
      <c r="Z251" s="5">
        <v>29</v>
      </c>
      <c r="AA251" s="5">
        <v>-50</v>
      </c>
      <c r="AB251" s="5">
        <v>-40</v>
      </c>
      <c r="AC251" s="5">
        <v>-45</v>
      </c>
      <c r="AD251" s="5">
        <v>46</v>
      </c>
      <c r="AE251" s="5">
        <v>35</v>
      </c>
      <c r="AF251" s="5">
        <v>-12</v>
      </c>
      <c r="AG251" s="5">
        <v>-68</v>
      </c>
      <c r="AH251" s="5">
        <v>-13</v>
      </c>
      <c r="AI251" s="5">
        <v>3</v>
      </c>
      <c r="AJ251" s="5">
        <v>28</v>
      </c>
      <c r="AK251" s="5">
        <v>2</v>
      </c>
      <c r="AL251" s="6">
        <v>-39</v>
      </c>
    </row>
    <row r="252" spans="1:38">
      <c r="A252" s="4">
        <v>19</v>
      </c>
      <c r="B252" s="5">
        <v>7</v>
      </c>
      <c r="C252" s="5">
        <v>20</v>
      </c>
      <c r="D252" s="5">
        <v>-4</v>
      </c>
      <c r="E252" s="5">
        <v>-1</v>
      </c>
      <c r="F252" s="5">
        <v>3</v>
      </c>
      <c r="G252" s="5">
        <v>-19</v>
      </c>
      <c r="H252" s="5">
        <v>13</v>
      </c>
      <c r="I252" s="5">
        <v>4</v>
      </c>
      <c r="J252" s="5">
        <v>9</v>
      </c>
      <c r="K252" s="5">
        <v>-16</v>
      </c>
      <c r="L252" s="5">
        <v>-19</v>
      </c>
      <c r="M252" s="5">
        <v>-25</v>
      </c>
      <c r="N252" s="5">
        <v>-2</v>
      </c>
      <c r="O252" s="5">
        <v>-32</v>
      </c>
      <c r="P252" s="5">
        <v>7</v>
      </c>
      <c r="Q252" s="5">
        <v>44</v>
      </c>
      <c r="R252" s="5">
        <v>12</v>
      </c>
      <c r="S252" s="5">
        <v>-9</v>
      </c>
      <c r="T252" s="5">
        <v>-8</v>
      </c>
      <c r="U252" s="5">
        <v>-7</v>
      </c>
      <c r="V252" s="5">
        <v>-28</v>
      </c>
      <c r="W252" s="5">
        <v>-18</v>
      </c>
      <c r="X252" s="5">
        <v>-46</v>
      </c>
      <c r="Y252" s="5">
        <v>35</v>
      </c>
      <c r="Z252" s="5">
        <v>8</v>
      </c>
      <c r="AA252" s="5">
        <v>-37</v>
      </c>
      <c r="AB252" s="5">
        <v>-42</v>
      </c>
      <c r="AC252" s="5">
        <v>-7</v>
      </c>
      <c r="AD252" s="5">
        <v>21</v>
      </c>
      <c r="AE252" s="5">
        <v>20</v>
      </c>
      <c r="AF252" s="5">
        <v>0</v>
      </c>
      <c r="AG252" s="5">
        <v>-18</v>
      </c>
      <c r="AH252" s="5">
        <v>-45</v>
      </c>
      <c r="AI252" s="5">
        <v>-14</v>
      </c>
      <c r="AJ252" s="5">
        <v>29</v>
      </c>
      <c r="AK252" s="5">
        <v>14</v>
      </c>
      <c r="AL252" s="6">
        <v>-30</v>
      </c>
    </row>
    <row r="253" spans="1:38">
      <c r="A253" s="4">
        <v>-5</v>
      </c>
      <c r="B253" s="5">
        <v>5</v>
      </c>
      <c r="C253" s="5">
        <v>2</v>
      </c>
      <c r="D253" s="5">
        <v>-8</v>
      </c>
      <c r="E253" s="5">
        <v>-8</v>
      </c>
      <c r="F253" s="5">
        <v>1</v>
      </c>
      <c r="G253" s="5">
        <v>-18</v>
      </c>
      <c r="H253" s="5">
        <v>44</v>
      </c>
      <c r="I253" s="5">
        <v>3</v>
      </c>
      <c r="J253" s="5">
        <v>-12</v>
      </c>
      <c r="K253" s="5">
        <v>-18</v>
      </c>
      <c r="L253" s="5">
        <v>0</v>
      </c>
      <c r="M253" s="5">
        <v>-10</v>
      </c>
      <c r="N253" s="5">
        <v>-2</v>
      </c>
      <c r="O253" s="5">
        <v>16</v>
      </c>
      <c r="P253" s="5">
        <v>-20</v>
      </c>
      <c r="Q253" s="5">
        <v>42</v>
      </c>
      <c r="R253" s="5">
        <v>-6</v>
      </c>
      <c r="S253" s="5">
        <v>-33</v>
      </c>
      <c r="T253" s="5">
        <v>5</v>
      </c>
      <c r="U253" s="5">
        <v>-8</v>
      </c>
      <c r="V253" s="5">
        <v>0</v>
      </c>
      <c r="W253" s="5">
        <v>-41</v>
      </c>
      <c r="X253" s="5">
        <v>-60</v>
      </c>
      <c r="Y253" s="5">
        <v>24</v>
      </c>
      <c r="Z253" s="5">
        <v>17</v>
      </c>
      <c r="AA253" s="5">
        <v>-22</v>
      </c>
      <c r="AB253" s="5">
        <v>3</v>
      </c>
      <c r="AC253" s="5">
        <v>25</v>
      </c>
      <c r="AD253" s="5">
        <v>16</v>
      </c>
      <c r="AE253" s="5">
        <v>-10</v>
      </c>
      <c r="AF253" s="5">
        <v>-17</v>
      </c>
      <c r="AG253" s="5">
        <v>12</v>
      </c>
      <c r="AH253" s="5">
        <v>-39</v>
      </c>
      <c r="AI253" s="5">
        <v>-12</v>
      </c>
      <c r="AJ253" s="5">
        <v>-4</v>
      </c>
      <c r="AK253" s="5">
        <v>-6</v>
      </c>
      <c r="AL253" s="6">
        <v>1</v>
      </c>
    </row>
    <row r="254" spans="1:38">
      <c r="A254" s="4">
        <v>16</v>
      </c>
      <c r="B254" s="5">
        <v>-1</v>
      </c>
      <c r="C254" s="5">
        <v>19</v>
      </c>
      <c r="D254" s="5">
        <v>-26</v>
      </c>
      <c r="E254" s="5">
        <v>-23</v>
      </c>
      <c r="F254" s="5">
        <v>75</v>
      </c>
      <c r="G254" s="5">
        <v>-27</v>
      </c>
      <c r="H254" s="5">
        <v>49</v>
      </c>
      <c r="I254" s="5">
        <v>2</v>
      </c>
      <c r="J254" s="5">
        <v>-35</v>
      </c>
      <c r="K254" s="5">
        <v>-32</v>
      </c>
      <c r="L254" s="5">
        <v>-11</v>
      </c>
      <c r="M254" s="5">
        <v>0</v>
      </c>
      <c r="N254" s="5">
        <v>-26</v>
      </c>
      <c r="O254" s="5">
        <v>-35</v>
      </c>
      <c r="P254" s="5">
        <v>-51</v>
      </c>
      <c r="Q254" s="5">
        <v>46</v>
      </c>
      <c r="R254" s="5">
        <v>-26</v>
      </c>
      <c r="S254" s="5">
        <v>-22</v>
      </c>
      <c r="T254" s="5">
        <v>-16</v>
      </c>
      <c r="U254" s="5">
        <v>-28</v>
      </c>
      <c r="V254" s="5">
        <v>-1</v>
      </c>
      <c r="W254" s="5">
        <v>20</v>
      </c>
      <c r="X254" s="5">
        <v>-57</v>
      </c>
      <c r="Y254" s="5">
        <v>16</v>
      </c>
      <c r="Z254" s="5">
        <v>2</v>
      </c>
      <c r="AA254" s="5">
        <v>29</v>
      </c>
      <c r="AB254" s="5">
        <v>-37</v>
      </c>
      <c r="AC254" s="5">
        <v>4</v>
      </c>
      <c r="AD254" s="5">
        <v>21</v>
      </c>
      <c r="AE254" s="5">
        <v>-16</v>
      </c>
      <c r="AF254" s="5">
        <v>6</v>
      </c>
      <c r="AG254" s="5">
        <v>-11</v>
      </c>
      <c r="AH254" s="5">
        <v>-28</v>
      </c>
      <c r="AI254" s="5">
        <v>-7</v>
      </c>
      <c r="AJ254" s="5">
        <v>1</v>
      </c>
      <c r="AK254" s="5">
        <v>-42</v>
      </c>
      <c r="AL254" s="6">
        <v>72</v>
      </c>
    </row>
    <row r="255" spans="1:38">
      <c r="A255" s="4">
        <v>23</v>
      </c>
      <c r="B255" s="5">
        <v>-6</v>
      </c>
      <c r="C255" s="5">
        <v>-9</v>
      </c>
      <c r="D255" s="5">
        <v>-34</v>
      </c>
      <c r="E255" s="5">
        <v>26</v>
      </c>
      <c r="F255" s="5">
        <v>-51</v>
      </c>
      <c r="G255" s="5">
        <v>44</v>
      </c>
      <c r="H255" s="5">
        <v>-27</v>
      </c>
      <c r="I255" s="5">
        <v>12</v>
      </c>
      <c r="J255" s="5">
        <v>37</v>
      </c>
      <c r="K255" s="5">
        <v>22</v>
      </c>
      <c r="L255" s="5">
        <v>6</v>
      </c>
      <c r="M255" s="5">
        <v>17</v>
      </c>
      <c r="N255" s="5">
        <v>12</v>
      </c>
      <c r="O255" s="5">
        <v>43</v>
      </c>
      <c r="P255" s="5">
        <v>40</v>
      </c>
      <c r="Q255" s="5">
        <v>-32</v>
      </c>
      <c r="R255" s="5">
        <v>21</v>
      </c>
      <c r="S255" s="5">
        <v>-4</v>
      </c>
      <c r="T255" s="5">
        <v>-26</v>
      </c>
      <c r="U255" s="5">
        <v>-28</v>
      </c>
      <c r="V255" s="5">
        <v>-29</v>
      </c>
      <c r="W255" s="5">
        <v>-37</v>
      </c>
      <c r="X255" s="5">
        <v>25</v>
      </c>
      <c r="Y255" s="5">
        <v>-28</v>
      </c>
      <c r="Z255" s="5">
        <v>28</v>
      </c>
      <c r="AA255" s="5">
        <v>-8</v>
      </c>
      <c r="AB255" s="5">
        <v>3</v>
      </c>
      <c r="AC255" s="5">
        <v>1</v>
      </c>
      <c r="AD255" s="5">
        <v>20</v>
      </c>
      <c r="AE255" s="5">
        <v>-7</v>
      </c>
      <c r="AF255" s="5">
        <v>-7</v>
      </c>
      <c r="AG255" s="5">
        <v>-18</v>
      </c>
      <c r="AH255" s="5">
        <v>27</v>
      </c>
      <c r="AI255" s="5">
        <v>31</v>
      </c>
      <c r="AJ255" s="5">
        <v>-38</v>
      </c>
      <c r="AK255" s="5">
        <v>-9</v>
      </c>
      <c r="AL255" s="6">
        <v>-32</v>
      </c>
    </row>
    <row r="256" spans="1:38">
      <c r="A256" s="4">
        <v>-3</v>
      </c>
      <c r="B256" s="5">
        <v>8</v>
      </c>
      <c r="C256" s="5">
        <v>40</v>
      </c>
      <c r="D256" s="5">
        <v>-14</v>
      </c>
      <c r="E256" s="5">
        <v>-19</v>
      </c>
      <c r="F256" s="5">
        <v>76</v>
      </c>
      <c r="G256" s="5">
        <v>4</v>
      </c>
      <c r="H256" s="5">
        <v>24</v>
      </c>
      <c r="I256" s="5">
        <v>29</v>
      </c>
      <c r="J256" s="5">
        <v>6</v>
      </c>
      <c r="K256" s="5">
        <v>-11</v>
      </c>
      <c r="L256" s="5">
        <v>6</v>
      </c>
      <c r="M256" s="5">
        <v>19</v>
      </c>
      <c r="N256" s="5">
        <v>-26</v>
      </c>
      <c r="O256" s="5">
        <v>-28</v>
      </c>
      <c r="P256" s="5">
        <v>-16</v>
      </c>
      <c r="Q256" s="5">
        <v>37</v>
      </c>
      <c r="R256" s="5">
        <v>-9</v>
      </c>
      <c r="S256" s="5">
        <v>-15</v>
      </c>
      <c r="T256" s="5">
        <v>-2</v>
      </c>
      <c r="U256" s="5">
        <v>-9</v>
      </c>
      <c r="V256" s="5">
        <v>1</v>
      </c>
      <c r="W256" s="5">
        <v>-4</v>
      </c>
      <c r="X256" s="5">
        <v>2</v>
      </c>
      <c r="Y256" s="5">
        <v>17</v>
      </c>
      <c r="Z256" s="5">
        <v>-1</v>
      </c>
      <c r="AA256" s="5">
        <v>-7</v>
      </c>
      <c r="AB256" s="5">
        <v>-26</v>
      </c>
      <c r="AC256" s="5">
        <v>-7</v>
      </c>
      <c r="AD256" s="5">
        <v>5</v>
      </c>
      <c r="AE256" s="5">
        <v>14</v>
      </c>
      <c r="AF256" s="5">
        <v>23</v>
      </c>
      <c r="AG256" s="5">
        <v>-23</v>
      </c>
      <c r="AH256" s="5">
        <v>9</v>
      </c>
      <c r="AI256" s="5">
        <v>-1</v>
      </c>
      <c r="AJ256" s="5">
        <v>-25</v>
      </c>
      <c r="AK256" s="5">
        <v>21</v>
      </c>
      <c r="AL256" s="6">
        <v>65</v>
      </c>
    </row>
    <row r="257" spans="1:38">
      <c r="A257" s="4">
        <v>11</v>
      </c>
      <c r="B257" s="5">
        <v>-9</v>
      </c>
      <c r="C257" s="5">
        <v>-6</v>
      </c>
      <c r="D257" s="5">
        <v>-33</v>
      </c>
      <c r="E257" s="5">
        <v>0</v>
      </c>
      <c r="F257" s="5">
        <v>-42</v>
      </c>
      <c r="G257" s="5">
        <v>-5</v>
      </c>
      <c r="H257" s="5">
        <v>-4</v>
      </c>
      <c r="I257" s="5">
        <v>-13</v>
      </c>
      <c r="J257" s="5">
        <v>-3</v>
      </c>
      <c r="K257" s="5">
        <v>-2</v>
      </c>
      <c r="L257" s="5">
        <v>-11</v>
      </c>
      <c r="M257" s="5">
        <v>4</v>
      </c>
      <c r="N257" s="5">
        <v>8</v>
      </c>
      <c r="O257" s="5">
        <v>35</v>
      </c>
      <c r="P257" s="5">
        <v>6</v>
      </c>
      <c r="Q257" s="5">
        <v>2</v>
      </c>
      <c r="R257" s="5">
        <v>6</v>
      </c>
      <c r="S257" s="5">
        <v>-8</v>
      </c>
      <c r="T257" s="5">
        <v>-22</v>
      </c>
      <c r="U257" s="5">
        <v>-16</v>
      </c>
      <c r="V257" s="5">
        <v>4</v>
      </c>
      <c r="W257" s="5">
        <v>-2</v>
      </c>
      <c r="X257" s="5">
        <v>-8</v>
      </c>
      <c r="Y257" s="5">
        <v>-8</v>
      </c>
      <c r="Z257" s="5">
        <v>4</v>
      </c>
      <c r="AA257" s="5">
        <v>-1</v>
      </c>
      <c r="AB257" s="5">
        <v>14</v>
      </c>
      <c r="AC257" s="5">
        <v>0</v>
      </c>
      <c r="AD257" s="5">
        <v>17</v>
      </c>
      <c r="AE257" s="5">
        <v>6</v>
      </c>
      <c r="AF257" s="5">
        <v>2</v>
      </c>
      <c r="AG257" s="5">
        <v>-19</v>
      </c>
      <c r="AH257" s="5">
        <v>-7</v>
      </c>
      <c r="AI257" s="5">
        <v>0</v>
      </c>
      <c r="AJ257" s="5">
        <v>-4</v>
      </c>
      <c r="AK257" s="5">
        <v>21</v>
      </c>
      <c r="AL257" s="6">
        <v>7</v>
      </c>
    </row>
    <row r="258" spans="1:38">
      <c r="A258" s="4">
        <v>6</v>
      </c>
      <c r="B258" s="5">
        <v>21</v>
      </c>
      <c r="C258" s="5">
        <v>25</v>
      </c>
      <c r="D258" s="5">
        <v>0</v>
      </c>
      <c r="E258" s="5">
        <v>10</v>
      </c>
      <c r="F258" s="5">
        <v>-9</v>
      </c>
      <c r="G258" s="5">
        <v>19</v>
      </c>
      <c r="H258" s="5">
        <v>5</v>
      </c>
      <c r="I258" s="5">
        <v>-2</v>
      </c>
      <c r="J258" s="5">
        <v>-8</v>
      </c>
      <c r="K258" s="5">
        <v>-19</v>
      </c>
      <c r="L258" s="5">
        <v>3</v>
      </c>
      <c r="M258" s="5">
        <v>-9</v>
      </c>
      <c r="N258" s="5">
        <v>8</v>
      </c>
      <c r="O258" s="5">
        <v>2</v>
      </c>
      <c r="P258" s="5">
        <v>-12</v>
      </c>
      <c r="Q258" s="5">
        <v>29</v>
      </c>
      <c r="R258" s="5">
        <v>30</v>
      </c>
      <c r="S258" s="5">
        <v>13</v>
      </c>
      <c r="T258" s="5">
        <v>-28</v>
      </c>
      <c r="U258" s="5">
        <v>-20</v>
      </c>
      <c r="V258" s="5">
        <v>0</v>
      </c>
      <c r="W258" s="5">
        <v>-43</v>
      </c>
      <c r="X258" s="5">
        <v>-26</v>
      </c>
      <c r="Y258" s="5">
        <v>17</v>
      </c>
      <c r="Z258" s="5">
        <v>-23</v>
      </c>
      <c r="AA258" s="5">
        <v>-18</v>
      </c>
      <c r="AB258" s="5">
        <v>24</v>
      </c>
      <c r="AC258" s="5">
        <v>-6</v>
      </c>
      <c r="AD258" s="5">
        <v>15</v>
      </c>
      <c r="AE258" s="5">
        <v>-10</v>
      </c>
      <c r="AF258" s="5">
        <v>-4</v>
      </c>
      <c r="AG258" s="5">
        <v>32</v>
      </c>
      <c r="AH258" s="5">
        <v>3</v>
      </c>
      <c r="AI258" s="5">
        <v>-10</v>
      </c>
      <c r="AJ258" s="5">
        <v>-10</v>
      </c>
      <c r="AK258" s="5">
        <v>23</v>
      </c>
      <c r="AL258" s="6">
        <v>18</v>
      </c>
    </row>
    <row r="259" spans="1:38">
      <c r="A259" s="4">
        <v>-14</v>
      </c>
      <c r="B259" s="5">
        <v>6</v>
      </c>
      <c r="C259" s="5">
        <v>3</v>
      </c>
      <c r="D259" s="5">
        <v>1</v>
      </c>
      <c r="E259" s="5">
        <v>-2</v>
      </c>
      <c r="F259" s="5">
        <v>-1</v>
      </c>
      <c r="G259" s="5">
        <v>6</v>
      </c>
      <c r="H259" s="5">
        <v>17</v>
      </c>
      <c r="I259" s="5">
        <v>17</v>
      </c>
      <c r="J259" s="5">
        <v>4</v>
      </c>
      <c r="K259" s="5">
        <v>-6</v>
      </c>
      <c r="L259" s="5">
        <v>7</v>
      </c>
      <c r="M259" s="5">
        <v>12</v>
      </c>
      <c r="N259" s="5">
        <v>-16</v>
      </c>
      <c r="O259" s="5">
        <v>-1</v>
      </c>
      <c r="P259" s="5">
        <v>40</v>
      </c>
      <c r="Q259" s="5">
        <v>-11</v>
      </c>
      <c r="R259" s="5">
        <v>-2</v>
      </c>
      <c r="S259" s="5">
        <v>-23</v>
      </c>
      <c r="T259" s="5">
        <v>-8</v>
      </c>
      <c r="U259" s="5">
        <v>-23</v>
      </c>
      <c r="V259" s="5">
        <v>30</v>
      </c>
      <c r="W259" s="5">
        <v>-8</v>
      </c>
      <c r="X259" s="5">
        <v>-28</v>
      </c>
      <c r="Y259" s="5">
        <v>13</v>
      </c>
      <c r="Z259" s="5">
        <v>-13</v>
      </c>
      <c r="AA259" s="5">
        <v>-7</v>
      </c>
      <c r="AB259" s="5">
        <v>1</v>
      </c>
      <c r="AC259" s="5">
        <v>2</v>
      </c>
      <c r="AD259" s="5">
        <v>26</v>
      </c>
      <c r="AE259" s="5">
        <v>4</v>
      </c>
      <c r="AF259" s="5">
        <v>1</v>
      </c>
      <c r="AG259" s="5">
        <v>8</v>
      </c>
      <c r="AH259" s="5">
        <v>6</v>
      </c>
      <c r="AI259" s="5">
        <v>29</v>
      </c>
      <c r="AJ259" s="5">
        <v>9</v>
      </c>
      <c r="AK259" s="5">
        <v>11</v>
      </c>
      <c r="AL259" s="6">
        <v>-7</v>
      </c>
    </row>
    <row r="260" spans="1:38">
      <c r="A260" s="4">
        <v>7</v>
      </c>
      <c r="B260" s="5">
        <v>10</v>
      </c>
      <c r="C260" s="5">
        <v>8</v>
      </c>
      <c r="D260" s="5">
        <v>-1</v>
      </c>
      <c r="E260" s="5">
        <v>-3</v>
      </c>
      <c r="F260" s="5">
        <v>-1</v>
      </c>
      <c r="G260" s="5">
        <v>-3</v>
      </c>
      <c r="H260" s="5">
        <v>1</v>
      </c>
      <c r="I260" s="5">
        <v>-4</v>
      </c>
      <c r="J260" s="5">
        <v>-2</v>
      </c>
      <c r="K260" s="5">
        <v>15</v>
      </c>
      <c r="L260" s="5">
        <v>6</v>
      </c>
      <c r="M260" s="5">
        <v>13</v>
      </c>
      <c r="N260" s="5">
        <v>-6</v>
      </c>
      <c r="O260" s="5">
        <v>4</v>
      </c>
      <c r="P260" s="5">
        <v>-15</v>
      </c>
      <c r="Q260" s="5">
        <v>9</v>
      </c>
      <c r="R260" s="5">
        <v>1</v>
      </c>
      <c r="S260" s="5">
        <v>8</v>
      </c>
      <c r="T260" s="5">
        <v>-6</v>
      </c>
      <c r="U260" s="5">
        <v>-7</v>
      </c>
      <c r="V260" s="5">
        <v>1</v>
      </c>
      <c r="W260" s="5">
        <v>-5</v>
      </c>
      <c r="X260" s="5">
        <v>-7</v>
      </c>
      <c r="Y260" s="5">
        <v>-6</v>
      </c>
      <c r="Z260" s="5">
        <v>10</v>
      </c>
      <c r="AA260" s="5">
        <v>-27</v>
      </c>
      <c r="AB260" s="5">
        <v>-7</v>
      </c>
      <c r="AC260" s="5">
        <v>2</v>
      </c>
      <c r="AD260" s="5">
        <v>-13</v>
      </c>
      <c r="AE260" s="5">
        <v>-19</v>
      </c>
      <c r="AF260" s="5">
        <v>-13</v>
      </c>
      <c r="AG260" s="5">
        <v>6</v>
      </c>
      <c r="AH260" s="5">
        <v>-3</v>
      </c>
      <c r="AI260" s="5">
        <v>-11</v>
      </c>
      <c r="AJ260" s="5">
        <v>8</v>
      </c>
      <c r="AK260" s="5">
        <v>-4</v>
      </c>
      <c r="AL260" s="6">
        <v>2</v>
      </c>
    </row>
    <row r="261" spans="1:38">
      <c r="A261" s="4">
        <v>3</v>
      </c>
      <c r="B261" s="5">
        <v>-1</v>
      </c>
      <c r="C261" s="5">
        <v>11</v>
      </c>
      <c r="D261" s="5">
        <v>0</v>
      </c>
      <c r="E261" s="5">
        <v>-1</v>
      </c>
      <c r="F261" s="5">
        <v>-5</v>
      </c>
      <c r="G261" s="5">
        <v>13</v>
      </c>
      <c r="H261" s="5">
        <v>1</v>
      </c>
      <c r="I261" s="5">
        <v>-7</v>
      </c>
      <c r="J261" s="5">
        <v>4</v>
      </c>
      <c r="K261" s="5">
        <v>7</v>
      </c>
      <c r="L261" s="5">
        <v>-16</v>
      </c>
      <c r="M261" s="5">
        <v>-7</v>
      </c>
      <c r="N261" s="5">
        <v>-2</v>
      </c>
      <c r="O261" s="5">
        <v>5</v>
      </c>
      <c r="P261" s="5">
        <v>0</v>
      </c>
      <c r="Q261" s="5">
        <v>6</v>
      </c>
      <c r="R261" s="5">
        <v>4</v>
      </c>
      <c r="S261" s="5">
        <v>0</v>
      </c>
      <c r="T261" s="5">
        <v>7</v>
      </c>
      <c r="U261" s="5">
        <v>4</v>
      </c>
      <c r="V261" s="5">
        <v>7</v>
      </c>
      <c r="W261" s="5">
        <v>-2</v>
      </c>
      <c r="X261" s="5">
        <v>-8</v>
      </c>
      <c r="Y261" s="5">
        <v>-7</v>
      </c>
      <c r="Z261" s="5">
        <v>-9</v>
      </c>
      <c r="AA261" s="5">
        <v>-16</v>
      </c>
      <c r="AB261" s="5">
        <v>-5</v>
      </c>
      <c r="AC261" s="5">
        <v>9</v>
      </c>
      <c r="AD261" s="5">
        <v>-6</v>
      </c>
      <c r="AE261" s="5">
        <v>2</v>
      </c>
      <c r="AF261" s="5">
        <v>-3</v>
      </c>
      <c r="AG261" s="5">
        <v>-7</v>
      </c>
      <c r="AH261" s="5">
        <v>1</v>
      </c>
      <c r="AI261" s="5">
        <v>-7</v>
      </c>
      <c r="AJ261" s="5">
        <v>13</v>
      </c>
      <c r="AK261" s="5">
        <v>-11</v>
      </c>
      <c r="AL261" s="6">
        <v>-16</v>
      </c>
    </row>
    <row r="262" spans="1:38">
      <c r="A262" s="4">
        <v>10</v>
      </c>
      <c r="B262" s="5">
        <v>10</v>
      </c>
      <c r="C262" s="5">
        <v>21</v>
      </c>
      <c r="D262" s="5">
        <v>-1</v>
      </c>
      <c r="E262" s="5">
        <v>-1</v>
      </c>
      <c r="F262" s="5">
        <v>26</v>
      </c>
      <c r="G262" s="5">
        <v>7</v>
      </c>
      <c r="H262" s="5">
        <v>2</v>
      </c>
      <c r="I262" s="5">
        <v>-25</v>
      </c>
      <c r="J262" s="5">
        <v>5</v>
      </c>
      <c r="K262" s="5">
        <v>9</v>
      </c>
      <c r="L262" s="5">
        <v>0</v>
      </c>
      <c r="M262" s="5">
        <v>-7</v>
      </c>
      <c r="N262" s="5">
        <v>-16</v>
      </c>
      <c r="O262" s="5">
        <v>2</v>
      </c>
      <c r="P262" s="5">
        <v>3</v>
      </c>
      <c r="Q262" s="5">
        <v>-15</v>
      </c>
      <c r="R262" s="5">
        <v>0</v>
      </c>
      <c r="S262" s="5">
        <v>-12</v>
      </c>
      <c r="T262" s="5">
        <v>12</v>
      </c>
      <c r="U262" s="5">
        <v>-2</v>
      </c>
      <c r="V262" s="5">
        <v>9</v>
      </c>
      <c r="W262" s="5">
        <v>6</v>
      </c>
      <c r="X262" s="5">
        <v>2</v>
      </c>
      <c r="Y262" s="5">
        <v>19</v>
      </c>
      <c r="Z262" s="5">
        <v>4</v>
      </c>
      <c r="AA262" s="5">
        <v>-12</v>
      </c>
      <c r="AB262" s="5">
        <v>25</v>
      </c>
      <c r="AC262" s="5">
        <v>-17</v>
      </c>
      <c r="AD262" s="5">
        <v>5</v>
      </c>
      <c r="AE262" s="5">
        <v>15</v>
      </c>
      <c r="AF262" s="5">
        <v>-7</v>
      </c>
      <c r="AG262" s="5">
        <v>1</v>
      </c>
      <c r="AH262" s="5">
        <v>-17</v>
      </c>
      <c r="AI262" s="5">
        <v>-19</v>
      </c>
      <c r="AJ262" s="5">
        <v>-10</v>
      </c>
      <c r="AK262" s="5">
        <v>5</v>
      </c>
      <c r="AL262" s="6">
        <v>-12</v>
      </c>
    </row>
    <row r="263" spans="1:38">
      <c r="A263" s="4">
        <v>5</v>
      </c>
      <c r="B263" s="5">
        <v>9</v>
      </c>
      <c r="C263" s="5">
        <v>16</v>
      </c>
      <c r="D263" s="5">
        <v>-8</v>
      </c>
      <c r="E263" s="5">
        <v>-34</v>
      </c>
      <c r="F263" s="5">
        <v>24</v>
      </c>
      <c r="G263" s="5">
        <v>10</v>
      </c>
      <c r="H263" s="5">
        <v>10</v>
      </c>
      <c r="I263" s="5">
        <v>-3</v>
      </c>
      <c r="J263" s="5">
        <v>21</v>
      </c>
      <c r="K263" s="5">
        <v>19</v>
      </c>
      <c r="L263" s="5">
        <v>-27</v>
      </c>
      <c r="M263" s="5">
        <v>7</v>
      </c>
      <c r="N263" s="5">
        <v>3</v>
      </c>
      <c r="O263" s="5">
        <v>-63</v>
      </c>
      <c r="P263" s="5">
        <v>3</v>
      </c>
      <c r="Q263" s="5">
        <v>35</v>
      </c>
      <c r="R263" s="5">
        <v>9</v>
      </c>
      <c r="S263" s="5">
        <v>16</v>
      </c>
      <c r="T263" s="5">
        <v>-60</v>
      </c>
      <c r="U263" s="5">
        <v>8</v>
      </c>
      <c r="V263" s="5">
        <v>-31</v>
      </c>
      <c r="W263" s="5">
        <v>19</v>
      </c>
      <c r="X263" s="5">
        <v>14</v>
      </c>
      <c r="Y263" s="5">
        <v>23</v>
      </c>
      <c r="Z263" s="5">
        <v>-26</v>
      </c>
      <c r="AA263" s="5">
        <v>12</v>
      </c>
      <c r="AB263" s="5">
        <v>43</v>
      </c>
      <c r="AC263" s="5">
        <v>-6</v>
      </c>
      <c r="AD263" s="5">
        <v>-30</v>
      </c>
      <c r="AE263" s="5">
        <v>24</v>
      </c>
      <c r="AF263" s="5">
        <v>-7</v>
      </c>
      <c r="AG263" s="5">
        <v>5</v>
      </c>
      <c r="AH263" s="5">
        <v>30</v>
      </c>
      <c r="AI263" s="5">
        <v>10</v>
      </c>
      <c r="AJ263" s="5">
        <v>-17</v>
      </c>
      <c r="AK263" s="5">
        <v>14</v>
      </c>
      <c r="AL263" s="6">
        <v>-10</v>
      </c>
    </row>
    <row r="264" spans="1:38">
      <c r="A264" s="4">
        <v>-19</v>
      </c>
      <c r="B264" s="5">
        <v>-25</v>
      </c>
      <c r="C264" s="5">
        <v>32</v>
      </c>
      <c r="D264" s="5">
        <v>7</v>
      </c>
      <c r="E264" s="5">
        <v>-2</v>
      </c>
      <c r="F264" s="5">
        <v>-21</v>
      </c>
      <c r="G264" s="5">
        <v>-20</v>
      </c>
      <c r="H264" s="5">
        <v>-20</v>
      </c>
      <c r="I264" s="5">
        <v>34</v>
      </c>
      <c r="J264" s="5">
        <v>19</v>
      </c>
      <c r="K264" s="5">
        <v>-14</v>
      </c>
      <c r="L264" s="5">
        <v>-11</v>
      </c>
      <c r="M264" s="5">
        <v>-2</v>
      </c>
      <c r="N264" s="5">
        <v>12</v>
      </c>
      <c r="O264" s="5">
        <v>15</v>
      </c>
      <c r="P264" s="5">
        <v>-3</v>
      </c>
      <c r="Q264" s="5">
        <v>-22</v>
      </c>
      <c r="R264" s="5">
        <v>8</v>
      </c>
      <c r="S264" s="5">
        <v>-12</v>
      </c>
      <c r="T264" s="5">
        <v>29</v>
      </c>
      <c r="U264" s="5">
        <v>-17</v>
      </c>
      <c r="V264" s="5">
        <v>20</v>
      </c>
      <c r="W264" s="5">
        <v>-14</v>
      </c>
      <c r="X264" s="5">
        <v>-26</v>
      </c>
      <c r="Y264" s="5">
        <v>-11</v>
      </c>
      <c r="Z264" s="5">
        <v>25</v>
      </c>
      <c r="AA264" s="5">
        <v>41</v>
      </c>
      <c r="AB264" s="5">
        <v>-42</v>
      </c>
      <c r="AC264" s="5">
        <v>-4</v>
      </c>
      <c r="AD264" s="5">
        <v>12</v>
      </c>
      <c r="AE264" s="5">
        <v>-35</v>
      </c>
      <c r="AF264" s="5">
        <v>-26</v>
      </c>
      <c r="AG264" s="5">
        <v>-19</v>
      </c>
      <c r="AH264" s="5">
        <v>-42</v>
      </c>
      <c r="AI264" s="5">
        <v>-24</v>
      </c>
      <c r="AJ264" s="5">
        <v>-27</v>
      </c>
      <c r="AK264" s="5">
        <v>-52</v>
      </c>
      <c r="AL264" s="6">
        <v>9</v>
      </c>
    </row>
    <row r="265" spans="1:38">
      <c r="A265" s="4">
        <v>7</v>
      </c>
      <c r="B265" s="5">
        <v>-4</v>
      </c>
      <c r="C265" s="5">
        <v>12</v>
      </c>
      <c r="D265" s="5">
        <v>2</v>
      </c>
      <c r="E265" s="5">
        <v>-26</v>
      </c>
      <c r="F265" s="5">
        <v>-5</v>
      </c>
      <c r="G265" s="5">
        <v>-1</v>
      </c>
      <c r="H265" s="5">
        <v>10</v>
      </c>
      <c r="I265" s="5">
        <v>-4</v>
      </c>
      <c r="J265" s="5">
        <v>16</v>
      </c>
      <c r="K265" s="5">
        <v>28</v>
      </c>
      <c r="L265" s="5">
        <v>18</v>
      </c>
      <c r="M265" s="5">
        <v>-4</v>
      </c>
      <c r="N265" s="5">
        <v>12</v>
      </c>
      <c r="O265" s="5">
        <v>12</v>
      </c>
      <c r="P265" s="5">
        <v>-19</v>
      </c>
      <c r="Q265" s="5">
        <v>-14</v>
      </c>
      <c r="R265" s="5">
        <v>-9</v>
      </c>
      <c r="S265" s="5">
        <v>8</v>
      </c>
      <c r="T265" s="5">
        <v>-6</v>
      </c>
      <c r="U265" s="5">
        <v>-25</v>
      </c>
      <c r="V265" s="5">
        <v>0</v>
      </c>
      <c r="W265" s="5">
        <v>-35</v>
      </c>
      <c r="X265" s="5">
        <v>28</v>
      </c>
      <c r="Y265" s="5">
        <v>-2</v>
      </c>
      <c r="Z265" s="5">
        <v>-37</v>
      </c>
      <c r="AA265" s="5">
        <v>3</v>
      </c>
      <c r="AB265" s="5">
        <v>-63</v>
      </c>
      <c r="AC265" s="5">
        <v>-1</v>
      </c>
      <c r="AD265" s="5">
        <v>-30</v>
      </c>
      <c r="AE265" s="5">
        <v>-2</v>
      </c>
      <c r="AF265" s="5">
        <v>-12</v>
      </c>
      <c r="AG265" s="5">
        <v>-34</v>
      </c>
      <c r="AH265" s="5">
        <v>-30</v>
      </c>
      <c r="AI265" s="5">
        <v>-18</v>
      </c>
      <c r="AJ265" s="5">
        <v>28</v>
      </c>
      <c r="AK265" s="5">
        <v>-13</v>
      </c>
      <c r="AL265" s="6">
        <v>1</v>
      </c>
    </row>
    <row r="266" spans="1:38">
      <c r="A266" s="4">
        <v>-5</v>
      </c>
      <c r="B266" s="5">
        <v>2</v>
      </c>
      <c r="C266" s="5">
        <v>14</v>
      </c>
      <c r="D266" s="5">
        <v>-12</v>
      </c>
      <c r="E266" s="5">
        <v>-31</v>
      </c>
      <c r="F266" s="5">
        <v>12</v>
      </c>
      <c r="G266" s="5">
        <v>-17</v>
      </c>
      <c r="H266" s="5">
        <v>-14</v>
      </c>
      <c r="I266" s="5">
        <v>43</v>
      </c>
      <c r="J266" s="5">
        <v>13</v>
      </c>
      <c r="K266" s="5">
        <v>-9</v>
      </c>
      <c r="L266" s="5">
        <v>31</v>
      </c>
      <c r="M266" s="5">
        <v>14</v>
      </c>
      <c r="N266" s="5">
        <v>2</v>
      </c>
      <c r="O266" s="5">
        <v>-8</v>
      </c>
      <c r="P266" s="5">
        <v>15</v>
      </c>
      <c r="Q266" s="5">
        <v>26</v>
      </c>
      <c r="R266" s="5">
        <v>5</v>
      </c>
      <c r="S266" s="5">
        <v>-11</v>
      </c>
      <c r="T266" s="5">
        <v>41</v>
      </c>
      <c r="U266" s="5">
        <v>0</v>
      </c>
      <c r="V266" s="5">
        <v>-12</v>
      </c>
      <c r="W266" s="5">
        <v>-12</v>
      </c>
      <c r="X266" s="5">
        <v>-26</v>
      </c>
      <c r="Y266" s="5">
        <v>-12</v>
      </c>
      <c r="Z266" s="5">
        <v>3</v>
      </c>
      <c r="AA266" s="5">
        <v>-1</v>
      </c>
      <c r="AB266" s="5">
        <v>30</v>
      </c>
      <c r="AC266" s="5">
        <v>-8</v>
      </c>
      <c r="AD266" s="5">
        <v>25</v>
      </c>
      <c r="AE266" s="5">
        <v>0</v>
      </c>
      <c r="AF266" s="5">
        <v>39</v>
      </c>
      <c r="AG266" s="5">
        <v>52</v>
      </c>
      <c r="AH266" s="5">
        <v>3</v>
      </c>
      <c r="AI266" s="5">
        <v>-22</v>
      </c>
      <c r="AJ266" s="5">
        <v>65</v>
      </c>
      <c r="AK266" s="5">
        <v>-21</v>
      </c>
      <c r="AL266" s="6">
        <v>-43</v>
      </c>
    </row>
    <row r="267" spans="1:38">
      <c r="A267" s="4">
        <v>-12</v>
      </c>
      <c r="B267" s="5">
        <v>4</v>
      </c>
      <c r="C267" s="5">
        <v>43</v>
      </c>
      <c r="D267" s="5">
        <v>-15</v>
      </c>
      <c r="E267" s="5">
        <v>-51</v>
      </c>
      <c r="F267" s="5">
        <v>-23</v>
      </c>
      <c r="G267" s="5">
        <v>55</v>
      </c>
      <c r="H267" s="5">
        <v>-48</v>
      </c>
      <c r="I267" s="5">
        <v>-24</v>
      </c>
      <c r="J267" s="5">
        <v>41</v>
      </c>
      <c r="K267" s="5">
        <v>-27</v>
      </c>
      <c r="L267" s="5">
        <v>-2</v>
      </c>
      <c r="M267" s="5">
        <v>30</v>
      </c>
      <c r="N267" s="5">
        <v>44</v>
      </c>
      <c r="O267" s="5">
        <v>22</v>
      </c>
      <c r="P267" s="5">
        <v>-19</v>
      </c>
      <c r="Q267" s="5">
        <v>17</v>
      </c>
      <c r="R267" s="5">
        <v>-10</v>
      </c>
      <c r="S267" s="5">
        <v>-26</v>
      </c>
      <c r="T267" s="5">
        <v>15</v>
      </c>
      <c r="U267" s="5">
        <v>18</v>
      </c>
      <c r="V267" s="5">
        <v>-62</v>
      </c>
      <c r="W267" s="5">
        <v>6</v>
      </c>
      <c r="X267" s="5">
        <v>9</v>
      </c>
      <c r="Y267" s="5">
        <v>30</v>
      </c>
      <c r="Z267" s="5">
        <v>-29</v>
      </c>
      <c r="AA267" s="5">
        <v>29</v>
      </c>
      <c r="AB267" s="5">
        <v>-41</v>
      </c>
      <c r="AC267" s="5">
        <v>3</v>
      </c>
      <c r="AD267" s="5">
        <v>21</v>
      </c>
      <c r="AE267" s="5">
        <v>-17</v>
      </c>
      <c r="AF267" s="5">
        <v>22</v>
      </c>
      <c r="AG267" s="5">
        <v>9</v>
      </c>
      <c r="AH267" s="5">
        <v>21</v>
      </c>
      <c r="AI267" s="5">
        <v>-6</v>
      </c>
      <c r="AJ267" s="5">
        <v>30</v>
      </c>
      <c r="AK267" s="5">
        <v>33</v>
      </c>
      <c r="AL267" s="6">
        <v>39</v>
      </c>
    </row>
    <row r="268" spans="1:38">
      <c r="A268" s="4">
        <v>-1</v>
      </c>
      <c r="B268" s="5">
        <v>-21</v>
      </c>
      <c r="C268" s="5">
        <v>-8</v>
      </c>
      <c r="D268" s="5">
        <v>-39</v>
      </c>
      <c r="E268" s="5">
        <v>-7</v>
      </c>
      <c r="F268" s="5">
        <v>-24</v>
      </c>
      <c r="G268" s="5">
        <v>-21</v>
      </c>
      <c r="H268" s="5">
        <v>-8</v>
      </c>
      <c r="I268" s="5">
        <v>-1</v>
      </c>
      <c r="J268" s="5">
        <v>6</v>
      </c>
      <c r="K268" s="5">
        <v>-1</v>
      </c>
      <c r="L268" s="5">
        <v>-17</v>
      </c>
      <c r="M268" s="5">
        <v>13</v>
      </c>
      <c r="N268" s="5">
        <v>-1</v>
      </c>
      <c r="O268" s="5">
        <v>23</v>
      </c>
      <c r="P268" s="5">
        <v>-28</v>
      </c>
      <c r="Q268" s="5">
        <v>4</v>
      </c>
      <c r="R268" s="5">
        <v>-2</v>
      </c>
      <c r="S268" s="5">
        <v>-8</v>
      </c>
      <c r="T268" s="5">
        <v>-16</v>
      </c>
      <c r="U268" s="5">
        <v>-38</v>
      </c>
      <c r="V268" s="5">
        <v>1</v>
      </c>
      <c r="W268" s="5">
        <v>5</v>
      </c>
      <c r="X268" s="5">
        <v>-13</v>
      </c>
      <c r="Y268" s="5">
        <v>-17</v>
      </c>
      <c r="Z268" s="5">
        <v>-3</v>
      </c>
      <c r="AA268" s="5">
        <v>-23</v>
      </c>
      <c r="AB268" s="5">
        <v>20</v>
      </c>
      <c r="AC268" s="5">
        <v>-4</v>
      </c>
      <c r="AD268" s="5">
        <v>9</v>
      </c>
      <c r="AE268" s="5">
        <v>-10</v>
      </c>
      <c r="AF268" s="5">
        <v>7</v>
      </c>
      <c r="AG268" s="5">
        <v>-27</v>
      </c>
      <c r="AH268" s="5">
        <v>-25</v>
      </c>
      <c r="AI268" s="5">
        <v>12</v>
      </c>
      <c r="AJ268" s="5">
        <v>4</v>
      </c>
      <c r="AK268" s="5">
        <v>4</v>
      </c>
      <c r="AL268" s="6">
        <v>-9</v>
      </c>
    </row>
    <row r="269" spans="1:38">
      <c r="A269" s="4">
        <v>4</v>
      </c>
      <c r="B269" s="5">
        <v>-2</v>
      </c>
      <c r="C269" s="5">
        <v>-11</v>
      </c>
      <c r="D269" s="5">
        <v>2</v>
      </c>
      <c r="E269" s="5">
        <v>-1</v>
      </c>
      <c r="F269" s="5">
        <v>-4</v>
      </c>
      <c r="G269" s="5">
        <v>32</v>
      </c>
      <c r="H269" s="5">
        <v>5</v>
      </c>
      <c r="I269" s="5">
        <v>4</v>
      </c>
      <c r="J269" s="5">
        <v>12</v>
      </c>
      <c r="K269" s="5">
        <v>4</v>
      </c>
      <c r="L269" s="5">
        <v>5</v>
      </c>
      <c r="M269" s="5">
        <v>-3</v>
      </c>
      <c r="N269" s="5">
        <v>-12</v>
      </c>
      <c r="O269" s="5">
        <v>-9</v>
      </c>
      <c r="P269" s="5">
        <v>18</v>
      </c>
      <c r="Q269" s="5">
        <v>-10</v>
      </c>
      <c r="R269" s="5">
        <v>17</v>
      </c>
      <c r="S269" s="5">
        <v>-14</v>
      </c>
      <c r="T269" s="5">
        <v>7</v>
      </c>
      <c r="U269" s="5">
        <v>-21</v>
      </c>
      <c r="V269" s="5">
        <v>2</v>
      </c>
      <c r="W269" s="5">
        <v>1</v>
      </c>
      <c r="X269" s="5">
        <v>-16</v>
      </c>
      <c r="Y269" s="5">
        <v>30</v>
      </c>
      <c r="Z269" s="5">
        <v>24</v>
      </c>
      <c r="AA269" s="5">
        <v>-10</v>
      </c>
      <c r="AB269" s="5">
        <v>-6</v>
      </c>
      <c r="AC269" s="5">
        <v>-13</v>
      </c>
      <c r="AD269" s="5">
        <v>9</v>
      </c>
      <c r="AE269" s="5">
        <v>4</v>
      </c>
      <c r="AF269" s="5">
        <v>10</v>
      </c>
      <c r="AG269" s="5">
        <v>20</v>
      </c>
      <c r="AH269" s="5">
        <v>-22</v>
      </c>
      <c r="AI269" s="5">
        <v>5</v>
      </c>
      <c r="AJ269" s="5">
        <v>20</v>
      </c>
      <c r="AK269" s="5">
        <v>7</v>
      </c>
      <c r="AL269" s="6">
        <v>-14</v>
      </c>
    </row>
    <row r="270" spans="1:38">
      <c r="A270" s="4">
        <v>2</v>
      </c>
      <c r="B270" s="5">
        <v>-11</v>
      </c>
      <c r="C270" s="5">
        <v>-20</v>
      </c>
      <c r="D270" s="5">
        <v>19</v>
      </c>
      <c r="E270" s="5">
        <v>3</v>
      </c>
      <c r="F270" s="5">
        <v>-3</v>
      </c>
      <c r="G270" s="5">
        <v>-22</v>
      </c>
      <c r="H270" s="5">
        <v>-16</v>
      </c>
      <c r="I270" s="5">
        <v>-4</v>
      </c>
      <c r="J270" s="5">
        <v>7</v>
      </c>
      <c r="K270" s="5">
        <v>-8</v>
      </c>
      <c r="L270" s="5">
        <v>-38</v>
      </c>
      <c r="M270" s="5">
        <v>-13</v>
      </c>
      <c r="N270" s="5">
        <v>-18</v>
      </c>
      <c r="O270" s="5">
        <v>-28</v>
      </c>
      <c r="P270" s="5">
        <v>25</v>
      </c>
      <c r="Q270" s="5">
        <v>-41</v>
      </c>
      <c r="R270" s="5">
        <v>-9</v>
      </c>
      <c r="S270" s="5">
        <v>27</v>
      </c>
      <c r="T270" s="5">
        <v>-22</v>
      </c>
      <c r="U270" s="5">
        <v>21</v>
      </c>
      <c r="V270" s="5">
        <v>11</v>
      </c>
      <c r="W270" s="5">
        <v>-10</v>
      </c>
      <c r="X270" s="5">
        <v>-45</v>
      </c>
      <c r="Y270" s="5">
        <v>4</v>
      </c>
      <c r="Z270" s="5">
        <v>-14</v>
      </c>
      <c r="AA270" s="5">
        <v>-33</v>
      </c>
      <c r="AB270" s="5">
        <v>-32</v>
      </c>
      <c r="AC270" s="5">
        <v>30</v>
      </c>
      <c r="AD270" s="5">
        <v>-9</v>
      </c>
      <c r="AE270" s="5">
        <v>-76</v>
      </c>
      <c r="AF270" s="5">
        <v>-16</v>
      </c>
      <c r="AG270" s="5">
        <v>-36</v>
      </c>
      <c r="AH270" s="5">
        <v>6</v>
      </c>
      <c r="AI270" s="5">
        <v>17</v>
      </c>
      <c r="AJ270" s="5">
        <v>2</v>
      </c>
      <c r="AK270" s="5">
        <v>37</v>
      </c>
      <c r="AL270" s="6">
        <v>-47</v>
      </c>
    </row>
    <row r="271" spans="1:38">
      <c r="A271" s="4">
        <v>-25</v>
      </c>
      <c r="B271" s="5">
        <v>22</v>
      </c>
      <c r="C271" s="5">
        <v>-15</v>
      </c>
      <c r="D271" s="5">
        <v>-1</v>
      </c>
      <c r="E271" s="5">
        <v>3</v>
      </c>
      <c r="F271" s="5">
        <v>-5</v>
      </c>
      <c r="G271" s="5">
        <v>-7</v>
      </c>
      <c r="H271" s="5">
        <v>3</v>
      </c>
      <c r="I271" s="5">
        <v>1</v>
      </c>
      <c r="J271" s="5">
        <v>2</v>
      </c>
      <c r="K271" s="5">
        <v>22</v>
      </c>
      <c r="L271" s="5">
        <v>-30</v>
      </c>
      <c r="M271" s="5">
        <v>-32</v>
      </c>
      <c r="N271" s="5">
        <v>-14</v>
      </c>
      <c r="O271" s="5">
        <v>6</v>
      </c>
      <c r="P271" s="5">
        <v>-2</v>
      </c>
      <c r="Q271" s="5">
        <v>8</v>
      </c>
      <c r="R271" s="5">
        <v>-29</v>
      </c>
      <c r="S271" s="5">
        <v>-9</v>
      </c>
      <c r="T271" s="5">
        <v>6</v>
      </c>
      <c r="U271" s="5">
        <v>16</v>
      </c>
      <c r="V271" s="5">
        <v>-20</v>
      </c>
      <c r="W271" s="5">
        <v>-9</v>
      </c>
      <c r="X271" s="5">
        <v>1</v>
      </c>
      <c r="Y271" s="5">
        <v>-14</v>
      </c>
      <c r="Z271" s="5">
        <v>-10</v>
      </c>
      <c r="AA271" s="5">
        <v>4</v>
      </c>
      <c r="AB271" s="5">
        <v>-25</v>
      </c>
      <c r="AC271" s="5">
        <v>-19</v>
      </c>
      <c r="AD271" s="5">
        <v>7</v>
      </c>
      <c r="AE271" s="5">
        <v>4</v>
      </c>
      <c r="AF271" s="5">
        <v>-6</v>
      </c>
      <c r="AG271" s="5">
        <v>28</v>
      </c>
      <c r="AH271" s="5">
        <v>8</v>
      </c>
      <c r="AI271" s="5">
        <v>31</v>
      </c>
      <c r="AJ271" s="5">
        <v>5</v>
      </c>
      <c r="AK271" s="5">
        <v>3</v>
      </c>
      <c r="AL271" s="6">
        <v>2</v>
      </c>
    </row>
    <row r="272" spans="1:38">
      <c r="A272" s="4">
        <v>-39</v>
      </c>
      <c r="B272" s="5">
        <v>7</v>
      </c>
      <c r="C272" s="5">
        <v>-21</v>
      </c>
      <c r="D272" s="5">
        <v>-15</v>
      </c>
      <c r="E272" s="5">
        <v>1</v>
      </c>
      <c r="F272" s="5">
        <v>2</v>
      </c>
      <c r="G272" s="5">
        <v>-14</v>
      </c>
      <c r="H272" s="5">
        <v>10</v>
      </c>
      <c r="I272" s="5">
        <v>-6</v>
      </c>
      <c r="J272" s="5">
        <v>6</v>
      </c>
      <c r="K272" s="5">
        <v>10</v>
      </c>
      <c r="L272" s="5">
        <v>-21</v>
      </c>
      <c r="M272" s="5">
        <v>-9</v>
      </c>
      <c r="N272" s="5">
        <v>-10</v>
      </c>
      <c r="O272" s="5">
        <v>7</v>
      </c>
      <c r="P272" s="5">
        <v>-25</v>
      </c>
      <c r="Q272" s="5">
        <v>-6</v>
      </c>
      <c r="R272" s="5">
        <v>-14</v>
      </c>
      <c r="S272" s="5">
        <v>-4</v>
      </c>
      <c r="T272" s="5">
        <v>-34</v>
      </c>
      <c r="U272" s="5">
        <v>2</v>
      </c>
      <c r="V272" s="5">
        <v>-1</v>
      </c>
      <c r="W272" s="5">
        <v>-3</v>
      </c>
      <c r="X272" s="5">
        <v>-8</v>
      </c>
      <c r="Y272" s="5">
        <v>-29</v>
      </c>
      <c r="Z272" s="5">
        <v>-12</v>
      </c>
      <c r="AA272" s="5">
        <v>2</v>
      </c>
      <c r="AB272" s="5">
        <v>-10</v>
      </c>
      <c r="AC272" s="5">
        <v>-32</v>
      </c>
      <c r="AD272" s="5">
        <v>7</v>
      </c>
      <c r="AE272" s="5">
        <v>4</v>
      </c>
      <c r="AF272" s="5">
        <v>-1</v>
      </c>
      <c r="AG272" s="5">
        <v>19</v>
      </c>
      <c r="AH272" s="5">
        <v>3</v>
      </c>
      <c r="AI272" s="5">
        <v>48</v>
      </c>
      <c r="AJ272" s="5">
        <v>36</v>
      </c>
      <c r="AK272" s="5">
        <v>21</v>
      </c>
      <c r="AL272" s="6">
        <v>-12</v>
      </c>
    </row>
    <row r="273" spans="1:38">
      <c r="A273" s="4">
        <v>-24</v>
      </c>
      <c r="B273" s="5">
        <v>56</v>
      </c>
      <c r="C273" s="5">
        <v>-24</v>
      </c>
      <c r="D273" s="5">
        <v>-16</v>
      </c>
      <c r="E273" s="5">
        <v>22</v>
      </c>
      <c r="F273" s="5">
        <v>-39</v>
      </c>
      <c r="G273" s="5">
        <v>6</v>
      </c>
      <c r="H273" s="5">
        <v>15</v>
      </c>
      <c r="I273" s="5">
        <v>18</v>
      </c>
      <c r="J273" s="5">
        <v>-2</v>
      </c>
      <c r="K273" s="5">
        <v>15</v>
      </c>
      <c r="L273" s="5">
        <v>-20</v>
      </c>
      <c r="M273" s="5">
        <v>-10</v>
      </c>
      <c r="N273" s="5">
        <v>1</v>
      </c>
      <c r="O273" s="5">
        <v>-19</v>
      </c>
      <c r="P273" s="5">
        <v>-10</v>
      </c>
      <c r="Q273" s="5">
        <v>3</v>
      </c>
      <c r="R273" s="5">
        <v>-6</v>
      </c>
      <c r="S273" s="5">
        <v>-25</v>
      </c>
      <c r="T273" s="5">
        <v>15</v>
      </c>
      <c r="U273" s="5">
        <v>-9</v>
      </c>
      <c r="V273" s="5">
        <v>25</v>
      </c>
      <c r="W273" s="5">
        <v>-55</v>
      </c>
      <c r="X273" s="5">
        <v>-2</v>
      </c>
      <c r="Y273" s="5">
        <v>-20</v>
      </c>
      <c r="Z273" s="5">
        <v>-4</v>
      </c>
      <c r="AA273" s="5">
        <v>31</v>
      </c>
      <c r="AB273" s="5">
        <v>-1</v>
      </c>
      <c r="AC273" s="5">
        <v>10</v>
      </c>
      <c r="AD273" s="5">
        <v>12</v>
      </c>
      <c r="AE273" s="5">
        <v>35</v>
      </c>
      <c r="AF273" s="5">
        <v>22</v>
      </c>
      <c r="AG273" s="5">
        <v>-15</v>
      </c>
      <c r="AH273" s="5">
        <v>-8</v>
      </c>
      <c r="AI273" s="5">
        <v>-12</v>
      </c>
      <c r="AJ273" s="5">
        <v>11</v>
      </c>
      <c r="AK273" s="5">
        <v>15</v>
      </c>
      <c r="AL273" s="6">
        <v>13</v>
      </c>
    </row>
    <row r="274" spans="1:38">
      <c r="A274" s="4">
        <v>-11</v>
      </c>
      <c r="B274" s="5">
        <v>29</v>
      </c>
      <c r="C274" s="5">
        <v>-18</v>
      </c>
      <c r="D274" s="5">
        <v>-6</v>
      </c>
      <c r="E274" s="5">
        <v>2</v>
      </c>
      <c r="F274" s="5">
        <v>-11</v>
      </c>
      <c r="G274" s="5">
        <v>0</v>
      </c>
      <c r="H274" s="5">
        <v>1</v>
      </c>
      <c r="I274" s="5">
        <v>11</v>
      </c>
      <c r="J274" s="5">
        <v>0</v>
      </c>
      <c r="K274" s="5">
        <v>19</v>
      </c>
      <c r="L274" s="5">
        <v>-22</v>
      </c>
      <c r="M274" s="5">
        <v>-22</v>
      </c>
      <c r="N274" s="5">
        <v>-18</v>
      </c>
      <c r="O274" s="5">
        <v>7</v>
      </c>
      <c r="P274" s="5">
        <v>-10</v>
      </c>
      <c r="Q274" s="5">
        <v>-7</v>
      </c>
      <c r="R274" s="5">
        <v>-30</v>
      </c>
      <c r="S274" s="5">
        <v>-5</v>
      </c>
      <c r="T274" s="5">
        <v>17</v>
      </c>
      <c r="U274" s="5">
        <v>6</v>
      </c>
      <c r="V274" s="5">
        <v>-11</v>
      </c>
      <c r="W274" s="5">
        <v>-17</v>
      </c>
      <c r="X274" s="5">
        <v>1</v>
      </c>
      <c r="Y274" s="5">
        <v>-15</v>
      </c>
      <c r="Z274" s="5">
        <v>-4</v>
      </c>
      <c r="AA274" s="5">
        <v>-2</v>
      </c>
      <c r="AB274" s="5">
        <v>-13</v>
      </c>
      <c r="AC274" s="5">
        <v>10</v>
      </c>
      <c r="AD274" s="5">
        <v>-8</v>
      </c>
      <c r="AE274" s="5">
        <v>4</v>
      </c>
      <c r="AF274" s="5">
        <v>-3</v>
      </c>
      <c r="AG274" s="5">
        <v>18</v>
      </c>
      <c r="AH274" s="5">
        <v>-3</v>
      </c>
      <c r="AI274" s="5">
        <v>5</v>
      </c>
      <c r="AJ274" s="5">
        <v>-9</v>
      </c>
      <c r="AK274" s="5">
        <v>4</v>
      </c>
      <c r="AL274" s="6">
        <v>10</v>
      </c>
    </row>
    <row r="275" spans="1:38">
      <c r="A275" s="4">
        <v>-10</v>
      </c>
      <c r="B275" s="5">
        <v>12</v>
      </c>
      <c r="C275" s="5">
        <v>-5</v>
      </c>
      <c r="D275" s="5">
        <v>-3</v>
      </c>
      <c r="E275" s="5">
        <v>9</v>
      </c>
      <c r="F275" s="5">
        <v>-20</v>
      </c>
      <c r="G275" s="5">
        <v>5</v>
      </c>
      <c r="H275" s="5">
        <v>0</v>
      </c>
      <c r="I275" s="5">
        <v>-1</v>
      </c>
      <c r="J275" s="5">
        <v>-5</v>
      </c>
      <c r="K275" s="5">
        <v>1</v>
      </c>
      <c r="L275" s="5">
        <v>4</v>
      </c>
      <c r="M275" s="5">
        <v>7</v>
      </c>
      <c r="N275" s="5">
        <v>-8</v>
      </c>
      <c r="O275" s="5">
        <v>-8</v>
      </c>
      <c r="P275" s="5">
        <v>-1</v>
      </c>
      <c r="Q275" s="5">
        <v>-8</v>
      </c>
      <c r="R275" s="5">
        <v>-12</v>
      </c>
      <c r="S275" s="5">
        <v>-18</v>
      </c>
      <c r="T275" s="5">
        <v>-3</v>
      </c>
      <c r="U275" s="5">
        <v>-3</v>
      </c>
      <c r="V275" s="5">
        <v>9</v>
      </c>
      <c r="W275" s="5">
        <v>-14</v>
      </c>
      <c r="X275" s="5">
        <v>0</v>
      </c>
      <c r="Y275" s="5">
        <v>-12</v>
      </c>
      <c r="Z275" s="5">
        <v>12</v>
      </c>
      <c r="AA275" s="5">
        <v>6</v>
      </c>
      <c r="AB275" s="5">
        <v>10</v>
      </c>
      <c r="AC275" s="5">
        <v>8</v>
      </c>
      <c r="AD275" s="5">
        <v>5</v>
      </c>
      <c r="AE275" s="5">
        <v>17</v>
      </c>
      <c r="AF275" s="5">
        <v>3</v>
      </c>
      <c r="AG275" s="5">
        <v>15</v>
      </c>
      <c r="AH275" s="5">
        <v>-41</v>
      </c>
      <c r="AI275" s="5">
        <v>-14</v>
      </c>
      <c r="AJ275" s="5">
        <v>8</v>
      </c>
      <c r="AK275" s="5">
        <v>-16</v>
      </c>
      <c r="AL275" s="6">
        <v>15</v>
      </c>
    </row>
    <row r="276" spans="1:38">
      <c r="A276" s="4">
        <v>-10</v>
      </c>
      <c r="B276" s="5">
        <v>-1</v>
      </c>
      <c r="C276" s="5">
        <v>-8</v>
      </c>
      <c r="D276" s="5">
        <v>8</v>
      </c>
      <c r="E276" s="5">
        <v>-13</v>
      </c>
      <c r="F276" s="5">
        <v>-5</v>
      </c>
      <c r="G276" s="5">
        <v>2</v>
      </c>
      <c r="H276" s="5">
        <v>35</v>
      </c>
      <c r="I276" s="5">
        <v>16</v>
      </c>
      <c r="J276" s="5">
        <v>-2</v>
      </c>
      <c r="K276" s="5">
        <v>-4</v>
      </c>
      <c r="L276" s="5">
        <v>13</v>
      </c>
      <c r="M276" s="5">
        <v>12</v>
      </c>
      <c r="N276" s="5">
        <v>-15</v>
      </c>
      <c r="O276" s="5">
        <v>0</v>
      </c>
      <c r="P276" s="5">
        <v>47</v>
      </c>
      <c r="Q276" s="5">
        <v>-21</v>
      </c>
      <c r="R276" s="5">
        <v>1</v>
      </c>
      <c r="S276" s="5">
        <v>-29</v>
      </c>
      <c r="T276" s="5">
        <v>8</v>
      </c>
      <c r="U276" s="5">
        <v>-7</v>
      </c>
      <c r="V276" s="5">
        <v>8</v>
      </c>
      <c r="W276" s="5">
        <v>-12</v>
      </c>
      <c r="X276" s="5">
        <v>-3</v>
      </c>
      <c r="Y276" s="5">
        <v>-11</v>
      </c>
      <c r="Z276" s="5">
        <v>-3</v>
      </c>
      <c r="AA276" s="5">
        <v>-2</v>
      </c>
      <c r="AB276" s="5">
        <v>-16</v>
      </c>
      <c r="AC276" s="5">
        <v>37</v>
      </c>
      <c r="AD276" s="5">
        <v>29</v>
      </c>
      <c r="AE276" s="5">
        <v>-15</v>
      </c>
      <c r="AF276" s="5">
        <v>7</v>
      </c>
      <c r="AG276" s="5">
        <v>11</v>
      </c>
      <c r="AH276" s="5">
        <v>29</v>
      </c>
      <c r="AI276" s="5">
        <v>12</v>
      </c>
      <c r="AJ276" s="5">
        <v>15</v>
      </c>
      <c r="AK276" s="5">
        <v>4</v>
      </c>
      <c r="AL276" s="6">
        <v>1</v>
      </c>
    </row>
    <row r="277" spans="1:38">
      <c r="A277" s="4">
        <v>-8</v>
      </c>
      <c r="B277" s="5">
        <v>3</v>
      </c>
      <c r="C277" s="5">
        <v>-1</v>
      </c>
      <c r="D277" s="5">
        <v>5</v>
      </c>
      <c r="E277" s="5">
        <v>-1</v>
      </c>
      <c r="F277" s="5">
        <v>-2</v>
      </c>
      <c r="G277" s="5">
        <v>6</v>
      </c>
      <c r="H277" s="5">
        <v>1</v>
      </c>
      <c r="I277" s="5">
        <v>13</v>
      </c>
      <c r="J277" s="5">
        <v>-1</v>
      </c>
      <c r="K277" s="5">
        <v>12</v>
      </c>
      <c r="L277" s="5">
        <v>4</v>
      </c>
      <c r="M277" s="5">
        <v>7</v>
      </c>
      <c r="N277" s="5">
        <v>-12</v>
      </c>
      <c r="O277" s="5">
        <v>6</v>
      </c>
      <c r="P277" s="5">
        <v>16</v>
      </c>
      <c r="Q277" s="5">
        <v>4</v>
      </c>
      <c r="R277" s="5">
        <v>-6</v>
      </c>
      <c r="S277" s="5">
        <v>-9</v>
      </c>
      <c r="T277" s="5">
        <v>5</v>
      </c>
      <c r="U277" s="5">
        <v>-7</v>
      </c>
      <c r="V277" s="5">
        <v>2</v>
      </c>
      <c r="W277" s="5">
        <v>11</v>
      </c>
      <c r="X277" s="5">
        <v>-7</v>
      </c>
      <c r="Y277" s="5">
        <v>9</v>
      </c>
      <c r="Z277" s="5">
        <v>-17</v>
      </c>
      <c r="AA277" s="5">
        <v>10</v>
      </c>
      <c r="AB277" s="5">
        <v>2</v>
      </c>
      <c r="AC277" s="5">
        <v>0</v>
      </c>
      <c r="AD277" s="5">
        <v>10</v>
      </c>
      <c r="AE277" s="5">
        <v>-11</v>
      </c>
      <c r="AF277" s="5">
        <v>-9</v>
      </c>
      <c r="AG277" s="5">
        <v>2</v>
      </c>
      <c r="AH277" s="5">
        <v>-8</v>
      </c>
      <c r="AI277" s="5">
        <v>7</v>
      </c>
      <c r="AJ277" s="5">
        <v>-13</v>
      </c>
      <c r="AK277" s="5">
        <v>-17</v>
      </c>
      <c r="AL277" s="6">
        <v>-15</v>
      </c>
    </row>
    <row r="278" spans="1:38">
      <c r="A278" s="4">
        <v>-5</v>
      </c>
      <c r="B278" s="5">
        <v>3</v>
      </c>
      <c r="C278" s="5">
        <v>1</v>
      </c>
      <c r="D278" s="5">
        <v>-5</v>
      </c>
      <c r="E278" s="5">
        <v>-20</v>
      </c>
      <c r="F278" s="5">
        <v>-12</v>
      </c>
      <c r="G278" s="5">
        <v>5</v>
      </c>
      <c r="H278" s="5">
        <v>1</v>
      </c>
      <c r="I278" s="5">
        <v>-4</v>
      </c>
      <c r="J278" s="5">
        <v>-12</v>
      </c>
      <c r="K278" s="5">
        <v>-5</v>
      </c>
      <c r="L278" s="5">
        <v>1</v>
      </c>
      <c r="M278" s="5">
        <v>-4</v>
      </c>
      <c r="N278" s="5">
        <v>-12</v>
      </c>
      <c r="O278" s="5">
        <v>6</v>
      </c>
      <c r="P278" s="5">
        <v>20</v>
      </c>
      <c r="Q278" s="5">
        <v>8</v>
      </c>
      <c r="R278" s="5">
        <v>-5</v>
      </c>
      <c r="S278" s="5">
        <v>-5</v>
      </c>
      <c r="T278" s="5">
        <v>-5</v>
      </c>
      <c r="U278" s="5">
        <v>-9</v>
      </c>
      <c r="V278" s="5">
        <v>13</v>
      </c>
      <c r="W278" s="5">
        <v>26</v>
      </c>
      <c r="X278" s="5">
        <v>2</v>
      </c>
      <c r="Y278" s="5">
        <v>14</v>
      </c>
      <c r="Z278" s="5">
        <v>8</v>
      </c>
      <c r="AA278" s="5">
        <v>13</v>
      </c>
      <c r="AB278" s="5">
        <v>-1</v>
      </c>
      <c r="AC278" s="5">
        <v>8</v>
      </c>
      <c r="AD278" s="5">
        <v>10</v>
      </c>
      <c r="AE278" s="5">
        <v>15</v>
      </c>
      <c r="AF278" s="5">
        <v>-10</v>
      </c>
      <c r="AG278" s="5">
        <v>0</v>
      </c>
      <c r="AH278" s="5">
        <v>-6</v>
      </c>
      <c r="AI278" s="5">
        <v>1</v>
      </c>
      <c r="AJ278" s="5">
        <v>4</v>
      </c>
      <c r="AK278" s="5">
        <v>-4</v>
      </c>
      <c r="AL278" s="6">
        <v>-1</v>
      </c>
    </row>
    <row r="279" spans="1:38">
      <c r="A279" s="7">
        <v>-6</v>
      </c>
      <c r="B279" s="8">
        <v>2</v>
      </c>
      <c r="C279" s="8">
        <v>-2</v>
      </c>
      <c r="D279" s="8">
        <v>-2</v>
      </c>
      <c r="E279" s="8">
        <v>-10</v>
      </c>
      <c r="F279" s="8">
        <v>-10</v>
      </c>
      <c r="G279" s="8">
        <v>7</v>
      </c>
      <c r="H279" s="8">
        <v>6</v>
      </c>
      <c r="I279" s="8">
        <v>-5</v>
      </c>
      <c r="J279" s="8">
        <v>-5</v>
      </c>
      <c r="K279" s="8">
        <v>-5</v>
      </c>
      <c r="L279" s="8">
        <v>2</v>
      </c>
      <c r="M279" s="8">
        <v>1</v>
      </c>
      <c r="N279" s="8">
        <v>-8</v>
      </c>
      <c r="O279" s="8">
        <v>-1</v>
      </c>
      <c r="P279" s="8">
        <v>12</v>
      </c>
      <c r="Q279" s="8">
        <v>5</v>
      </c>
      <c r="R279" s="8">
        <v>-1</v>
      </c>
      <c r="S279" s="8">
        <v>-5</v>
      </c>
      <c r="T279" s="8">
        <v>-8</v>
      </c>
      <c r="U279" s="8">
        <v>-9</v>
      </c>
      <c r="V279" s="8">
        <v>11</v>
      </c>
      <c r="W279" s="8">
        <v>22</v>
      </c>
      <c r="X279" s="8">
        <v>1</v>
      </c>
      <c r="Y279" s="8">
        <v>9</v>
      </c>
      <c r="Z279" s="8">
        <v>9</v>
      </c>
      <c r="AA279" s="8">
        <v>8</v>
      </c>
      <c r="AB279" s="8">
        <v>-2</v>
      </c>
      <c r="AC279" s="8">
        <v>3</v>
      </c>
      <c r="AD279" s="8">
        <v>10</v>
      </c>
      <c r="AE279" s="8">
        <v>3</v>
      </c>
      <c r="AF279" s="8">
        <v>0</v>
      </c>
      <c r="AG279" s="8">
        <v>-1</v>
      </c>
      <c r="AH279" s="8">
        <v>-5</v>
      </c>
      <c r="AI279" s="8">
        <v>1</v>
      </c>
      <c r="AJ279" s="8">
        <v>11</v>
      </c>
      <c r="AK279" s="8">
        <v>-4</v>
      </c>
      <c r="AL279" s="9">
        <v>-2</v>
      </c>
    </row>
    <row r="280" spans="1:38">
      <c r="A280" s="4">
        <v>16</v>
      </c>
      <c r="B280" s="5">
        <v>-41</v>
      </c>
      <c r="C280" s="5">
        <v>2</v>
      </c>
      <c r="D280" s="5">
        <v>5</v>
      </c>
      <c r="E280" s="5">
        <v>-2</v>
      </c>
      <c r="F280" s="5">
        <v>-1</v>
      </c>
      <c r="G280" s="5">
        <v>20</v>
      </c>
      <c r="H280" s="5">
        <v>4</v>
      </c>
      <c r="I280" s="5">
        <v>-7</v>
      </c>
      <c r="J280" s="5">
        <v>17</v>
      </c>
      <c r="K280" s="5">
        <v>-11</v>
      </c>
      <c r="L280" s="5">
        <v>-1</v>
      </c>
      <c r="M280" s="5">
        <v>29</v>
      </c>
      <c r="N280" s="5">
        <v>2</v>
      </c>
      <c r="O280" s="5">
        <v>-14</v>
      </c>
      <c r="P280" s="5">
        <v>10</v>
      </c>
      <c r="Q280" s="5">
        <v>-12</v>
      </c>
      <c r="R280" s="5">
        <v>38</v>
      </c>
      <c r="S280" s="5">
        <v>-43</v>
      </c>
      <c r="T280" s="5">
        <v>4</v>
      </c>
      <c r="U280" s="5">
        <v>-9</v>
      </c>
      <c r="V280" s="5">
        <v>15</v>
      </c>
      <c r="W280" s="5">
        <v>-8</v>
      </c>
      <c r="X280" s="5">
        <v>0</v>
      </c>
      <c r="Y280" s="5">
        <v>-31</v>
      </c>
      <c r="Z280" s="5">
        <v>-36</v>
      </c>
      <c r="AA280" s="5">
        <v>-33</v>
      </c>
      <c r="AB280" s="5">
        <v>-7</v>
      </c>
      <c r="AC280" s="5">
        <v>11</v>
      </c>
      <c r="AD280" s="5">
        <v>19</v>
      </c>
      <c r="AE280" s="5">
        <v>31</v>
      </c>
      <c r="AF280" s="5">
        <v>34</v>
      </c>
      <c r="AG280" s="5">
        <v>6</v>
      </c>
      <c r="AH280" s="5">
        <v>-1</v>
      </c>
      <c r="AI280" s="5">
        <v>0</v>
      </c>
      <c r="AJ280" s="5">
        <v>-1</v>
      </c>
      <c r="AK280" s="5">
        <v>-41</v>
      </c>
      <c r="AL280" s="6">
        <v>-8</v>
      </c>
    </row>
    <row r="281" spans="1:38">
      <c r="A281" s="4">
        <v>4</v>
      </c>
      <c r="B281" s="5">
        <v>1</v>
      </c>
      <c r="C281" s="5">
        <v>-3</v>
      </c>
      <c r="D281" s="5">
        <v>0</v>
      </c>
      <c r="E281" s="5">
        <v>3</v>
      </c>
      <c r="F281" s="5">
        <v>-23</v>
      </c>
      <c r="G281" s="5">
        <v>-14</v>
      </c>
      <c r="H281" s="5">
        <v>-5</v>
      </c>
      <c r="I281" s="5">
        <v>23</v>
      </c>
      <c r="J281" s="5">
        <v>-7</v>
      </c>
      <c r="K281" s="5">
        <v>-24</v>
      </c>
      <c r="L281" s="5">
        <v>10</v>
      </c>
      <c r="M281" s="5">
        <v>1</v>
      </c>
      <c r="N281" s="5">
        <v>-6</v>
      </c>
      <c r="O281" s="5">
        <v>16</v>
      </c>
      <c r="P281" s="5">
        <v>5</v>
      </c>
      <c r="Q281" s="5">
        <v>12</v>
      </c>
      <c r="R281" s="5">
        <v>-9</v>
      </c>
      <c r="S281" s="5">
        <v>1</v>
      </c>
      <c r="T281" s="5">
        <v>-10</v>
      </c>
      <c r="U281" s="5">
        <v>-1</v>
      </c>
      <c r="V281" s="5">
        <v>-7</v>
      </c>
      <c r="W281" s="5">
        <v>12</v>
      </c>
      <c r="X281" s="5">
        <v>-16</v>
      </c>
      <c r="Y281" s="5">
        <v>4</v>
      </c>
      <c r="Z281" s="5">
        <v>8</v>
      </c>
      <c r="AA281" s="5">
        <v>-9</v>
      </c>
      <c r="AB281" s="5">
        <v>5</v>
      </c>
      <c r="AC281" s="5">
        <v>-5</v>
      </c>
      <c r="AD281" s="5">
        <v>-6</v>
      </c>
      <c r="AE281" s="5">
        <v>-5</v>
      </c>
      <c r="AF281" s="5">
        <v>-11</v>
      </c>
      <c r="AG281" s="5">
        <v>8</v>
      </c>
      <c r="AH281" s="5">
        <v>-13</v>
      </c>
      <c r="AI281" s="5">
        <v>15</v>
      </c>
      <c r="AJ281" s="5">
        <v>4</v>
      </c>
      <c r="AK281" s="5">
        <v>22</v>
      </c>
      <c r="AL281" s="6">
        <v>-5</v>
      </c>
    </row>
    <row r="282" spans="1:38">
      <c r="A282" s="4">
        <v>3</v>
      </c>
      <c r="B282" s="5">
        <v>-17</v>
      </c>
      <c r="C282" s="5">
        <v>-1</v>
      </c>
      <c r="D282" s="5">
        <v>-25</v>
      </c>
      <c r="E282" s="5">
        <v>-15</v>
      </c>
      <c r="F282" s="5">
        <v>-9</v>
      </c>
      <c r="G282" s="5">
        <v>-2</v>
      </c>
      <c r="H282" s="5">
        <v>-20</v>
      </c>
      <c r="I282" s="5">
        <v>-8</v>
      </c>
      <c r="J282" s="5">
        <v>0</v>
      </c>
      <c r="K282" s="5">
        <v>3</v>
      </c>
      <c r="L282" s="5">
        <v>12</v>
      </c>
      <c r="M282" s="5">
        <v>9</v>
      </c>
      <c r="N282" s="5">
        <v>-5</v>
      </c>
      <c r="O282" s="5">
        <v>6</v>
      </c>
      <c r="P282" s="5">
        <v>-9</v>
      </c>
      <c r="Q282" s="5">
        <v>5</v>
      </c>
      <c r="R282" s="5">
        <v>19</v>
      </c>
      <c r="S282" s="5">
        <v>-21</v>
      </c>
      <c r="T282" s="5">
        <v>23</v>
      </c>
      <c r="U282" s="5">
        <v>18</v>
      </c>
      <c r="V282" s="5">
        <v>27</v>
      </c>
      <c r="W282" s="5">
        <v>-3</v>
      </c>
      <c r="X282" s="5">
        <v>24</v>
      </c>
      <c r="Y282" s="5">
        <v>6</v>
      </c>
      <c r="Z282" s="5">
        <v>9</v>
      </c>
      <c r="AA282" s="5">
        <v>0</v>
      </c>
      <c r="AB282" s="5">
        <v>-39</v>
      </c>
      <c r="AC282" s="5">
        <v>16</v>
      </c>
      <c r="AD282" s="5">
        <v>15</v>
      </c>
      <c r="AE282" s="5">
        <v>4</v>
      </c>
      <c r="AF282" s="5">
        <v>-9</v>
      </c>
      <c r="AG282" s="5">
        <v>-6</v>
      </c>
      <c r="AH282" s="5">
        <v>-18</v>
      </c>
      <c r="AI282" s="5">
        <v>5</v>
      </c>
      <c r="AJ282" s="5">
        <v>-6</v>
      </c>
      <c r="AK282" s="5">
        <v>-3</v>
      </c>
      <c r="AL282" s="6">
        <v>-21</v>
      </c>
    </row>
    <row r="283" spans="1:38">
      <c r="A283" s="4">
        <v>9</v>
      </c>
      <c r="B283" s="5">
        <v>-11</v>
      </c>
      <c r="C283" s="5">
        <v>10</v>
      </c>
      <c r="D283" s="5">
        <v>4</v>
      </c>
      <c r="E283" s="5">
        <v>12</v>
      </c>
      <c r="F283" s="5">
        <v>-18</v>
      </c>
      <c r="G283" s="5">
        <v>-4</v>
      </c>
      <c r="H283" s="5">
        <v>-5</v>
      </c>
      <c r="I283" s="5">
        <v>15</v>
      </c>
      <c r="J283" s="5">
        <v>8</v>
      </c>
      <c r="K283" s="5">
        <v>-27</v>
      </c>
      <c r="L283" s="5">
        <v>13</v>
      </c>
      <c r="M283" s="5">
        <v>9</v>
      </c>
      <c r="N283" s="5">
        <v>12</v>
      </c>
      <c r="O283" s="5">
        <v>-3</v>
      </c>
      <c r="P283" s="5">
        <v>6</v>
      </c>
      <c r="Q283" s="5">
        <v>10</v>
      </c>
      <c r="R283" s="5">
        <v>6</v>
      </c>
      <c r="S283" s="5">
        <v>9</v>
      </c>
      <c r="T283" s="5">
        <v>-20</v>
      </c>
      <c r="U283" s="5">
        <v>12</v>
      </c>
      <c r="V283" s="5">
        <v>5</v>
      </c>
      <c r="W283" s="5">
        <v>29</v>
      </c>
      <c r="X283" s="5">
        <v>-18</v>
      </c>
      <c r="Y283" s="5">
        <v>21</v>
      </c>
      <c r="Z283" s="5">
        <v>-8</v>
      </c>
      <c r="AA283" s="5">
        <v>-1</v>
      </c>
      <c r="AB283" s="5">
        <v>19</v>
      </c>
      <c r="AC283" s="5">
        <v>-10</v>
      </c>
      <c r="AD283" s="5">
        <v>-7</v>
      </c>
      <c r="AE283" s="5">
        <v>9</v>
      </c>
      <c r="AF283" s="5">
        <v>-9</v>
      </c>
      <c r="AG283" s="5">
        <v>-13</v>
      </c>
      <c r="AH283" s="5">
        <v>-8</v>
      </c>
      <c r="AI283" s="5">
        <v>15</v>
      </c>
      <c r="AJ283" s="5">
        <v>-7</v>
      </c>
      <c r="AK283" s="5">
        <v>0</v>
      </c>
      <c r="AL283" s="6">
        <v>18</v>
      </c>
    </row>
    <row r="284" spans="1:38">
      <c r="A284" s="4">
        <v>11</v>
      </c>
      <c r="B284" s="5">
        <v>-18</v>
      </c>
      <c r="C284" s="5">
        <v>-4</v>
      </c>
      <c r="D284" s="5">
        <v>-3</v>
      </c>
      <c r="E284" s="5">
        <v>-1</v>
      </c>
      <c r="F284" s="5">
        <v>0</v>
      </c>
      <c r="G284" s="5">
        <v>10</v>
      </c>
      <c r="H284" s="5">
        <v>2</v>
      </c>
      <c r="I284" s="5">
        <v>10</v>
      </c>
      <c r="J284" s="5">
        <v>-5</v>
      </c>
      <c r="K284" s="5">
        <v>-20</v>
      </c>
      <c r="L284" s="5">
        <v>25</v>
      </c>
      <c r="M284" s="5">
        <v>22</v>
      </c>
      <c r="N284" s="5">
        <v>6</v>
      </c>
      <c r="O284" s="5">
        <v>-7</v>
      </c>
      <c r="P284" s="5">
        <v>-4</v>
      </c>
      <c r="Q284" s="5">
        <v>5</v>
      </c>
      <c r="R284" s="5">
        <v>21</v>
      </c>
      <c r="S284" s="5">
        <v>0</v>
      </c>
      <c r="T284" s="5">
        <v>3</v>
      </c>
      <c r="U284" s="5">
        <v>11</v>
      </c>
      <c r="V284" s="5">
        <v>0</v>
      </c>
      <c r="W284" s="5">
        <v>-14</v>
      </c>
      <c r="X284" s="5">
        <v>3</v>
      </c>
      <c r="Y284" s="5">
        <v>5</v>
      </c>
      <c r="Z284" s="5">
        <v>-14</v>
      </c>
      <c r="AA284" s="5">
        <v>-8</v>
      </c>
      <c r="AB284" s="5">
        <v>19</v>
      </c>
      <c r="AC284" s="5">
        <v>0</v>
      </c>
      <c r="AD284" s="5">
        <v>8</v>
      </c>
      <c r="AE284" s="5">
        <v>7</v>
      </c>
      <c r="AF284" s="5">
        <v>27</v>
      </c>
      <c r="AG284" s="5">
        <v>-9</v>
      </c>
      <c r="AH284" s="5">
        <v>6</v>
      </c>
      <c r="AI284" s="5">
        <v>-2</v>
      </c>
      <c r="AJ284" s="5">
        <v>-26</v>
      </c>
      <c r="AK284" s="5">
        <v>-10</v>
      </c>
      <c r="AL284" s="6">
        <v>-8</v>
      </c>
    </row>
    <row r="285" spans="1:38">
      <c r="A285" s="4">
        <v>29</v>
      </c>
      <c r="B285" s="5">
        <v>7</v>
      </c>
      <c r="C285" s="5">
        <v>16</v>
      </c>
      <c r="D285" s="5">
        <v>8</v>
      </c>
      <c r="E285" s="5">
        <v>18</v>
      </c>
      <c r="F285" s="5">
        <v>-5</v>
      </c>
      <c r="G285" s="5">
        <v>-1</v>
      </c>
      <c r="H285" s="5">
        <v>-21</v>
      </c>
      <c r="I285" s="5">
        <v>7</v>
      </c>
      <c r="J285" s="5">
        <v>-2</v>
      </c>
      <c r="K285" s="5">
        <v>3</v>
      </c>
      <c r="L285" s="5">
        <v>-10</v>
      </c>
      <c r="M285" s="5">
        <v>-7</v>
      </c>
      <c r="N285" s="5">
        <v>-19</v>
      </c>
      <c r="O285" s="5">
        <v>2</v>
      </c>
      <c r="P285" s="5">
        <v>-4</v>
      </c>
      <c r="Q285" s="5">
        <v>9</v>
      </c>
      <c r="R285" s="5">
        <v>-24</v>
      </c>
      <c r="S285" s="5">
        <v>-1</v>
      </c>
      <c r="T285" s="5">
        <v>-15</v>
      </c>
      <c r="U285" s="5">
        <v>2</v>
      </c>
      <c r="V285" s="5">
        <v>49</v>
      </c>
      <c r="W285" s="5">
        <v>20</v>
      </c>
      <c r="X285" s="5">
        <v>-11</v>
      </c>
      <c r="Y285" s="5">
        <v>9</v>
      </c>
      <c r="Z285" s="5">
        <v>-1</v>
      </c>
      <c r="AA285" s="5">
        <v>27</v>
      </c>
      <c r="AB285" s="5">
        <v>19</v>
      </c>
      <c r="AC285" s="5">
        <v>-7</v>
      </c>
      <c r="AD285" s="5">
        <v>-13</v>
      </c>
      <c r="AE285" s="5">
        <v>-20</v>
      </c>
      <c r="AF285" s="5">
        <v>-40</v>
      </c>
      <c r="AG285" s="5">
        <v>-13</v>
      </c>
      <c r="AH285" s="5">
        <v>-8</v>
      </c>
      <c r="AI285" s="5">
        <v>30</v>
      </c>
      <c r="AJ285" s="5">
        <v>12</v>
      </c>
      <c r="AK285" s="5">
        <v>14</v>
      </c>
      <c r="AL285" s="6">
        <v>0</v>
      </c>
    </row>
    <row r="286" spans="1:38">
      <c r="A286" s="4">
        <v>12</v>
      </c>
      <c r="B286" s="5">
        <v>10</v>
      </c>
      <c r="C286" s="5">
        <v>2</v>
      </c>
      <c r="D286" s="5">
        <v>4</v>
      </c>
      <c r="E286" s="5">
        <v>-13</v>
      </c>
      <c r="F286" s="5">
        <v>1</v>
      </c>
      <c r="G286" s="5">
        <v>-1</v>
      </c>
      <c r="H286" s="5">
        <v>12</v>
      </c>
      <c r="I286" s="5">
        <v>-6</v>
      </c>
      <c r="J286" s="5">
        <v>-6</v>
      </c>
      <c r="K286" s="5">
        <v>-7</v>
      </c>
      <c r="L286" s="5">
        <v>-6</v>
      </c>
      <c r="M286" s="5">
        <v>-1</v>
      </c>
      <c r="N286" s="5">
        <v>-4</v>
      </c>
      <c r="O286" s="5">
        <v>-2</v>
      </c>
      <c r="P286" s="5">
        <v>5</v>
      </c>
      <c r="Q286" s="5">
        <v>8</v>
      </c>
      <c r="R286" s="5">
        <v>12</v>
      </c>
      <c r="S286" s="5">
        <v>0</v>
      </c>
      <c r="T286" s="5">
        <v>-6</v>
      </c>
      <c r="U286" s="5">
        <v>4</v>
      </c>
      <c r="V286" s="5">
        <v>1</v>
      </c>
      <c r="W286" s="5">
        <v>-1</v>
      </c>
      <c r="X286" s="5">
        <v>-3</v>
      </c>
      <c r="Y286" s="5">
        <v>3</v>
      </c>
      <c r="Z286" s="5">
        <v>0</v>
      </c>
      <c r="AA286" s="5">
        <v>-3</v>
      </c>
      <c r="AB286" s="5">
        <v>-1</v>
      </c>
      <c r="AC286" s="5">
        <v>6</v>
      </c>
      <c r="AD286" s="5">
        <v>10</v>
      </c>
      <c r="AE286" s="5">
        <v>1</v>
      </c>
      <c r="AF286" s="5">
        <v>14</v>
      </c>
      <c r="AG286" s="5">
        <v>-9</v>
      </c>
      <c r="AH286" s="5">
        <v>23</v>
      </c>
      <c r="AI286" s="5">
        <v>3</v>
      </c>
      <c r="AJ286" s="5">
        <v>-10</v>
      </c>
      <c r="AK286" s="5">
        <v>4</v>
      </c>
      <c r="AL286" s="6">
        <v>4</v>
      </c>
    </row>
    <row r="287" spans="1:38">
      <c r="A287" s="4">
        <v>16</v>
      </c>
      <c r="B287" s="5">
        <v>6</v>
      </c>
      <c r="C287" s="5">
        <v>19</v>
      </c>
      <c r="D287" s="5">
        <v>2</v>
      </c>
      <c r="E287" s="5">
        <v>-8</v>
      </c>
      <c r="F287" s="5">
        <v>1</v>
      </c>
      <c r="G287" s="5">
        <v>12</v>
      </c>
      <c r="H287" s="5">
        <v>-5</v>
      </c>
      <c r="I287" s="5">
        <v>5</v>
      </c>
      <c r="J287" s="5">
        <v>0</v>
      </c>
      <c r="K287" s="5">
        <v>-1</v>
      </c>
      <c r="L287" s="5">
        <v>-12</v>
      </c>
      <c r="M287" s="5">
        <v>-4</v>
      </c>
      <c r="N287" s="5">
        <v>-6</v>
      </c>
      <c r="O287" s="5">
        <v>6</v>
      </c>
      <c r="P287" s="5">
        <v>8</v>
      </c>
      <c r="Q287" s="5">
        <v>1</v>
      </c>
      <c r="R287" s="5">
        <v>-5</v>
      </c>
      <c r="S287" s="5">
        <v>4</v>
      </c>
      <c r="T287" s="5">
        <v>1</v>
      </c>
      <c r="U287" s="5">
        <v>0</v>
      </c>
      <c r="V287" s="5">
        <v>14</v>
      </c>
      <c r="W287" s="5">
        <v>-7</v>
      </c>
      <c r="X287" s="5">
        <v>-1</v>
      </c>
      <c r="Y287" s="5">
        <v>-7</v>
      </c>
      <c r="Z287" s="5">
        <v>11</v>
      </c>
      <c r="AA287" s="5">
        <v>15</v>
      </c>
      <c r="AB287" s="5">
        <v>2</v>
      </c>
      <c r="AC287" s="5">
        <v>5</v>
      </c>
      <c r="AD287" s="5">
        <v>3</v>
      </c>
      <c r="AE287" s="5">
        <v>-10</v>
      </c>
      <c r="AF287" s="5">
        <v>2</v>
      </c>
      <c r="AG287" s="5">
        <v>-7</v>
      </c>
      <c r="AH287" s="5">
        <v>16</v>
      </c>
      <c r="AI287" s="5">
        <v>4</v>
      </c>
      <c r="AJ287" s="5">
        <v>-6</v>
      </c>
      <c r="AK287" s="5">
        <v>11</v>
      </c>
      <c r="AL287" s="6">
        <v>3</v>
      </c>
    </row>
    <row r="288" spans="1:38">
      <c r="A288" s="4">
        <v>28</v>
      </c>
      <c r="B288" s="5">
        <v>-3</v>
      </c>
      <c r="C288" s="5">
        <v>24</v>
      </c>
      <c r="D288" s="5">
        <v>-5</v>
      </c>
      <c r="E288" s="5">
        <v>4</v>
      </c>
      <c r="F288" s="5">
        <v>-15</v>
      </c>
      <c r="G288" s="5">
        <v>10</v>
      </c>
      <c r="H288" s="5">
        <v>-5</v>
      </c>
      <c r="I288" s="5">
        <v>13</v>
      </c>
      <c r="J288" s="5">
        <v>-4</v>
      </c>
      <c r="K288" s="5">
        <v>9</v>
      </c>
      <c r="L288" s="5">
        <v>-9</v>
      </c>
      <c r="M288" s="5">
        <v>-11</v>
      </c>
      <c r="N288" s="5">
        <v>-15</v>
      </c>
      <c r="O288" s="5">
        <v>2</v>
      </c>
      <c r="P288" s="5">
        <v>-12</v>
      </c>
      <c r="Q288" s="5">
        <v>-6</v>
      </c>
      <c r="R288" s="5">
        <v>-20</v>
      </c>
      <c r="S288" s="5">
        <v>-15</v>
      </c>
      <c r="T288" s="5">
        <v>-13</v>
      </c>
      <c r="U288" s="5">
        <v>-8</v>
      </c>
      <c r="V288" s="5">
        <v>29</v>
      </c>
      <c r="W288" s="5">
        <v>-2</v>
      </c>
      <c r="X288" s="5">
        <v>-9</v>
      </c>
      <c r="Y288" s="5">
        <v>-4</v>
      </c>
      <c r="Z288" s="5">
        <v>-16</v>
      </c>
      <c r="AA288" s="5">
        <v>33</v>
      </c>
      <c r="AB288" s="5">
        <v>11</v>
      </c>
      <c r="AC288" s="5">
        <v>15</v>
      </c>
      <c r="AD288" s="5">
        <v>-1</v>
      </c>
      <c r="AE288" s="5">
        <v>-25</v>
      </c>
      <c r="AF288" s="5">
        <v>1</v>
      </c>
      <c r="AG288" s="5">
        <v>8</v>
      </c>
      <c r="AH288" s="5">
        <v>-16</v>
      </c>
      <c r="AI288" s="5">
        <v>24</v>
      </c>
      <c r="AJ288" s="5">
        <v>15</v>
      </c>
      <c r="AK288" s="5">
        <v>-4</v>
      </c>
      <c r="AL288" s="6">
        <v>-4</v>
      </c>
    </row>
    <row r="289" spans="1:38">
      <c r="A289" s="4">
        <v>-1</v>
      </c>
      <c r="B289" s="5">
        <v>-4</v>
      </c>
      <c r="C289" s="5">
        <v>-5</v>
      </c>
      <c r="D289" s="5">
        <v>5</v>
      </c>
      <c r="E289" s="5">
        <v>1</v>
      </c>
      <c r="F289" s="5">
        <v>-17</v>
      </c>
      <c r="G289" s="5">
        <v>2</v>
      </c>
      <c r="H289" s="5">
        <v>1</v>
      </c>
      <c r="I289" s="5">
        <v>21</v>
      </c>
      <c r="J289" s="5">
        <v>-6</v>
      </c>
      <c r="K289" s="5">
        <v>-11</v>
      </c>
      <c r="L289" s="5">
        <v>6</v>
      </c>
      <c r="M289" s="5">
        <v>3</v>
      </c>
      <c r="N289" s="5">
        <v>4</v>
      </c>
      <c r="O289" s="5">
        <v>2</v>
      </c>
      <c r="P289" s="5">
        <v>0</v>
      </c>
      <c r="Q289" s="5">
        <v>7</v>
      </c>
      <c r="R289" s="5">
        <v>-12</v>
      </c>
      <c r="S289" s="5">
        <v>8</v>
      </c>
      <c r="T289" s="5">
        <v>-4</v>
      </c>
      <c r="U289" s="5">
        <v>8</v>
      </c>
      <c r="V289" s="5">
        <v>-11</v>
      </c>
      <c r="W289" s="5">
        <v>2</v>
      </c>
      <c r="X289" s="5">
        <v>-5</v>
      </c>
      <c r="Y289" s="5">
        <v>5</v>
      </c>
      <c r="Z289" s="5">
        <v>5</v>
      </c>
      <c r="AA289" s="5">
        <v>-7</v>
      </c>
      <c r="AB289" s="5">
        <v>-12</v>
      </c>
      <c r="AC289" s="5">
        <v>-5</v>
      </c>
      <c r="AD289" s="5">
        <v>-2</v>
      </c>
      <c r="AE289" s="5">
        <v>1</v>
      </c>
      <c r="AF289" s="5">
        <v>3</v>
      </c>
      <c r="AG289" s="5">
        <v>1</v>
      </c>
      <c r="AH289" s="5">
        <v>0</v>
      </c>
      <c r="AI289" s="5">
        <v>-3</v>
      </c>
      <c r="AJ289" s="5">
        <v>2</v>
      </c>
      <c r="AK289" s="5">
        <v>1</v>
      </c>
      <c r="AL289" s="6">
        <v>1</v>
      </c>
    </row>
    <row r="290" spans="1:38">
      <c r="A290" s="4">
        <v>24</v>
      </c>
      <c r="B290" s="5">
        <v>4</v>
      </c>
      <c r="C290" s="5">
        <v>28</v>
      </c>
      <c r="D290" s="5">
        <v>10</v>
      </c>
      <c r="E290" s="5">
        <v>33</v>
      </c>
      <c r="F290" s="5">
        <v>4</v>
      </c>
      <c r="G290" s="5">
        <v>-15</v>
      </c>
      <c r="H290" s="5">
        <v>-18</v>
      </c>
      <c r="I290" s="5">
        <v>11</v>
      </c>
      <c r="J290" s="5">
        <v>19</v>
      </c>
      <c r="K290" s="5">
        <v>13</v>
      </c>
      <c r="L290" s="5">
        <v>-15</v>
      </c>
      <c r="M290" s="5">
        <v>11</v>
      </c>
      <c r="N290" s="5">
        <v>10</v>
      </c>
      <c r="O290" s="5">
        <v>-14</v>
      </c>
      <c r="P290" s="5">
        <v>4</v>
      </c>
      <c r="Q290" s="5">
        <v>16</v>
      </c>
      <c r="R290" s="5">
        <v>-3</v>
      </c>
      <c r="S290" s="5">
        <v>-28</v>
      </c>
      <c r="T290" s="5">
        <v>37</v>
      </c>
      <c r="U290" s="5">
        <v>12</v>
      </c>
      <c r="V290" s="5">
        <v>7</v>
      </c>
      <c r="W290" s="5">
        <v>17</v>
      </c>
      <c r="X290" s="5">
        <v>-23</v>
      </c>
      <c r="Y290" s="5">
        <v>-5</v>
      </c>
      <c r="Z290" s="5">
        <v>-25</v>
      </c>
      <c r="AA290" s="5">
        <v>0</v>
      </c>
      <c r="AB290" s="5">
        <v>8</v>
      </c>
      <c r="AC290" s="5">
        <v>-29</v>
      </c>
      <c r="AD290" s="5">
        <v>0</v>
      </c>
      <c r="AE290" s="5">
        <v>-15</v>
      </c>
      <c r="AF290" s="5">
        <v>-6</v>
      </c>
      <c r="AG290" s="5">
        <v>33</v>
      </c>
      <c r="AH290" s="5">
        <v>-12</v>
      </c>
      <c r="AI290" s="5">
        <v>50</v>
      </c>
      <c r="AJ290" s="5">
        <v>28</v>
      </c>
      <c r="AK290" s="5">
        <v>24</v>
      </c>
      <c r="AL290" s="6">
        <v>-10</v>
      </c>
    </row>
    <row r="291" spans="1:38">
      <c r="A291" s="4">
        <v>2</v>
      </c>
      <c r="B291" s="5">
        <v>-50</v>
      </c>
      <c r="C291" s="5">
        <v>2</v>
      </c>
      <c r="D291" s="5">
        <v>9</v>
      </c>
      <c r="E291" s="5">
        <v>45</v>
      </c>
      <c r="F291" s="5">
        <v>15</v>
      </c>
      <c r="G291" s="5">
        <v>-27</v>
      </c>
      <c r="H291" s="5">
        <v>-5</v>
      </c>
      <c r="I291" s="5">
        <v>-12</v>
      </c>
      <c r="J291" s="5">
        <v>29</v>
      </c>
      <c r="K291" s="5">
        <v>-15</v>
      </c>
      <c r="L291" s="5">
        <v>16</v>
      </c>
      <c r="M291" s="5">
        <v>24</v>
      </c>
      <c r="N291" s="5">
        <v>41</v>
      </c>
      <c r="O291" s="5">
        <v>-24</v>
      </c>
      <c r="P291" s="5">
        <v>-21</v>
      </c>
      <c r="Q291" s="5">
        <v>-13</v>
      </c>
      <c r="R291" s="5">
        <v>7</v>
      </c>
      <c r="S291" s="5">
        <v>-35</v>
      </c>
      <c r="T291" s="5">
        <v>32</v>
      </c>
      <c r="U291" s="5">
        <v>-12</v>
      </c>
      <c r="V291" s="5">
        <v>6</v>
      </c>
      <c r="W291" s="5">
        <v>13</v>
      </c>
      <c r="X291" s="5">
        <v>-19</v>
      </c>
      <c r="Y291" s="5">
        <v>15</v>
      </c>
      <c r="Z291" s="5">
        <v>-42</v>
      </c>
      <c r="AA291" s="5">
        <v>-33</v>
      </c>
      <c r="AB291" s="5">
        <v>7</v>
      </c>
      <c r="AC291" s="5">
        <v>0</v>
      </c>
      <c r="AD291" s="5">
        <v>2</v>
      </c>
      <c r="AE291" s="5">
        <v>41</v>
      </c>
      <c r="AF291" s="5">
        <v>16</v>
      </c>
      <c r="AG291" s="5">
        <v>7</v>
      </c>
      <c r="AH291" s="5">
        <v>-8</v>
      </c>
      <c r="AI291" s="5">
        <v>34</v>
      </c>
      <c r="AJ291" s="5">
        <v>23</v>
      </c>
      <c r="AK291" s="5">
        <v>40</v>
      </c>
      <c r="AL291" s="6">
        <v>3</v>
      </c>
    </row>
    <row r="292" spans="1:38">
      <c r="A292" s="4">
        <v>1</v>
      </c>
      <c r="B292" s="5">
        <v>-41</v>
      </c>
      <c r="C292" s="5">
        <v>-5</v>
      </c>
      <c r="D292" s="5">
        <v>6</v>
      </c>
      <c r="E292" s="5">
        <v>38</v>
      </c>
      <c r="F292" s="5">
        <v>27</v>
      </c>
      <c r="G292" s="5">
        <v>-20</v>
      </c>
      <c r="H292" s="5">
        <v>-6</v>
      </c>
      <c r="I292" s="5">
        <v>-10</v>
      </c>
      <c r="J292" s="5">
        <v>34</v>
      </c>
      <c r="K292" s="5">
        <v>0</v>
      </c>
      <c r="L292" s="5">
        <v>10</v>
      </c>
      <c r="M292" s="5">
        <v>13</v>
      </c>
      <c r="N292" s="5">
        <v>30</v>
      </c>
      <c r="O292" s="5">
        <v>-14</v>
      </c>
      <c r="P292" s="5">
        <v>-9</v>
      </c>
      <c r="Q292" s="5">
        <v>-17</v>
      </c>
      <c r="R292" s="5">
        <v>4</v>
      </c>
      <c r="S292" s="5">
        <v>-44</v>
      </c>
      <c r="T292" s="5">
        <v>46</v>
      </c>
      <c r="U292" s="5">
        <v>-7</v>
      </c>
      <c r="V292" s="5">
        <v>-5</v>
      </c>
      <c r="W292" s="5">
        <v>13</v>
      </c>
      <c r="X292" s="5">
        <v>-15</v>
      </c>
      <c r="Y292" s="5">
        <v>11</v>
      </c>
      <c r="Z292" s="5">
        <v>-53</v>
      </c>
      <c r="AA292" s="5">
        <v>-30</v>
      </c>
      <c r="AB292" s="5">
        <v>11</v>
      </c>
      <c r="AC292" s="5">
        <v>7</v>
      </c>
      <c r="AD292" s="5">
        <v>15</v>
      </c>
      <c r="AE292" s="5">
        <v>31</v>
      </c>
      <c r="AF292" s="5">
        <v>15</v>
      </c>
      <c r="AG292" s="5">
        <v>17</v>
      </c>
      <c r="AH292" s="5">
        <v>-14</v>
      </c>
      <c r="AI292" s="5">
        <v>47</v>
      </c>
      <c r="AJ292" s="5">
        <v>20</v>
      </c>
      <c r="AK292" s="5">
        <v>44</v>
      </c>
      <c r="AL292" s="6">
        <v>-3</v>
      </c>
    </row>
    <row r="293" spans="1:38">
      <c r="A293" s="4">
        <v>0</v>
      </c>
      <c r="B293" s="5">
        <v>-2</v>
      </c>
      <c r="C293" s="5">
        <v>8</v>
      </c>
      <c r="D293" s="5">
        <v>-2</v>
      </c>
      <c r="E293" s="5">
        <v>3</v>
      </c>
      <c r="F293" s="5">
        <v>-1</v>
      </c>
      <c r="G293" s="5">
        <v>-6</v>
      </c>
      <c r="H293" s="5">
        <v>4</v>
      </c>
      <c r="I293" s="5">
        <v>-5</v>
      </c>
      <c r="J293" s="5">
        <v>-3</v>
      </c>
      <c r="K293" s="5">
        <v>-6</v>
      </c>
      <c r="L293" s="5">
        <v>12</v>
      </c>
      <c r="M293" s="5">
        <v>10</v>
      </c>
      <c r="N293" s="5">
        <v>14</v>
      </c>
      <c r="O293" s="5">
        <v>-9</v>
      </c>
      <c r="P293" s="5">
        <v>-2</v>
      </c>
      <c r="Q293" s="5">
        <v>-5</v>
      </c>
      <c r="R293" s="5">
        <v>8</v>
      </c>
      <c r="S293" s="5">
        <v>-6</v>
      </c>
      <c r="T293" s="5">
        <v>-5</v>
      </c>
      <c r="U293" s="5">
        <v>0</v>
      </c>
      <c r="V293" s="5">
        <v>4</v>
      </c>
      <c r="W293" s="5">
        <v>-4</v>
      </c>
      <c r="X293" s="5">
        <v>6</v>
      </c>
      <c r="Y293" s="5">
        <v>13</v>
      </c>
      <c r="Z293" s="5">
        <v>20</v>
      </c>
      <c r="AA293" s="5">
        <v>3</v>
      </c>
      <c r="AB293" s="5">
        <v>-2</v>
      </c>
      <c r="AC293" s="5">
        <v>-5</v>
      </c>
      <c r="AD293" s="5">
        <v>-1</v>
      </c>
      <c r="AE293" s="5">
        <v>13</v>
      </c>
      <c r="AF293" s="5">
        <v>-6</v>
      </c>
      <c r="AG293" s="5">
        <v>-6</v>
      </c>
      <c r="AH293" s="5">
        <v>11</v>
      </c>
      <c r="AI293" s="5">
        <v>-6</v>
      </c>
      <c r="AJ293" s="5">
        <v>20</v>
      </c>
      <c r="AK293" s="5">
        <v>-1</v>
      </c>
      <c r="AL293" s="6">
        <v>0</v>
      </c>
    </row>
    <row r="294" spans="1:38">
      <c r="A294" s="4">
        <v>14</v>
      </c>
      <c r="B294" s="5">
        <v>-68</v>
      </c>
      <c r="C294" s="5">
        <v>6</v>
      </c>
      <c r="D294" s="5">
        <v>-9</v>
      </c>
      <c r="E294" s="5">
        <v>11</v>
      </c>
      <c r="F294" s="5">
        <v>-26</v>
      </c>
      <c r="G294" s="5">
        <v>-10</v>
      </c>
      <c r="H294" s="5">
        <v>5</v>
      </c>
      <c r="I294" s="5">
        <v>-41</v>
      </c>
      <c r="J294" s="5">
        <v>-3</v>
      </c>
      <c r="K294" s="5">
        <v>-41</v>
      </c>
      <c r="L294" s="5">
        <v>-7</v>
      </c>
      <c r="M294" s="5">
        <v>13</v>
      </c>
      <c r="N294" s="5">
        <v>-5</v>
      </c>
      <c r="O294" s="5">
        <v>0</v>
      </c>
      <c r="P294" s="5">
        <v>-17</v>
      </c>
      <c r="Q294" s="5">
        <v>-6</v>
      </c>
      <c r="R294" s="5">
        <v>46</v>
      </c>
      <c r="S294" s="5">
        <v>-22</v>
      </c>
      <c r="T294" s="5">
        <v>7</v>
      </c>
      <c r="U294" s="5">
        <v>-16</v>
      </c>
      <c r="V294" s="5">
        <v>13</v>
      </c>
      <c r="W294" s="5">
        <v>-4</v>
      </c>
      <c r="X294" s="5">
        <v>2</v>
      </c>
      <c r="Y294" s="5">
        <v>13</v>
      </c>
      <c r="Z294" s="5">
        <v>-53</v>
      </c>
      <c r="AA294" s="5">
        <v>5</v>
      </c>
      <c r="AB294" s="5">
        <v>1</v>
      </c>
      <c r="AC294" s="5">
        <v>-8</v>
      </c>
      <c r="AD294" s="5">
        <v>19</v>
      </c>
      <c r="AE294" s="5">
        <v>18</v>
      </c>
      <c r="AF294" s="5">
        <v>39</v>
      </c>
      <c r="AG294" s="5">
        <v>5</v>
      </c>
      <c r="AH294" s="5">
        <v>-16</v>
      </c>
      <c r="AI294" s="5">
        <v>8</v>
      </c>
      <c r="AJ294" s="5">
        <v>-10</v>
      </c>
      <c r="AK294" s="5">
        <v>-19</v>
      </c>
      <c r="AL294" s="6">
        <v>4</v>
      </c>
    </row>
    <row r="295" spans="1:38">
      <c r="A295" s="4">
        <v>27</v>
      </c>
      <c r="B295" s="5">
        <v>-11</v>
      </c>
      <c r="C295" s="5">
        <v>15</v>
      </c>
      <c r="D295" s="5">
        <v>3</v>
      </c>
      <c r="E295" s="5">
        <v>16</v>
      </c>
      <c r="F295" s="5">
        <v>-17</v>
      </c>
      <c r="G295" s="5">
        <v>4</v>
      </c>
      <c r="H295" s="5">
        <v>-17</v>
      </c>
      <c r="I295" s="5">
        <v>5</v>
      </c>
      <c r="J295" s="5">
        <v>16</v>
      </c>
      <c r="K295" s="5">
        <v>12</v>
      </c>
      <c r="L295" s="5">
        <v>2</v>
      </c>
      <c r="M295" s="5">
        <v>-23</v>
      </c>
      <c r="N295" s="5">
        <v>-3</v>
      </c>
      <c r="O295" s="5">
        <v>3</v>
      </c>
      <c r="P295" s="5">
        <v>-17</v>
      </c>
      <c r="Q295" s="5">
        <v>16</v>
      </c>
      <c r="R295" s="5">
        <v>-23</v>
      </c>
      <c r="S295" s="5">
        <v>-6</v>
      </c>
      <c r="T295" s="5">
        <v>3</v>
      </c>
      <c r="U295" s="5">
        <v>-4</v>
      </c>
      <c r="V295" s="5">
        <v>24</v>
      </c>
      <c r="W295" s="5">
        <v>1</v>
      </c>
      <c r="X295" s="5">
        <v>-17</v>
      </c>
      <c r="Y295" s="5">
        <v>2</v>
      </c>
      <c r="Z295" s="5">
        <v>3</v>
      </c>
      <c r="AA295" s="5">
        <v>18</v>
      </c>
      <c r="AB295" s="5">
        <v>8</v>
      </c>
      <c r="AC295" s="5">
        <v>5</v>
      </c>
      <c r="AD295" s="5">
        <v>15</v>
      </c>
      <c r="AE295" s="5">
        <v>-27</v>
      </c>
      <c r="AF295" s="5">
        <v>23</v>
      </c>
      <c r="AG295" s="5">
        <v>2</v>
      </c>
      <c r="AH295" s="5">
        <v>-13</v>
      </c>
      <c r="AI295" s="5">
        <v>-29</v>
      </c>
      <c r="AJ295" s="5">
        <v>19</v>
      </c>
      <c r="AK295" s="5">
        <v>12</v>
      </c>
      <c r="AL295" s="6">
        <v>-14</v>
      </c>
    </row>
    <row r="296" spans="1:38">
      <c r="A296" s="4">
        <v>19</v>
      </c>
      <c r="B296" s="5">
        <v>-26</v>
      </c>
      <c r="C296" s="5">
        <v>4</v>
      </c>
      <c r="D296" s="5">
        <v>22</v>
      </c>
      <c r="E296" s="5">
        <v>31</v>
      </c>
      <c r="F296" s="5">
        <v>-43</v>
      </c>
      <c r="G296" s="5">
        <v>-12</v>
      </c>
      <c r="H296" s="5">
        <v>-1</v>
      </c>
      <c r="I296" s="5">
        <v>10</v>
      </c>
      <c r="J296" s="5">
        <v>-5</v>
      </c>
      <c r="K296" s="5">
        <v>-16</v>
      </c>
      <c r="L296" s="5">
        <v>13</v>
      </c>
      <c r="M296" s="5">
        <v>-6</v>
      </c>
      <c r="N296" s="5">
        <v>3</v>
      </c>
      <c r="O296" s="5">
        <v>-3</v>
      </c>
      <c r="P296" s="5">
        <v>-9</v>
      </c>
      <c r="Q296" s="5">
        <v>25</v>
      </c>
      <c r="R296" s="5">
        <v>-11</v>
      </c>
      <c r="S296" s="5">
        <v>7</v>
      </c>
      <c r="T296" s="5">
        <v>-14</v>
      </c>
      <c r="U296" s="5">
        <v>-3</v>
      </c>
      <c r="V296" s="5">
        <v>16</v>
      </c>
      <c r="W296" s="5">
        <v>0</v>
      </c>
      <c r="X296" s="5">
        <v>-11</v>
      </c>
      <c r="Y296" s="5">
        <v>29</v>
      </c>
      <c r="Z296" s="5">
        <v>-5</v>
      </c>
      <c r="AA296" s="5">
        <v>15</v>
      </c>
      <c r="AB296" s="5">
        <v>-13</v>
      </c>
      <c r="AC296" s="5">
        <v>10</v>
      </c>
      <c r="AD296" s="5">
        <v>18</v>
      </c>
      <c r="AE296" s="5">
        <v>-26</v>
      </c>
      <c r="AF296" s="5">
        <v>30</v>
      </c>
      <c r="AG296" s="5">
        <v>-4</v>
      </c>
      <c r="AH296" s="5">
        <v>-11</v>
      </c>
      <c r="AI296" s="5">
        <v>-66</v>
      </c>
      <c r="AJ296" s="5">
        <v>5</v>
      </c>
      <c r="AK296" s="5">
        <v>-5</v>
      </c>
      <c r="AL296" s="6">
        <v>-12</v>
      </c>
    </row>
    <row r="297" spans="1:38">
      <c r="A297" s="4">
        <v>0</v>
      </c>
      <c r="B297" s="5">
        <v>2</v>
      </c>
      <c r="C297" s="5">
        <v>3</v>
      </c>
      <c r="D297" s="5">
        <v>1</v>
      </c>
      <c r="E297" s="5">
        <v>14</v>
      </c>
      <c r="F297" s="5">
        <v>-8</v>
      </c>
      <c r="G297" s="5">
        <v>-3</v>
      </c>
      <c r="H297" s="5">
        <v>-6</v>
      </c>
      <c r="I297" s="5">
        <v>-16</v>
      </c>
      <c r="J297" s="5">
        <v>-9</v>
      </c>
      <c r="K297" s="5">
        <v>-16</v>
      </c>
      <c r="L297" s="5">
        <v>-20</v>
      </c>
      <c r="M297" s="5">
        <v>23</v>
      </c>
      <c r="N297" s="5">
        <v>18</v>
      </c>
      <c r="O297" s="5">
        <v>-1</v>
      </c>
      <c r="P297" s="5">
        <v>-16</v>
      </c>
      <c r="Q297" s="5">
        <v>-9</v>
      </c>
      <c r="R297" s="5">
        <v>-4</v>
      </c>
      <c r="S297" s="5">
        <v>8</v>
      </c>
      <c r="T297" s="5">
        <v>8</v>
      </c>
      <c r="U297" s="5">
        <v>-9</v>
      </c>
      <c r="V297" s="5">
        <v>-10</v>
      </c>
      <c r="W297" s="5">
        <v>4</v>
      </c>
      <c r="X297" s="5">
        <v>-5</v>
      </c>
      <c r="Y297" s="5">
        <v>6</v>
      </c>
      <c r="Z297" s="5">
        <v>-30</v>
      </c>
      <c r="AA297" s="5">
        <v>-1</v>
      </c>
      <c r="AB297" s="5">
        <v>20</v>
      </c>
      <c r="AC297" s="5">
        <v>-21</v>
      </c>
      <c r="AD297" s="5">
        <v>4</v>
      </c>
      <c r="AE297" s="5">
        <v>5</v>
      </c>
      <c r="AF297" s="5">
        <v>-9</v>
      </c>
      <c r="AG297" s="5">
        <v>8</v>
      </c>
      <c r="AH297" s="5">
        <v>-19</v>
      </c>
      <c r="AI297" s="5">
        <v>13</v>
      </c>
      <c r="AJ297" s="5">
        <v>-16</v>
      </c>
      <c r="AK297" s="5">
        <v>-11</v>
      </c>
      <c r="AL297" s="6">
        <v>-6</v>
      </c>
    </row>
    <row r="298" spans="1:38">
      <c r="A298" s="4">
        <v>36</v>
      </c>
      <c r="B298" s="5">
        <v>10</v>
      </c>
      <c r="C298" s="5">
        <v>33</v>
      </c>
      <c r="D298" s="5">
        <v>21</v>
      </c>
      <c r="E298" s="5">
        <v>65</v>
      </c>
      <c r="F298" s="5">
        <v>-13</v>
      </c>
      <c r="G298" s="5">
        <v>-40</v>
      </c>
      <c r="H298" s="5">
        <v>-31</v>
      </c>
      <c r="I298" s="5">
        <v>-31</v>
      </c>
      <c r="J298" s="5">
        <v>10</v>
      </c>
      <c r="K298" s="5">
        <v>19</v>
      </c>
      <c r="L298" s="5">
        <v>10</v>
      </c>
      <c r="M298" s="5">
        <v>-2</v>
      </c>
      <c r="N298" s="5">
        <v>-37</v>
      </c>
      <c r="O298" s="5">
        <v>24</v>
      </c>
      <c r="P298" s="5">
        <v>14</v>
      </c>
      <c r="Q298" s="5">
        <v>-21</v>
      </c>
      <c r="R298" s="5">
        <v>-45</v>
      </c>
      <c r="S298" s="5">
        <v>-8</v>
      </c>
      <c r="T298" s="5">
        <v>28</v>
      </c>
      <c r="U298" s="5">
        <v>-2</v>
      </c>
      <c r="V298" s="5">
        <v>-4</v>
      </c>
      <c r="W298" s="5">
        <v>-41</v>
      </c>
      <c r="X298" s="5">
        <v>-25</v>
      </c>
      <c r="Y298" s="5">
        <v>17</v>
      </c>
      <c r="Z298" s="5">
        <v>10</v>
      </c>
      <c r="AA298" s="5">
        <v>-6</v>
      </c>
      <c r="AB298" s="5">
        <v>-8</v>
      </c>
      <c r="AC298" s="5">
        <v>2</v>
      </c>
      <c r="AD298" s="5">
        <v>4</v>
      </c>
      <c r="AE298" s="5">
        <v>-15</v>
      </c>
      <c r="AF298" s="5">
        <v>-2</v>
      </c>
      <c r="AG298" s="5">
        <v>-26</v>
      </c>
      <c r="AH298" s="5">
        <v>-48</v>
      </c>
      <c r="AI298" s="5">
        <v>-8</v>
      </c>
      <c r="AJ298" s="5">
        <v>16</v>
      </c>
      <c r="AK298" s="5">
        <v>14</v>
      </c>
      <c r="AL298" s="6">
        <v>31</v>
      </c>
    </row>
    <row r="299" spans="1:38">
      <c r="A299" s="4">
        <v>32</v>
      </c>
      <c r="B299" s="5">
        <v>-12</v>
      </c>
      <c r="C299" s="5">
        <v>40</v>
      </c>
      <c r="D299" s="5">
        <v>-44</v>
      </c>
      <c r="E299" s="5">
        <v>-74</v>
      </c>
      <c r="F299" s="5">
        <v>2</v>
      </c>
      <c r="G299" s="5">
        <v>26</v>
      </c>
      <c r="H299" s="5">
        <v>-23</v>
      </c>
      <c r="I299" s="5">
        <v>28</v>
      </c>
      <c r="J299" s="5">
        <v>0</v>
      </c>
      <c r="K299" s="5">
        <v>12</v>
      </c>
      <c r="L299" s="5">
        <v>-9</v>
      </c>
      <c r="M299" s="5">
        <v>19</v>
      </c>
      <c r="N299" s="5">
        <v>-34</v>
      </c>
      <c r="O299" s="5">
        <v>10</v>
      </c>
      <c r="P299" s="5">
        <v>-40</v>
      </c>
      <c r="Q299" s="5">
        <v>-49</v>
      </c>
      <c r="R299" s="5">
        <v>9</v>
      </c>
      <c r="S299" s="5">
        <v>-3</v>
      </c>
      <c r="T299" s="5">
        <v>-10</v>
      </c>
      <c r="U299" s="5">
        <v>-3</v>
      </c>
      <c r="V299" s="5">
        <v>5</v>
      </c>
      <c r="W299" s="5">
        <v>-19</v>
      </c>
      <c r="X299" s="5">
        <v>12</v>
      </c>
      <c r="Y299" s="5">
        <v>15</v>
      </c>
      <c r="Z299" s="5">
        <v>-11</v>
      </c>
      <c r="AA299" s="5">
        <v>31</v>
      </c>
      <c r="AB299" s="5">
        <v>-6</v>
      </c>
      <c r="AC299" s="5">
        <v>11</v>
      </c>
      <c r="AD299" s="5">
        <v>-1</v>
      </c>
      <c r="AE299" s="5">
        <v>13</v>
      </c>
      <c r="AF299" s="5">
        <v>20</v>
      </c>
      <c r="AG299" s="5">
        <v>31</v>
      </c>
      <c r="AH299" s="5">
        <v>-6</v>
      </c>
      <c r="AI299" s="5">
        <v>-13</v>
      </c>
      <c r="AJ299" s="5">
        <v>-20</v>
      </c>
      <c r="AK299" s="5">
        <v>25</v>
      </c>
      <c r="AL299" s="6">
        <v>0</v>
      </c>
    </row>
    <row r="300" spans="1:38">
      <c r="A300" s="4">
        <v>-6</v>
      </c>
      <c r="B300" s="5">
        <v>-33</v>
      </c>
      <c r="C300" s="5">
        <v>9</v>
      </c>
      <c r="D300" s="5">
        <v>4</v>
      </c>
      <c r="E300" s="5">
        <v>-14</v>
      </c>
      <c r="F300" s="5">
        <v>-28</v>
      </c>
      <c r="G300" s="5">
        <v>14</v>
      </c>
      <c r="H300" s="5">
        <v>3</v>
      </c>
      <c r="I300" s="5">
        <v>13</v>
      </c>
      <c r="J300" s="5">
        <v>-28</v>
      </c>
      <c r="K300" s="5">
        <v>-29</v>
      </c>
      <c r="L300" s="5">
        <v>-14</v>
      </c>
      <c r="M300" s="5">
        <v>12</v>
      </c>
      <c r="N300" s="5">
        <v>-10</v>
      </c>
      <c r="O300" s="5">
        <v>-19</v>
      </c>
      <c r="P300" s="5">
        <v>-12</v>
      </c>
      <c r="Q300" s="5">
        <v>-17</v>
      </c>
      <c r="R300" s="5">
        <v>-13</v>
      </c>
      <c r="S300" s="5">
        <v>-5</v>
      </c>
      <c r="T300" s="5">
        <v>5</v>
      </c>
      <c r="U300" s="5">
        <v>27</v>
      </c>
      <c r="V300" s="5">
        <v>-18</v>
      </c>
      <c r="W300" s="5">
        <v>-12</v>
      </c>
      <c r="X300" s="5">
        <v>3</v>
      </c>
      <c r="Y300" s="5">
        <v>28</v>
      </c>
      <c r="Z300" s="5">
        <v>-14</v>
      </c>
      <c r="AA300" s="5">
        <v>-17</v>
      </c>
      <c r="AB300" s="5">
        <v>8</v>
      </c>
      <c r="AC300" s="5">
        <v>9</v>
      </c>
      <c r="AD300" s="5">
        <v>30</v>
      </c>
      <c r="AE300" s="5">
        <v>-13</v>
      </c>
      <c r="AF300" s="5">
        <v>-25</v>
      </c>
      <c r="AG300" s="5">
        <v>16</v>
      </c>
      <c r="AH300" s="5">
        <v>0</v>
      </c>
      <c r="AI300" s="5">
        <v>12</v>
      </c>
      <c r="AJ300" s="5">
        <v>11</v>
      </c>
      <c r="AK300" s="5">
        <v>-4</v>
      </c>
      <c r="AL300" s="6">
        <v>16</v>
      </c>
    </row>
    <row r="301" spans="1:38">
      <c r="A301" s="4">
        <v>20</v>
      </c>
      <c r="B301" s="5">
        <v>-49</v>
      </c>
      <c r="C301" s="5">
        <v>35</v>
      </c>
      <c r="D301" s="5">
        <v>-19</v>
      </c>
      <c r="E301" s="5">
        <v>-34</v>
      </c>
      <c r="F301" s="5">
        <v>10</v>
      </c>
      <c r="G301" s="5">
        <v>14</v>
      </c>
      <c r="H301" s="5">
        <v>-19</v>
      </c>
      <c r="I301" s="5">
        <v>-26</v>
      </c>
      <c r="J301" s="5">
        <v>-5</v>
      </c>
      <c r="K301" s="5">
        <v>-11</v>
      </c>
      <c r="L301" s="5">
        <v>-15</v>
      </c>
      <c r="M301" s="5">
        <v>-4</v>
      </c>
      <c r="N301" s="5">
        <v>-33</v>
      </c>
      <c r="O301" s="5">
        <v>6</v>
      </c>
      <c r="P301" s="5">
        <v>-10</v>
      </c>
      <c r="Q301" s="5">
        <v>-23</v>
      </c>
      <c r="R301" s="5">
        <v>-17</v>
      </c>
      <c r="S301" s="5">
        <v>-6</v>
      </c>
      <c r="T301" s="5">
        <v>-2</v>
      </c>
      <c r="U301" s="5">
        <v>16</v>
      </c>
      <c r="V301" s="5">
        <v>-3</v>
      </c>
      <c r="W301" s="5">
        <v>1</v>
      </c>
      <c r="X301" s="5">
        <v>20</v>
      </c>
      <c r="Y301" s="5">
        <v>19</v>
      </c>
      <c r="Z301" s="5">
        <v>7</v>
      </c>
      <c r="AA301" s="5">
        <v>6</v>
      </c>
      <c r="AB301" s="5">
        <v>-20</v>
      </c>
      <c r="AC301" s="5">
        <v>-1</v>
      </c>
      <c r="AD301" s="5">
        <v>12</v>
      </c>
      <c r="AE301" s="5">
        <v>-23</v>
      </c>
      <c r="AF301" s="5">
        <v>-3</v>
      </c>
      <c r="AG301" s="5">
        <v>41</v>
      </c>
      <c r="AH301" s="5">
        <v>24</v>
      </c>
      <c r="AI301" s="5">
        <v>17</v>
      </c>
      <c r="AJ301" s="5">
        <v>-3</v>
      </c>
      <c r="AK301" s="5">
        <v>23</v>
      </c>
      <c r="AL301" s="6">
        <v>12</v>
      </c>
    </row>
    <row r="302" spans="1:38">
      <c r="A302" s="4">
        <v>4</v>
      </c>
      <c r="B302" s="5">
        <v>-17</v>
      </c>
      <c r="C302" s="5">
        <v>-4</v>
      </c>
      <c r="D302" s="5">
        <v>-13</v>
      </c>
      <c r="E302" s="5">
        <v>-15</v>
      </c>
      <c r="F302" s="5">
        <v>18</v>
      </c>
      <c r="G302" s="5">
        <v>17</v>
      </c>
      <c r="H302" s="5">
        <v>-15</v>
      </c>
      <c r="I302" s="5">
        <v>-11</v>
      </c>
      <c r="J302" s="5">
        <v>1</v>
      </c>
      <c r="K302" s="5">
        <v>-3</v>
      </c>
      <c r="L302" s="5">
        <v>-1</v>
      </c>
      <c r="M302" s="5">
        <v>-1</v>
      </c>
      <c r="N302" s="5">
        <v>-17</v>
      </c>
      <c r="O302" s="5">
        <v>5</v>
      </c>
      <c r="P302" s="5">
        <v>-8</v>
      </c>
      <c r="Q302" s="5">
        <v>-18</v>
      </c>
      <c r="R302" s="5">
        <v>-7</v>
      </c>
      <c r="S302" s="5">
        <v>-4</v>
      </c>
      <c r="T302" s="5">
        <v>-14</v>
      </c>
      <c r="U302" s="5">
        <v>13</v>
      </c>
      <c r="V302" s="5">
        <v>-17</v>
      </c>
      <c r="W302" s="5">
        <v>7</v>
      </c>
      <c r="X302" s="5">
        <v>14</v>
      </c>
      <c r="Y302" s="5">
        <v>9</v>
      </c>
      <c r="Z302" s="5">
        <v>6</v>
      </c>
      <c r="AA302" s="5">
        <v>-15</v>
      </c>
      <c r="AB302" s="5">
        <v>-1</v>
      </c>
      <c r="AC302" s="5">
        <v>-10</v>
      </c>
      <c r="AD302" s="5">
        <v>-4</v>
      </c>
      <c r="AE302" s="5">
        <v>-3</v>
      </c>
      <c r="AF302" s="5">
        <v>-6</v>
      </c>
      <c r="AG302" s="5">
        <v>8</v>
      </c>
      <c r="AH302" s="5">
        <v>-26</v>
      </c>
      <c r="AI302" s="5">
        <v>-2</v>
      </c>
      <c r="AJ302" s="5">
        <v>-7</v>
      </c>
      <c r="AK302" s="5">
        <v>-1</v>
      </c>
      <c r="AL302" s="6">
        <v>7</v>
      </c>
    </row>
    <row r="303" spans="1:38">
      <c r="A303" s="4">
        <v>5</v>
      </c>
      <c r="B303" s="5">
        <v>-23</v>
      </c>
      <c r="C303" s="5">
        <v>21</v>
      </c>
      <c r="D303" s="5">
        <v>1</v>
      </c>
      <c r="E303" s="5">
        <v>16</v>
      </c>
      <c r="F303" s="5">
        <v>-18</v>
      </c>
      <c r="G303" s="5">
        <v>-3</v>
      </c>
      <c r="H303" s="5">
        <v>15</v>
      </c>
      <c r="I303" s="5">
        <v>-19</v>
      </c>
      <c r="J303" s="5">
        <v>2</v>
      </c>
      <c r="K303" s="5">
        <v>-10</v>
      </c>
      <c r="L303" s="5">
        <v>-12</v>
      </c>
      <c r="M303" s="5">
        <v>29</v>
      </c>
      <c r="N303" s="5">
        <v>9</v>
      </c>
      <c r="O303" s="5">
        <v>-2</v>
      </c>
      <c r="P303" s="5">
        <v>-22</v>
      </c>
      <c r="Q303" s="5">
        <v>-11</v>
      </c>
      <c r="R303" s="5">
        <v>-23</v>
      </c>
      <c r="S303" s="5">
        <v>-8</v>
      </c>
      <c r="T303" s="5">
        <v>-11</v>
      </c>
      <c r="U303" s="5">
        <v>-9</v>
      </c>
      <c r="V303" s="5">
        <v>2</v>
      </c>
      <c r="W303" s="5">
        <v>-7</v>
      </c>
      <c r="X303" s="5">
        <v>3</v>
      </c>
      <c r="Y303" s="5">
        <v>-14</v>
      </c>
      <c r="Z303" s="5">
        <v>-28</v>
      </c>
      <c r="AA303" s="5">
        <v>10</v>
      </c>
      <c r="AB303" s="5">
        <v>25</v>
      </c>
      <c r="AC303" s="5">
        <v>10</v>
      </c>
      <c r="AD303" s="5">
        <v>5</v>
      </c>
      <c r="AE303" s="5">
        <v>0</v>
      </c>
      <c r="AF303" s="5">
        <v>-11</v>
      </c>
      <c r="AG303" s="5">
        <v>-20</v>
      </c>
      <c r="AH303" s="5">
        <v>8</v>
      </c>
      <c r="AI303" s="5">
        <v>2</v>
      </c>
      <c r="AJ303" s="5">
        <v>8</v>
      </c>
      <c r="AK303" s="5">
        <v>-18</v>
      </c>
      <c r="AL303" s="6">
        <v>4</v>
      </c>
    </row>
    <row r="304" spans="1:38">
      <c r="A304" s="4">
        <v>19</v>
      </c>
      <c r="B304" s="5">
        <v>-11</v>
      </c>
      <c r="C304" s="5">
        <v>19</v>
      </c>
      <c r="D304" s="5">
        <v>9</v>
      </c>
      <c r="E304" s="5">
        <v>-5</v>
      </c>
      <c r="F304" s="5">
        <v>0</v>
      </c>
      <c r="G304" s="5">
        <v>-6</v>
      </c>
      <c r="H304" s="5">
        <v>2</v>
      </c>
      <c r="I304" s="5">
        <v>7</v>
      </c>
      <c r="J304" s="5">
        <v>8</v>
      </c>
      <c r="K304" s="5">
        <v>1</v>
      </c>
      <c r="L304" s="5">
        <v>10</v>
      </c>
      <c r="M304" s="5">
        <v>-1</v>
      </c>
      <c r="N304" s="5">
        <v>-10</v>
      </c>
      <c r="O304" s="5">
        <v>-2</v>
      </c>
      <c r="P304" s="5">
        <v>14</v>
      </c>
      <c r="Q304" s="5">
        <v>10</v>
      </c>
      <c r="R304" s="5">
        <v>-10</v>
      </c>
      <c r="S304" s="5">
        <v>-20</v>
      </c>
      <c r="T304" s="5">
        <v>14</v>
      </c>
      <c r="U304" s="5">
        <v>-1</v>
      </c>
      <c r="V304" s="5">
        <v>-3</v>
      </c>
      <c r="W304" s="5">
        <v>21</v>
      </c>
      <c r="X304" s="5">
        <v>19</v>
      </c>
      <c r="Y304" s="5">
        <v>12</v>
      </c>
      <c r="Z304" s="5">
        <v>14</v>
      </c>
      <c r="AA304" s="5">
        <v>-4</v>
      </c>
      <c r="AB304" s="5">
        <v>-6</v>
      </c>
      <c r="AC304" s="5">
        <v>26</v>
      </c>
      <c r="AD304" s="5">
        <v>-2</v>
      </c>
      <c r="AE304" s="5">
        <v>12</v>
      </c>
      <c r="AF304" s="5">
        <v>13</v>
      </c>
      <c r="AG304" s="5">
        <v>-9</v>
      </c>
      <c r="AH304" s="5">
        <v>-5</v>
      </c>
      <c r="AI304" s="5">
        <v>-13</v>
      </c>
      <c r="AJ304" s="5">
        <v>-12</v>
      </c>
      <c r="AK304" s="5">
        <v>3</v>
      </c>
      <c r="AL304" s="6">
        <v>11</v>
      </c>
    </row>
    <row r="305" spans="1:38">
      <c r="A305" s="4">
        <v>48</v>
      </c>
      <c r="B305" s="5">
        <v>19</v>
      </c>
      <c r="C305" s="5">
        <v>12</v>
      </c>
      <c r="D305" s="5">
        <v>17</v>
      </c>
      <c r="E305" s="5">
        <v>4</v>
      </c>
      <c r="F305" s="5">
        <v>-29</v>
      </c>
      <c r="G305" s="5">
        <v>6</v>
      </c>
      <c r="H305" s="5">
        <v>6</v>
      </c>
      <c r="I305" s="5">
        <v>-26</v>
      </c>
      <c r="J305" s="5">
        <v>6</v>
      </c>
      <c r="K305" s="5">
        <v>2</v>
      </c>
      <c r="L305" s="5">
        <v>4</v>
      </c>
      <c r="M305" s="5">
        <v>-4</v>
      </c>
      <c r="N305" s="5">
        <v>-8</v>
      </c>
      <c r="O305" s="5">
        <v>3</v>
      </c>
      <c r="P305" s="5">
        <v>28</v>
      </c>
      <c r="Q305" s="5">
        <v>1</v>
      </c>
      <c r="R305" s="5">
        <v>-13</v>
      </c>
      <c r="S305" s="5">
        <v>-10</v>
      </c>
      <c r="T305" s="5">
        <v>9</v>
      </c>
      <c r="U305" s="5">
        <v>5</v>
      </c>
      <c r="V305" s="5">
        <v>-10</v>
      </c>
      <c r="W305" s="5">
        <v>-11</v>
      </c>
      <c r="X305" s="5">
        <v>19</v>
      </c>
      <c r="Y305" s="5">
        <v>35</v>
      </c>
      <c r="Z305" s="5">
        <v>5</v>
      </c>
      <c r="AA305" s="5">
        <v>15</v>
      </c>
      <c r="AB305" s="5">
        <v>-14</v>
      </c>
      <c r="AC305" s="5">
        <v>40</v>
      </c>
      <c r="AD305" s="5">
        <v>6</v>
      </c>
      <c r="AE305" s="5">
        <v>-14</v>
      </c>
      <c r="AF305" s="5">
        <v>10</v>
      </c>
      <c r="AG305" s="5">
        <v>-6</v>
      </c>
      <c r="AH305" s="5">
        <v>-2</v>
      </c>
      <c r="AI305" s="5">
        <v>17</v>
      </c>
      <c r="AJ305" s="5">
        <v>9</v>
      </c>
      <c r="AK305" s="5">
        <v>-20</v>
      </c>
      <c r="AL305" s="6">
        <v>14</v>
      </c>
    </row>
    <row r="306" spans="1:38">
      <c r="A306" s="4">
        <v>13</v>
      </c>
      <c r="B306" s="5">
        <v>-14</v>
      </c>
      <c r="C306" s="5">
        <v>10</v>
      </c>
      <c r="D306" s="5">
        <v>9</v>
      </c>
      <c r="E306" s="5">
        <v>1</v>
      </c>
      <c r="F306" s="5">
        <v>-27</v>
      </c>
      <c r="G306" s="5">
        <v>-23</v>
      </c>
      <c r="H306" s="5">
        <v>16</v>
      </c>
      <c r="I306" s="5">
        <v>-22</v>
      </c>
      <c r="J306" s="5">
        <v>-20</v>
      </c>
      <c r="K306" s="5">
        <v>-32</v>
      </c>
      <c r="L306" s="5">
        <v>-21</v>
      </c>
      <c r="M306" s="5">
        <v>16</v>
      </c>
      <c r="N306" s="5">
        <v>-26</v>
      </c>
      <c r="O306" s="5">
        <v>18</v>
      </c>
      <c r="P306" s="5">
        <v>3</v>
      </c>
      <c r="Q306" s="5">
        <v>-7</v>
      </c>
      <c r="R306" s="5">
        <v>-20</v>
      </c>
      <c r="S306" s="5">
        <v>-13</v>
      </c>
      <c r="T306" s="5">
        <v>11</v>
      </c>
      <c r="U306" s="5">
        <v>-32</v>
      </c>
      <c r="V306" s="5">
        <v>-4</v>
      </c>
      <c r="W306" s="5">
        <v>-5</v>
      </c>
      <c r="X306" s="5">
        <v>-13</v>
      </c>
      <c r="Y306" s="5">
        <v>-11</v>
      </c>
      <c r="Z306" s="5">
        <v>-4</v>
      </c>
      <c r="AA306" s="5">
        <v>-2</v>
      </c>
      <c r="AB306" s="5">
        <v>31</v>
      </c>
      <c r="AC306" s="5">
        <v>29</v>
      </c>
      <c r="AD306" s="5">
        <v>-10</v>
      </c>
      <c r="AE306" s="5">
        <v>-21</v>
      </c>
      <c r="AF306" s="5">
        <v>-3</v>
      </c>
      <c r="AG306" s="5">
        <v>-22</v>
      </c>
      <c r="AH306" s="5">
        <v>-3</v>
      </c>
      <c r="AI306" s="5">
        <v>25</v>
      </c>
      <c r="AJ306" s="5">
        <v>32</v>
      </c>
      <c r="AK306" s="5">
        <v>-5</v>
      </c>
      <c r="AL306" s="6">
        <v>28</v>
      </c>
    </row>
    <row r="307" spans="1:38">
      <c r="A307" s="4">
        <v>14</v>
      </c>
      <c r="B307" s="5">
        <v>-8</v>
      </c>
      <c r="C307" s="5">
        <v>0</v>
      </c>
      <c r="D307" s="5">
        <v>6</v>
      </c>
      <c r="E307" s="5">
        <v>12</v>
      </c>
      <c r="F307" s="5">
        <v>-5</v>
      </c>
      <c r="G307" s="5">
        <v>8</v>
      </c>
      <c r="H307" s="5">
        <v>-20</v>
      </c>
      <c r="I307" s="5">
        <v>2</v>
      </c>
      <c r="J307" s="5">
        <v>7</v>
      </c>
      <c r="K307" s="5">
        <v>0</v>
      </c>
      <c r="L307" s="5">
        <v>14</v>
      </c>
      <c r="M307" s="5">
        <v>4</v>
      </c>
      <c r="N307" s="5">
        <v>-7</v>
      </c>
      <c r="O307" s="5">
        <v>-5</v>
      </c>
      <c r="P307" s="5">
        <v>-11</v>
      </c>
      <c r="Q307" s="5">
        <v>-2</v>
      </c>
      <c r="R307" s="5">
        <v>0</v>
      </c>
      <c r="S307" s="5">
        <v>1</v>
      </c>
      <c r="T307" s="5">
        <v>0</v>
      </c>
      <c r="U307" s="5">
        <v>12</v>
      </c>
      <c r="V307" s="5">
        <v>-3</v>
      </c>
      <c r="W307" s="5">
        <v>-8</v>
      </c>
      <c r="X307" s="5">
        <v>-8</v>
      </c>
      <c r="Y307" s="5">
        <v>2</v>
      </c>
      <c r="Z307" s="5">
        <v>3</v>
      </c>
      <c r="AA307" s="5">
        <v>11</v>
      </c>
      <c r="AB307" s="5">
        <v>-14</v>
      </c>
      <c r="AC307" s="5">
        <v>11</v>
      </c>
      <c r="AD307" s="5">
        <v>-1</v>
      </c>
      <c r="AE307" s="5">
        <v>-9</v>
      </c>
      <c r="AF307" s="5">
        <v>-3</v>
      </c>
      <c r="AG307" s="5">
        <v>-10</v>
      </c>
      <c r="AH307" s="5">
        <v>-10</v>
      </c>
      <c r="AI307" s="5">
        <v>-5</v>
      </c>
      <c r="AJ307" s="5">
        <v>-6</v>
      </c>
      <c r="AK307" s="5">
        <v>-3</v>
      </c>
      <c r="AL307" s="6">
        <v>-8</v>
      </c>
    </row>
    <row r="308" spans="1:38">
      <c r="A308" s="4">
        <v>-4</v>
      </c>
      <c r="B308" s="5">
        <v>-6</v>
      </c>
      <c r="C308" s="5">
        <v>11</v>
      </c>
      <c r="D308" s="5">
        <v>15</v>
      </c>
      <c r="E308" s="5">
        <v>24</v>
      </c>
      <c r="F308" s="5">
        <v>-4</v>
      </c>
      <c r="G308" s="5">
        <v>0</v>
      </c>
      <c r="H308" s="5">
        <v>-15</v>
      </c>
      <c r="I308" s="5">
        <v>-8</v>
      </c>
      <c r="J308" s="5">
        <v>-12</v>
      </c>
      <c r="K308" s="5">
        <v>-7</v>
      </c>
      <c r="L308" s="5">
        <v>11</v>
      </c>
      <c r="M308" s="5">
        <v>2</v>
      </c>
      <c r="N308" s="5">
        <v>-6</v>
      </c>
      <c r="O308" s="5">
        <v>5</v>
      </c>
      <c r="P308" s="5">
        <v>13</v>
      </c>
      <c r="Q308" s="5">
        <v>10</v>
      </c>
      <c r="R308" s="5">
        <v>-25</v>
      </c>
      <c r="S308" s="5">
        <v>10</v>
      </c>
      <c r="T308" s="5">
        <v>-9</v>
      </c>
      <c r="U308" s="5">
        <v>-16</v>
      </c>
      <c r="V308" s="5">
        <v>12</v>
      </c>
      <c r="W308" s="5">
        <v>-8</v>
      </c>
      <c r="X308" s="5">
        <v>11</v>
      </c>
      <c r="Y308" s="5">
        <v>18</v>
      </c>
      <c r="Z308" s="5">
        <v>4</v>
      </c>
      <c r="AA308" s="5">
        <v>-5</v>
      </c>
      <c r="AB308" s="5">
        <v>-14</v>
      </c>
      <c r="AC308" s="5">
        <v>9</v>
      </c>
      <c r="AD308" s="5">
        <v>5</v>
      </c>
      <c r="AE308" s="5">
        <v>20</v>
      </c>
      <c r="AF308" s="5">
        <v>-3</v>
      </c>
      <c r="AG308" s="5">
        <v>5</v>
      </c>
      <c r="AH308" s="5">
        <v>33</v>
      </c>
      <c r="AI308" s="5">
        <v>-3</v>
      </c>
      <c r="AJ308" s="5">
        <v>-23</v>
      </c>
      <c r="AK308" s="5">
        <v>-7</v>
      </c>
      <c r="AL308" s="6">
        <v>10</v>
      </c>
    </row>
    <row r="309" spans="1:38">
      <c r="A309" s="4">
        <v>26</v>
      </c>
      <c r="B309" s="5">
        <v>-7</v>
      </c>
      <c r="C309" s="5">
        <v>17</v>
      </c>
      <c r="D309" s="5">
        <v>5</v>
      </c>
      <c r="E309" s="5">
        <v>6</v>
      </c>
      <c r="F309" s="5">
        <v>0</v>
      </c>
      <c r="G309" s="5">
        <v>-6</v>
      </c>
      <c r="H309" s="5">
        <v>-14</v>
      </c>
      <c r="I309" s="5">
        <v>2</v>
      </c>
      <c r="J309" s="5">
        <v>7</v>
      </c>
      <c r="K309" s="5">
        <v>9</v>
      </c>
      <c r="L309" s="5">
        <v>-1</v>
      </c>
      <c r="M309" s="5">
        <v>-1</v>
      </c>
      <c r="N309" s="5">
        <v>-20</v>
      </c>
      <c r="O309" s="5">
        <v>10</v>
      </c>
      <c r="P309" s="5">
        <v>-12</v>
      </c>
      <c r="Q309" s="5">
        <v>-6</v>
      </c>
      <c r="R309" s="5">
        <v>4</v>
      </c>
      <c r="S309" s="5">
        <v>-24</v>
      </c>
      <c r="T309" s="5">
        <v>4</v>
      </c>
      <c r="U309" s="5">
        <v>0</v>
      </c>
      <c r="V309" s="5">
        <v>12</v>
      </c>
      <c r="W309" s="5">
        <v>4</v>
      </c>
      <c r="X309" s="5">
        <v>-15</v>
      </c>
      <c r="Y309" s="5">
        <v>-14</v>
      </c>
      <c r="Z309" s="5">
        <v>2</v>
      </c>
      <c r="AA309" s="5">
        <v>-5</v>
      </c>
      <c r="AB309" s="5">
        <v>-13</v>
      </c>
      <c r="AC309" s="5">
        <v>12</v>
      </c>
      <c r="AD309" s="5">
        <v>5</v>
      </c>
      <c r="AE309" s="5">
        <v>-18</v>
      </c>
      <c r="AF309" s="5">
        <v>-2</v>
      </c>
      <c r="AG309" s="5">
        <v>-6</v>
      </c>
      <c r="AH309" s="5">
        <v>-31</v>
      </c>
      <c r="AI309" s="5">
        <v>26</v>
      </c>
      <c r="AJ309" s="5">
        <v>1</v>
      </c>
      <c r="AK309" s="5">
        <v>-8</v>
      </c>
      <c r="AL309" s="6">
        <v>36</v>
      </c>
    </row>
    <row r="310" spans="1:38">
      <c r="A310" s="4">
        <v>4</v>
      </c>
      <c r="B310" s="5">
        <v>-1</v>
      </c>
      <c r="C310" s="5">
        <v>6</v>
      </c>
      <c r="D310" s="5">
        <v>0</v>
      </c>
      <c r="E310" s="5">
        <v>-4</v>
      </c>
      <c r="F310" s="5">
        <v>3</v>
      </c>
      <c r="G310" s="5">
        <v>-7</v>
      </c>
      <c r="H310" s="5">
        <v>-6</v>
      </c>
      <c r="I310" s="5">
        <v>-2</v>
      </c>
      <c r="J310" s="5">
        <v>-6</v>
      </c>
      <c r="K310" s="5">
        <v>-7</v>
      </c>
      <c r="L310" s="5">
        <v>6</v>
      </c>
      <c r="M310" s="5">
        <v>0</v>
      </c>
      <c r="N310" s="5">
        <v>-10</v>
      </c>
      <c r="O310" s="5">
        <v>-1</v>
      </c>
      <c r="P310" s="5">
        <v>5</v>
      </c>
      <c r="Q310" s="5">
        <v>4</v>
      </c>
      <c r="R310" s="5">
        <v>-5</v>
      </c>
      <c r="S310" s="5">
        <v>-7</v>
      </c>
      <c r="T310" s="5">
        <v>4</v>
      </c>
      <c r="U310" s="5">
        <v>8</v>
      </c>
      <c r="V310" s="5">
        <v>-9</v>
      </c>
      <c r="W310" s="5">
        <v>-3</v>
      </c>
      <c r="X310" s="5">
        <v>12</v>
      </c>
      <c r="Y310" s="5">
        <v>3</v>
      </c>
      <c r="Z310" s="5">
        <v>-1</v>
      </c>
      <c r="AA310" s="5">
        <v>-13</v>
      </c>
      <c r="AB310" s="5">
        <v>-3</v>
      </c>
      <c r="AC310" s="5">
        <v>12</v>
      </c>
      <c r="AD310" s="5">
        <v>6</v>
      </c>
      <c r="AE310" s="5">
        <v>-5</v>
      </c>
      <c r="AF310" s="5">
        <v>-6</v>
      </c>
      <c r="AG310" s="5">
        <v>-2</v>
      </c>
      <c r="AH310" s="5">
        <v>-8</v>
      </c>
      <c r="AI310" s="5">
        <v>-2</v>
      </c>
      <c r="AJ310" s="5">
        <v>-10</v>
      </c>
      <c r="AK310" s="5">
        <v>2</v>
      </c>
      <c r="AL310" s="6">
        <v>10</v>
      </c>
    </row>
    <row r="311" spans="1:38">
      <c r="A311" s="4">
        <v>28</v>
      </c>
      <c r="B311" s="5">
        <v>12</v>
      </c>
      <c r="C311" s="5">
        <v>14</v>
      </c>
      <c r="D311" s="5">
        <v>-13</v>
      </c>
      <c r="E311" s="5">
        <v>-12</v>
      </c>
      <c r="F311" s="5">
        <v>-6</v>
      </c>
      <c r="G311" s="5">
        <v>4</v>
      </c>
      <c r="H311" s="5">
        <v>-7</v>
      </c>
      <c r="I311" s="5">
        <v>17</v>
      </c>
      <c r="J311" s="5">
        <v>6</v>
      </c>
      <c r="K311" s="5">
        <v>6</v>
      </c>
      <c r="L311" s="5">
        <v>7</v>
      </c>
      <c r="M311" s="5">
        <v>-3</v>
      </c>
      <c r="N311" s="5">
        <v>0</v>
      </c>
      <c r="O311" s="5">
        <v>-6</v>
      </c>
      <c r="P311" s="5">
        <v>-2</v>
      </c>
      <c r="Q311" s="5">
        <v>-2</v>
      </c>
      <c r="R311" s="5">
        <v>-2</v>
      </c>
      <c r="S311" s="5">
        <v>-11</v>
      </c>
      <c r="T311" s="5">
        <v>13</v>
      </c>
      <c r="U311" s="5">
        <v>12</v>
      </c>
      <c r="V311" s="5">
        <v>5</v>
      </c>
      <c r="W311" s="5">
        <v>-5</v>
      </c>
      <c r="X311" s="5">
        <v>6</v>
      </c>
      <c r="Y311" s="5">
        <v>-8</v>
      </c>
      <c r="Z311" s="5">
        <v>-7</v>
      </c>
      <c r="AA311" s="5">
        <v>9</v>
      </c>
      <c r="AB311" s="5">
        <v>3</v>
      </c>
      <c r="AC311" s="5">
        <v>9</v>
      </c>
      <c r="AD311" s="5">
        <v>2</v>
      </c>
      <c r="AE311" s="5">
        <v>2</v>
      </c>
      <c r="AF311" s="5">
        <v>17</v>
      </c>
      <c r="AG311" s="5">
        <v>-2</v>
      </c>
      <c r="AH311" s="5">
        <v>-11</v>
      </c>
      <c r="AI311" s="5">
        <v>-8</v>
      </c>
      <c r="AJ311" s="5">
        <v>-12</v>
      </c>
      <c r="AK311" s="5">
        <v>11</v>
      </c>
      <c r="AL311" s="6">
        <v>-7</v>
      </c>
    </row>
    <row r="312" spans="1:38">
      <c r="A312" s="4">
        <v>27</v>
      </c>
      <c r="B312" s="5">
        <v>-8</v>
      </c>
      <c r="C312" s="5">
        <v>10</v>
      </c>
      <c r="D312" s="5">
        <v>6</v>
      </c>
      <c r="E312" s="5">
        <v>18</v>
      </c>
      <c r="F312" s="5">
        <v>5</v>
      </c>
      <c r="G312" s="5">
        <v>-6</v>
      </c>
      <c r="H312" s="5">
        <v>-9</v>
      </c>
      <c r="I312" s="5">
        <v>-14</v>
      </c>
      <c r="J312" s="5">
        <v>10</v>
      </c>
      <c r="K312" s="5">
        <v>-5</v>
      </c>
      <c r="L312" s="5">
        <v>11</v>
      </c>
      <c r="M312" s="5">
        <v>-2</v>
      </c>
      <c r="N312" s="5">
        <v>2</v>
      </c>
      <c r="O312" s="5">
        <v>9</v>
      </c>
      <c r="P312" s="5">
        <v>-45</v>
      </c>
      <c r="Q312" s="5">
        <v>-7</v>
      </c>
      <c r="R312" s="5">
        <v>3</v>
      </c>
      <c r="S312" s="5">
        <v>-4</v>
      </c>
      <c r="T312" s="5">
        <v>33</v>
      </c>
      <c r="U312" s="5">
        <v>10</v>
      </c>
      <c r="V312" s="5">
        <v>5</v>
      </c>
      <c r="W312" s="5">
        <v>-16</v>
      </c>
      <c r="X312" s="5">
        <v>-30</v>
      </c>
      <c r="Y312" s="5">
        <v>-17</v>
      </c>
      <c r="Z312" s="5">
        <v>6</v>
      </c>
      <c r="AA312" s="5">
        <v>-6</v>
      </c>
      <c r="AB312" s="5">
        <v>-4</v>
      </c>
      <c r="AC312" s="5">
        <v>18</v>
      </c>
      <c r="AD312" s="5">
        <v>-3</v>
      </c>
      <c r="AE312" s="5">
        <v>-31</v>
      </c>
      <c r="AF312" s="5">
        <v>1</v>
      </c>
      <c r="AG312" s="5">
        <v>-13</v>
      </c>
      <c r="AH312" s="5">
        <v>-14</v>
      </c>
      <c r="AI312" s="5">
        <v>-9</v>
      </c>
      <c r="AJ312" s="5">
        <v>-14</v>
      </c>
      <c r="AK312" s="5">
        <v>7</v>
      </c>
      <c r="AL312" s="6">
        <v>6</v>
      </c>
    </row>
    <row r="313" spans="1:38">
      <c r="A313" s="4">
        <v>9</v>
      </c>
      <c r="B313" s="5">
        <v>-9</v>
      </c>
      <c r="C313" s="5">
        <v>-16</v>
      </c>
      <c r="D313" s="5">
        <v>-5</v>
      </c>
      <c r="E313" s="5">
        <v>5</v>
      </c>
      <c r="F313" s="5">
        <v>-10</v>
      </c>
      <c r="G313" s="5">
        <v>0</v>
      </c>
      <c r="H313" s="5">
        <v>-27</v>
      </c>
      <c r="I313" s="5">
        <v>-19</v>
      </c>
      <c r="J313" s="5">
        <v>2</v>
      </c>
      <c r="K313" s="5">
        <v>6</v>
      </c>
      <c r="L313" s="5">
        <v>-4</v>
      </c>
      <c r="M313" s="5">
        <v>-20</v>
      </c>
      <c r="N313" s="5">
        <v>9</v>
      </c>
      <c r="O313" s="5">
        <v>5</v>
      </c>
      <c r="P313" s="5">
        <v>3</v>
      </c>
      <c r="Q313" s="5">
        <v>-12</v>
      </c>
      <c r="R313" s="5">
        <v>11</v>
      </c>
      <c r="S313" s="5">
        <v>6</v>
      </c>
      <c r="T313" s="5">
        <v>-20</v>
      </c>
      <c r="U313" s="5">
        <v>18</v>
      </c>
      <c r="V313" s="5">
        <v>6</v>
      </c>
      <c r="W313" s="5">
        <v>0</v>
      </c>
      <c r="X313" s="5">
        <v>-13</v>
      </c>
      <c r="Y313" s="5">
        <v>-25</v>
      </c>
      <c r="Z313" s="5">
        <v>-9</v>
      </c>
      <c r="AA313" s="5">
        <v>6</v>
      </c>
      <c r="AB313" s="5">
        <v>-17</v>
      </c>
      <c r="AC313" s="5">
        <v>-3</v>
      </c>
      <c r="AD313" s="5">
        <v>-8</v>
      </c>
      <c r="AE313" s="5">
        <v>11</v>
      </c>
      <c r="AF313" s="5">
        <v>-25</v>
      </c>
      <c r="AG313" s="5">
        <v>1</v>
      </c>
      <c r="AH313" s="5">
        <v>-8</v>
      </c>
      <c r="AI313" s="5">
        <v>22</v>
      </c>
      <c r="AJ313" s="5">
        <v>-10</v>
      </c>
      <c r="AK313" s="5">
        <v>-1</v>
      </c>
      <c r="AL313" s="6">
        <v>-1</v>
      </c>
    </row>
    <row r="314" spans="1:38">
      <c r="A314" s="4">
        <v>27</v>
      </c>
      <c r="B314" s="5">
        <v>-10</v>
      </c>
      <c r="C314" s="5">
        <v>-1</v>
      </c>
      <c r="D314" s="5">
        <v>-13</v>
      </c>
      <c r="E314" s="5">
        <v>-30</v>
      </c>
      <c r="F314" s="5">
        <v>12</v>
      </c>
      <c r="G314" s="5">
        <v>1</v>
      </c>
      <c r="H314" s="5">
        <v>-25</v>
      </c>
      <c r="I314" s="5">
        <v>29</v>
      </c>
      <c r="J314" s="5">
        <v>19</v>
      </c>
      <c r="K314" s="5">
        <v>-22</v>
      </c>
      <c r="L314" s="5">
        <v>16</v>
      </c>
      <c r="M314" s="5">
        <v>-6</v>
      </c>
      <c r="N314" s="5">
        <v>6</v>
      </c>
      <c r="O314" s="5">
        <v>-17</v>
      </c>
      <c r="P314" s="5">
        <v>-30</v>
      </c>
      <c r="Q314" s="5">
        <v>-30</v>
      </c>
      <c r="R314" s="5">
        <v>36</v>
      </c>
      <c r="S314" s="5">
        <v>10</v>
      </c>
      <c r="T314" s="5">
        <v>5</v>
      </c>
      <c r="U314" s="5">
        <v>5</v>
      </c>
      <c r="V314" s="5">
        <v>11</v>
      </c>
      <c r="W314" s="5">
        <v>-16</v>
      </c>
      <c r="X314" s="5">
        <v>9</v>
      </c>
      <c r="Y314" s="5">
        <v>-15</v>
      </c>
      <c r="Z314" s="5">
        <v>15</v>
      </c>
      <c r="AA314" s="5">
        <v>24</v>
      </c>
      <c r="AB314" s="5">
        <v>2</v>
      </c>
      <c r="AC314" s="5">
        <v>15</v>
      </c>
      <c r="AD314" s="5">
        <v>-34</v>
      </c>
      <c r="AE314" s="5">
        <v>-16</v>
      </c>
      <c r="AF314" s="5">
        <v>29</v>
      </c>
      <c r="AG314" s="5">
        <v>7</v>
      </c>
      <c r="AH314" s="5">
        <v>3</v>
      </c>
      <c r="AI314" s="5">
        <v>-24</v>
      </c>
      <c r="AJ314" s="5">
        <v>5</v>
      </c>
      <c r="AK314" s="5">
        <v>1</v>
      </c>
      <c r="AL314" s="6">
        <v>-23</v>
      </c>
    </row>
    <row r="315" spans="1:38">
      <c r="A315" s="4">
        <v>8</v>
      </c>
      <c r="B315" s="5">
        <v>-3</v>
      </c>
      <c r="C315" s="5">
        <v>10</v>
      </c>
      <c r="D315" s="5">
        <v>-1</v>
      </c>
      <c r="E315" s="5">
        <v>19</v>
      </c>
      <c r="F315" s="5">
        <v>-4</v>
      </c>
      <c r="G315" s="5">
        <v>-9</v>
      </c>
      <c r="H315" s="5">
        <v>-8</v>
      </c>
      <c r="I315" s="5">
        <v>-12</v>
      </c>
      <c r="J315" s="5">
        <v>15</v>
      </c>
      <c r="K315" s="5">
        <v>-8</v>
      </c>
      <c r="L315" s="5">
        <v>-10</v>
      </c>
      <c r="M315" s="5">
        <v>-26</v>
      </c>
      <c r="N315" s="5">
        <v>-19</v>
      </c>
      <c r="O315" s="5">
        <v>3</v>
      </c>
      <c r="P315" s="5">
        <v>-8</v>
      </c>
      <c r="Q315" s="5">
        <v>-1</v>
      </c>
      <c r="R315" s="5">
        <v>-32</v>
      </c>
      <c r="S315" s="5">
        <v>3</v>
      </c>
      <c r="T315" s="5">
        <v>-11</v>
      </c>
      <c r="U315" s="5">
        <v>-20</v>
      </c>
      <c r="V315" s="5">
        <v>-10</v>
      </c>
      <c r="W315" s="5">
        <v>-23</v>
      </c>
      <c r="X315" s="5">
        <v>-3</v>
      </c>
      <c r="Y315" s="5">
        <v>12</v>
      </c>
      <c r="Z315" s="5">
        <v>-1</v>
      </c>
      <c r="AA315" s="5">
        <v>21</v>
      </c>
      <c r="AB315" s="5">
        <v>0</v>
      </c>
      <c r="AC315" s="5">
        <v>2</v>
      </c>
      <c r="AD315" s="5">
        <v>1</v>
      </c>
      <c r="AE315" s="5">
        <v>4</v>
      </c>
      <c r="AF315" s="5">
        <v>5</v>
      </c>
      <c r="AG315" s="5">
        <v>-11</v>
      </c>
      <c r="AH315" s="5">
        <v>24</v>
      </c>
      <c r="AI315" s="5">
        <v>3</v>
      </c>
      <c r="AJ315" s="5">
        <v>8</v>
      </c>
      <c r="AK315" s="5">
        <v>-12</v>
      </c>
      <c r="AL315" s="6">
        <v>-7</v>
      </c>
    </row>
    <row r="316" spans="1:38">
      <c r="A316" s="4">
        <v>42</v>
      </c>
      <c r="B316" s="5">
        <v>17</v>
      </c>
      <c r="C316" s="5">
        <v>42</v>
      </c>
      <c r="D316" s="5">
        <v>-7</v>
      </c>
      <c r="E316" s="5">
        <v>13</v>
      </c>
      <c r="F316" s="5">
        <v>-11</v>
      </c>
      <c r="G316" s="5">
        <v>-1</v>
      </c>
      <c r="H316" s="5">
        <v>-29</v>
      </c>
      <c r="I316" s="5">
        <v>34</v>
      </c>
      <c r="J316" s="5">
        <v>2</v>
      </c>
      <c r="K316" s="5">
        <v>12</v>
      </c>
      <c r="L316" s="5">
        <v>-6</v>
      </c>
      <c r="M316" s="5">
        <v>-9</v>
      </c>
      <c r="N316" s="5">
        <v>-43</v>
      </c>
      <c r="O316" s="5">
        <v>-2</v>
      </c>
      <c r="P316" s="5">
        <v>-23</v>
      </c>
      <c r="Q316" s="5">
        <v>3</v>
      </c>
      <c r="R316" s="5">
        <v>-23</v>
      </c>
      <c r="S316" s="5">
        <v>-44</v>
      </c>
      <c r="T316" s="5">
        <v>-30</v>
      </c>
      <c r="U316" s="5">
        <v>4</v>
      </c>
      <c r="V316" s="5">
        <v>30</v>
      </c>
      <c r="W316" s="5">
        <v>33</v>
      </c>
      <c r="X316" s="5">
        <v>-23</v>
      </c>
      <c r="Y316" s="5">
        <v>-1</v>
      </c>
      <c r="Z316" s="5">
        <v>-18</v>
      </c>
      <c r="AA316" s="5">
        <v>39</v>
      </c>
      <c r="AB316" s="5">
        <v>14</v>
      </c>
      <c r="AC316" s="5">
        <v>18</v>
      </c>
      <c r="AD316" s="5">
        <v>-11</v>
      </c>
      <c r="AE316" s="5">
        <v>-15</v>
      </c>
      <c r="AF316" s="5">
        <v>11</v>
      </c>
      <c r="AG316" s="5">
        <v>6</v>
      </c>
      <c r="AH316" s="5">
        <v>0</v>
      </c>
      <c r="AI316" s="5">
        <v>41</v>
      </c>
      <c r="AJ316" s="5">
        <v>22</v>
      </c>
      <c r="AK316" s="5">
        <v>0</v>
      </c>
      <c r="AL316" s="6">
        <v>9</v>
      </c>
    </row>
    <row r="317" spans="1:38">
      <c r="A317" s="4">
        <v>30</v>
      </c>
      <c r="B317" s="5">
        <v>-8</v>
      </c>
      <c r="C317" s="5">
        <v>31</v>
      </c>
      <c r="D317" s="5">
        <v>13</v>
      </c>
      <c r="E317" s="5">
        <v>-6</v>
      </c>
      <c r="F317" s="5">
        <v>7</v>
      </c>
      <c r="G317" s="5">
        <v>1</v>
      </c>
      <c r="H317" s="5">
        <v>9</v>
      </c>
      <c r="I317" s="5">
        <v>28</v>
      </c>
      <c r="J317" s="5">
        <v>-14</v>
      </c>
      <c r="K317" s="5">
        <v>17</v>
      </c>
      <c r="L317" s="5">
        <v>-31</v>
      </c>
      <c r="M317" s="5">
        <v>-15</v>
      </c>
      <c r="N317" s="5">
        <v>14</v>
      </c>
      <c r="O317" s="5">
        <v>11</v>
      </c>
      <c r="P317" s="5">
        <v>26</v>
      </c>
      <c r="Q317" s="5">
        <v>25</v>
      </c>
      <c r="R317" s="5">
        <v>-37</v>
      </c>
      <c r="S317" s="5">
        <v>-13</v>
      </c>
      <c r="T317" s="5">
        <v>22</v>
      </c>
      <c r="U317" s="5">
        <v>-24</v>
      </c>
      <c r="V317" s="5">
        <v>-20</v>
      </c>
      <c r="W317" s="5">
        <v>34</v>
      </c>
      <c r="X317" s="5">
        <v>7</v>
      </c>
      <c r="Y317" s="5">
        <v>-13</v>
      </c>
      <c r="Z317" s="5">
        <v>15</v>
      </c>
      <c r="AA317" s="5">
        <v>-2</v>
      </c>
      <c r="AB317" s="5">
        <v>-3</v>
      </c>
      <c r="AC317" s="5">
        <v>-7</v>
      </c>
      <c r="AD317" s="5">
        <v>7</v>
      </c>
      <c r="AE317" s="5">
        <v>36</v>
      </c>
      <c r="AF317" s="5">
        <v>31</v>
      </c>
      <c r="AG317" s="5">
        <v>12</v>
      </c>
      <c r="AH317" s="5">
        <v>6</v>
      </c>
      <c r="AI317" s="5">
        <v>-3</v>
      </c>
      <c r="AJ317" s="5">
        <v>-24</v>
      </c>
      <c r="AK317" s="5">
        <v>3</v>
      </c>
      <c r="AL317" s="6">
        <v>3</v>
      </c>
    </row>
    <row r="318" spans="1:38">
      <c r="A318" s="4">
        <v>54</v>
      </c>
      <c r="B318" s="5">
        <v>19</v>
      </c>
      <c r="C318" s="5">
        <v>-16</v>
      </c>
      <c r="D318" s="5">
        <v>-23</v>
      </c>
      <c r="E318" s="5">
        <v>-36</v>
      </c>
      <c r="F318" s="5">
        <v>-21</v>
      </c>
      <c r="G318" s="5">
        <v>-14</v>
      </c>
      <c r="H318" s="5">
        <v>5</v>
      </c>
      <c r="I318" s="5">
        <v>8</v>
      </c>
      <c r="J318" s="5">
        <v>9</v>
      </c>
      <c r="K318" s="5">
        <v>30</v>
      </c>
      <c r="L318" s="5">
        <v>-10</v>
      </c>
      <c r="M318" s="5">
        <v>5</v>
      </c>
      <c r="N318" s="5">
        <v>32</v>
      </c>
      <c r="O318" s="5">
        <v>-6</v>
      </c>
      <c r="P318" s="5">
        <v>-6</v>
      </c>
      <c r="Q318" s="5">
        <v>11</v>
      </c>
      <c r="R318" s="5">
        <v>-9</v>
      </c>
      <c r="S318" s="5">
        <v>1</v>
      </c>
      <c r="T318" s="5">
        <v>-13</v>
      </c>
      <c r="U318" s="5">
        <v>9</v>
      </c>
      <c r="V318" s="5">
        <v>16</v>
      </c>
      <c r="W318" s="5">
        <v>-12</v>
      </c>
      <c r="X318" s="5">
        <v>1</v>
      </c>
      <c r="Y318" s="5">
        <v>11</v>
      </c>
      <c r="Z318" s="5">
        <v>-18</v>
      </c>
      <c r="AA318" s="5">
        <v>47</v>
      </c>
      <c r="AB318" s="5">
        <v>-19</v>
      </c>
      <c r="AC318" s="5">
        <v>6</v>
      </c>
      <c r="AD318" s="5">
        <v>6</v>
      </c>
      <c r="AE318" s="5">
        <v>14</v>
      </c>
      <c r="AF318" s="5">
        <v>17</v>
      </c>
      <c r="AG318" s="5">
        <v>22</v>
      </c>
      <c r="AH318" s="5">
        <v>-4</v>
      </c>
      <c r="AI318" s="5">
        <v>-14</v>
      </c>
      <c r="AJ318" s="5">
        <v>3</v>
      </c>
      <c r="AK318" s="5">
        <v>6</v>
      </c>
      <c r="AL318" s="6">
        <v>-35</v>
      </c>
    </row>
    <row r="319" spans="1:38">
      <c r="A319" s="4">
        <v>-13</v>
      </c>
      <c r="B319" s="5">
        <v>-28</v>
      </c>
      <c r="C319" s="5">
        <v>0</v>
      </c>
      <c r="D319" s="5">
        <v>10</v>
      </c>
      <c r="E319" s="5">
        <v>-10</v>
      </c>
      <c r="F319" s="5">
        <v>-1</v>
      </c>
      <c r="G319" s="5">
        <v>-17</v>
      </c>
      <c r="H319" s="5">
        <v>-27</v>
      </c>
      <c r="I319" s="5">
        <v>-39</v>
      </c>
      <c r="J319" s="5">
        <v>9</v>
      </c>
      <c r="K319" s="5">
        <v>30</v>
      </c>
      <c r="L319" s="5">
        <v>36</v>
      </c>
      <c r="M319" s="5">
        <v>4</v>
      </c>
      <c r="N319" s="5">
        <v>2</v>
      </c>
      <c r="O319" s="5">
        <v>-14</v>
      </c>
      <c r="P319" s="5">
        <v>38</v>
      </c>
      <c r="Q319" s="5">
        <v>-4</v>
      </c>
      <c r="R319" s="5">
        <v>-15</v>
      </c>
      <c r="S319" s="5">
        <v>-9</v>
      </c>
      <c r="T319" s="5">
        <v>-21</v>
      </c>
      <c r="U319" s="5">
        <v>1</v>
      </c>
      <c r="V319" s="5">
        <v>1</v>
      </c>
      <c r="W319" s="5">
        <v>-2</v>
      </c>
      <c r="X319" s="5">
        <v>-17</v>
      </c>
      <c r="Y319" s="5">
        <v>-10</v>
      </c>
      <c r="Z319" s="5">
        <v>-19</v>
      </c>
      <c r="AA319" s="5">
        <v>-36</v>
      </c>
      <c r="AB319" s="5">
        <v>14</v>
      </c>
      <c r="AC319" s="5">
        <v>-39</v>
      </c>
      <c r="AD319" s="5">
        <v>-3</v>
      </c>
      <c r="AE319" s="5">
        <v>-27</v>
      </c>
      <c r="AF319" s="5">
        <v>19</v>
      </c>
      <c r="AG319" s="5">
        <v>4</v>
      </c>
      <c r="AH319" s="5">
        <v>-19</v>
      </c>
      <c r="AI319" s="5">
        <v>-13</v>
      </c>
      <c r="AJ319" s="5">
        <v>47</v>
      </c>
      <c r="AK319" s="5">
        <v>-15</v>
      </c>
      <c r="AL319" s="6">
        <v>40</v>
      </c>
    </row>
    <row r="320" spans="1:38">
      <c r="A320" s="4">
        <v>2</v>
      </c>
      <c r="B320" s="5">
        <v>8</v>
      </c>
      <c r="C320" s="5">
        <v>-26</v>
      </c>
      <c r="D320" s="5">
        <v>-12</v>
      </c>
      <c r="E320" s="5">
        <v>-12</v>
      </c>
      <c r="F320" s="5">
        <v>4</v>
      </c>
      <c r="G320" s="5">
        <v>1</v>
      </c>
      <c r="H320" s="5">
        <v>-5</v>
      </c>
      <c r="I320" s="5">
        <v>3</v>
      </c>
      <c r="J320" s="5">
        <v>10</v>
      </c>
      <c r="K320" s="5">
        <v>2</v>
      </c>
      <c r="L320" s="5">
        <v>-8</v>
      </c>
      <c r="M320" s="5">
        <v>-9</v>
      </c>
      <c r="N320" s="5">
        <v>-14</v>
      </c>
      <c r="O320" s="5">
        <v>-16</v>
      </c>
      <c r="P320" s="5">
        <v>-14</v>
      </c>
      <c r="Q320" s="5">
        <v>6</v>
      </c>
      <c r="R320" s="5">
        <v>8</v>
      </c>
      <c r="S320" s="5">
        <v>2</v>
      </c>
      <c r="T320" s="5">
        <v>13</v>
      </c>
      <c r="U320" s="5">
        <v>-3</v>
      </c>
      <c r="V320" s="5">
        <v>1</v>
      </c>
      <c r="W320" s="5">
        <v>-14</v>
      </c>
      <c r="X320" s="5">
        <v>-16</v>
      </c>
      <c r="Y320" s="5">
        <v>-9</v>
      </c>
      <c r="Z320" s="5">
        <v>15</v>
      </c>
      <c r="AA320" s="5">
        <v>-4</v>
      </c>
      <c r="AB320" s="5">
        <v>-8</v>
      </c>
      <c r="AC320" s="5">
        <v>-17</v>
      </c>
      <c r="AD320" s="5">
        <v>-15</v>
      </c>
      <c r="AE320" s="5">
        <v>4</v>
      </c>
      <c r="AF320" s="5">
        <v>7</v>
      </c>
      <c r="AG320" s="5">
        <v>-20</v>
      </c>
      <c r="AH320" s="5">
        <v>-6</v>
      </c>
      <c r="AI320" s="5">
        <v>-14</v>
      </c>
      <c r="AJ320" s="5">
        <v>5</v>
      </c>
      <c r="AK320" s="5">
        <v>22</v>
      </c>
      <c r="AL320" s="6">
        <v>15</v>
      </c>
    </row>
    <row r="321" spans="1:38">
      <c r="A321" s="4">
        <v>-2</v>
      </c>
      <c r="B321" s="5">
        <v>-4</v>
      </c>
      <c r="C321" s="5">
        <v>-7</v>
      </c>
      <c r="D321" s="5">
        <v>-3</v>
      </c>
      <c r="E321" s="5">
        <v>2</v>
      </c>
      <c r="F321" s="5">
        <v>-5</v>
      </c>
      <c r="G321" s="5">
        <v>-5</v>
      </c>
      <c r="H321" s="5">
        <v>-6</v>
      </c>
      <c r="I321" s="5">
        <v>-3</v>
      </c>
      <c r="J321" s="5">
        <v>-5</v>
      </c>
      <c r="K321" s="5">
        <v>-4</v>
      </c>
      <c r="L321" s="5">
        <v>1</v>
      </c>
      <c r="M321" s="5">
        <v>-16</v>
      </c>
      <c r="N321" s="5">
        <v>6</v>
      </c>
      <c r="O321" s="5">
        <v>-4</v>
      </c>
      <c r="P321" s="5">
        <v>3</v>
      </c>
      <c r="Q321" s="5">
        <v>-5</v>
      </c>
      <c r="R321" s="5">
        <v>5</v>
      </c>
      <c r="S321" s="5">
        <v>-11</v>
      </c>
      <c r="T321" s="5">
        <v>13</v>
      </c>
      <c r="U321" s="5">
        <v>17</v>
      </c>
      <c r="V321" s="5">
        <v>6</v>
      </c>
      <c r="W321" s="5">
        <v>5</v>
      </c>
      <c r="X321" s="5">
        <v>-19</v>
      </c>
      <c r="Y321" s="5">
        <v>-18</v>
      </c>
      <c r="Z321" s="5">
        <v>11</v>
      </c>
      <c r="AA321" s="5">
        <v>-4</v>
      </c>
      <c r="AB321" s="5">
        <v>16</v>
      </c>
      <c r="AC321" s="5">
        <v>2</v>
      </c>
      <c r="AD321" s="5">
        <v>19</v>
      </c>
      <c r="AE321" s="5">
        <v>11</v>
      </c>
      <c r="AF321" s="5">
        <v>1</v>
      </c>
      <c r="AG321" s="5">
        <v>10</v>
      </c>
      <c r="AH321" s="5">
        <v>14</v>
      </c>
      <c r="AI321" s="5">
        <v>-1</v>
      </c>
      <c r="AJ321" s="5">
        <v>-16</v>
      </c>
      <c r="AK321" s="5">
        <v>1</v>
      </c>
      <c r="AL321" s="6">
        <v>7</v>
      </c>
    </row>
    <row r="322" spans="1:38">
      <c r="A322" s="4">
        <v>0</v>
      </c>
      <c r="B322" s="5">
        <v>-10</v>
      </c>
      <c r="C322" s="5">
        <v>5</v>
      </c>
      <c r="D322" s="5">
        <v>1</v>
      </c>
      <c r="E322" s="5">
        <v>0</v>
      </c>
      <c r="F322" s="5">
        <v>12</v>
      </c>
      <c r="G322" s="5">
        <v>-10</v>
      </c>
      <c r="H322" s="5">
        <v>-11</v>
      </c>
      <c r="I322" s="5">
        <v>-18</v>
      </c>
      <c r="J322" s="5">
        <v>10</v>
      </c>
      <c r="K322" s="5">
        <v>9</v>
      </c>
      <c r="L322" s="5">
        <v>26</v>
      </c>
      <c r="M322" s="5">
        <v>4</v>
      </c>
      <c r="N322" s="5">
        <v>-4</v>
      </c>
      <c r="O322" s="5">
        <v>11</v>
      </c>
      <c r="P322" s="5">
        <v>33</v>
      </c>
      <c r="Q322" s="5">
        <v>16</v>
      </c>
      <c r="R322" s="5">
        <v>-4</v>
      </c>
      <c r="S322" s="5">
        <v>4</v>
      </c>
      <c r="T322" s="5">
        <v>-47</v>
      </c>
      <c r="U322" s="5">
        <v>-7</v>
      </c>
      <c r="V322" s="5">
        <v>-15</v>
      </c>
      <c r="W322" s="5">
        <v>1</v>
      </c>
      <c r="X322" s="5">
        <v>-8</v>
      </c>
      <c r="Y322" s="5">
        <v>-26</v>
      </c>
      <c r="Z322" s="5">
        <v>-15</v>
      </c>
      <c r="AA322" s="5">
        <v>15</v>
      </c>
      <c r="AB322" s="5">
        <v>-23</v>
      </c>
      <c r="AC322" s="5">
        <v>7</v>
      </c>
      <c r="AD322" s="5">
        <v>-14</v>
      </c>
      <c r="AE322" s="5">
        <v>8</v>
      </c>
      <c r="AF322" s="5">
        <v>-9</v>
      </c>
      <c r="AG322" s="5">
        <v>16</v>
      </c>
      <c r="AH322" s="5">
        <v>-10</v>
      </c>
      <c r="AI322" s="5">
        <v>-12</v>
      </c>
      <c r="AJ322" s="5">
        <v>-13</v>
      </c>
      <c r="AK322" s="5">
        <v>-24</v>
      </c>
      <c r="AL322" s="6">
        <v>-3</v>
      </c>
    </row>
    <row r="323" spans="1:38">
      <c r="A323" s="4">
        <v>-3</v>
      </c>
      <c r="B323" s="5">
        <v>-3</v>
      </c>
      <c r="C323" s="5">
        <v>-13</v>
      </c>
      <c r="D323" s="5">
        <v>2</v>
      </c>
      <c r="E323" s="5">
        <v>5</v>
      </c>
      <c r="F323" s="5">
        <v>-16</v>
      </c>
      <c r="G323" s="5">
        <v>-10</v>
      </c>
      <c r="H323" s="5">
        <v>-6</v>
      </c>
      <c r="I323" s="5">
        <v>-3</v>
      </c>
      <c r="J323" s="5">
        <v>5</v>
      </c>
      <c r="K323" s="5">
        <v>1</v>
      </c>
      <c r="L323" s="5">
        <v>-5</v>
      </c>
      <c r="M323" s="5">
        <v>-25</v>
      </c>
      <c r="N323" s="5">
        <v>-1</v>
      </c>
      <c r="O323" s="5">
        <v>4</v>
      </c>
      <c r="P323" s="5">
        <v>5</v>
      </c>
      <c r="Q323" s="5">
        <v>-19</v>
      </c>
      <c r="R323" s="5">
        <v>-11</v>
      </c>
      <c r="S323" s="5">
        <v>-24</v>
      </c>
      <c r="T323" s="5">
        <v>6</v>
      </c>
      <c r="U323" s="5">
        <v>0</v>
      </c>
      <c r="V323" s="5">
        <v>-21</v>
      </c>
      <c r="W323" s="5">
        <v>19</v>
      </c>
      <c r="X323" s="5">
        <v>-13</v>
      </c>
      <c r="Y323" s="5">
        <v>9</v>
      </c>
      <c r="Z323" s="5">
        <v>18</v>
      </c>
      <c r="AA323" s="5">
        <v>-10</v>
      </c>
      <c r="AB323" s="5">
        <v>4</v>
      </c>
      <c r="AC323" s="5">
        <v>15</v>
      </c>
      <c r="AD323" s="5">
        <v>14</v>
      </c>
      <c r="AE323" s="5">
        <v>18</v>
      </c>
      <c r="AF323" s="5">
        <v>-18</v>
      </c>
      <c r="AG323" s="5">
        <v>18</v>
      </c>
      <c r="AH323" s="5">
        <v>11</v>
      </c>
      <c r="AI323" s="5">
        <v>5</v>
      </c>
      <c r="AJ323" s="5">
        <v>-1</v>
      </c>
      <c r="AK323" s="5">
        <v>-16</v>
      </c>
      <c r="AL323" s="6">
        <v>-9</v>
      </c>
    </row>
    <row r="324" spans="1:38">
      <c r="A324" s="4">
        <v>-1</v>
      </c>
      <c r="B324" s="5">
        <v>7</v>
      </c>
      <c r="C324" s="5">
        <v>-14</v>
      </c>
      <c r="D324" s="5">
        <v>2</v>
      </c>
      <c r="E324" s="5">
        <v>4</v>
      </c>
      <c r="F324" s="5">
        <v>-5</v>
      </c>
      <c r="G324" s="5">
        <v>-16</v>
      </c>
      <c r="H324" s="5">
        <v>1</v>
      </c>
      <c r="I324" s="5">
        <v>9</v>
      </c>
      <c r="J324" s="5">
        <v>4</v>
      </c>
      <c r="K324" s="5">
        <v>-6</v>
      </c>
      <c r="L324" s="5">
        <v>3</v>
      </c>
      <c r="M324" s="5">
        <v>4</v>
      </c>
      <c r="N324" s="5">
        <v>-12</v>
      </c>
      <c r="O324" s="5">
        <v>-16</v>
      </c>
      <c r="P324" s="5">
        <v>1</v>
      </c>
      <c r="Q324" s="5">
        <v>7</v>
      </c>
      <c r="R324" s="5">
        <v>6</v>
      </c>
      <c r="S324" s="5">
        <v>-16</v>
      </c>
      <c r="T324" s="5">
        <v>7</v>
      </c>
      <c r="U324" s="5">
        <v>8</v>
      </c>
      <c r="V324" s="5">
        <v>0</v>
      </c>
      <c r="W324" s="5">
        <v>-3</v>
      </c>
      <c r="X324" s="5">
        <v>16</v>
      </c>
      <c r="Y324" s="5">
        <v>-6</v>
      </c>
      <c r="Z324" s="5">
        <v>6</v>
      </c>
      <c r="AA324" s="5">
        <v>-2</v>
      </c>
      <c r="AB324" s="5">
        <v>-21</v>
      </c>
      <c r="AC324" s="5">
        <v>-10</v>
      </c>
      <c r="AD324" s="5">
        <v>-11</v>
      </c>
      <c r="AE324" s="5">
        <v>12</v>
      </c>
      <c r="AF324" s="5">
        <v>17</v>
      </c>
      <c r="AG324" s="5">
        <v>-12</v>
      </c>
      <c r="AH324" s="5">
        <v>-5</v>
      </c>
      <c r="AI324" s="5">
        <v>13</v>
      </c>
      <c r="AJ324" s="5">
        <v>8</v>
      </c>
      <c r="AK324" s="5">
        <v>10</v>
      </c>
      <c r="AL324" s="6">
        <v>1</v>
      </c>
    </row>
    <row r="325" spans="1:38">
      <c r="A325" s="4">
        <v>-2</v>
      </c>
      <c r="B325" s="5">
        <v>-10</v>
      </c>
      <c r="C325" s="5">
        <v>-3</v>
      </c>
      <c r="D325" s="5">
        <v>4</v>
      </c>
      <c r="E325" s="5">
        <v>8</v>
      </c>
      <c r="F325" s="5">
        <v>19</v>
      </c>
      <c r="G325" s="5">
        <v>0</v>
      </c>
      <c r="H325" s="5">
        <v>-8</v>
      </c>
      <c r="I325" s="5">
        <v>-4</v>
      </c>
      <c r="J325" s="5">
        <v>12</v>
      </c>
      <c r="K325" s="5">
        <v>3</v>
      </c>
      <c r="L325" s="5">
        <v>9</v>
      </c>
      <c r="M325" s="5">
        <v>-12</v>
      </c>
      <c r="N325" s="5">
        <v>18</v>
      </c>
      <c r="O325" s="5">
        <v>2</v>
      </c>
      <c r="P325" s="5">
        <v>13</v>
      </c>
      <c r="Q325" s="5">
        <v>19</v>
      </c>
      <c r="R325" s="5">
        <v>8</v>
      </c>
      <c r="S325" s="5">
        <v>27</v>
      </c>
      <c r="T325" s="5">
        <v>-7</v>
      </c>
      <c r="U325" s="5">
        <v>18</v>
      </c>
      <c r="V325" s="5">
        <v>-8</v>
      </c>
      <c r="W325" s="5">
        <v>2</v>
      </c>
      <c r="X325" s="5">
        <v>-16</v>
      </c>
      <c r="Y325" s="5">
        <v>-5</v>
      </c>
      <c r="Z325" s="5">
        <v>12</v>
      </c>
      <c r="AA325" s="5">
        <v>12</v>
      </c>
      <c r="AB325" s="5">
        <v>-20</v>
      </c>
      <c r="AC325" s="5">
        <v>8</v>
      </c>
      <c r="AD325" s="5">
        <v>2</v>
      </c>
      <c r="AE325" s="5">
        <v>10</v>
      </c>
      <c r="AF325" s="5">
        <v>2</v>
      </c>
      <c r="AG325" s="5">
        <v>20</v>
      </c>
      <c r="AH325" s="5">
        <v>-13</v>
      </c>
      <c r="AI325" s="5">
        <v>7</v>
      </c>
      <c r="AJ325" s="5">
        <v>-4</v>
      </c>
      <c r="AK325" s="5">
        <v>8</v>
      </c>
      <c r="AL325" s="6">
        <v>12</v>
      </c>
    </row>
    <row r="326" spans="1:38">
      <c r="A326" s="4">
        <v>-3</v>
      </c>
      <c r="B326" s="5">
        <v>3</v>
      </c>
      <c r="C326" s="5">
        <v>-3</v>
      </c>
      <c r="D326" s="5">
        <v>1</v>
      </c>
      <c r="E326" s="5">
        <v>0</v>
      </c>
      <c r="F326" s="5">
        <v>6</v>
      </c>
      <c r="G326" s="5">
        <v>-8</v>
      </c>
      <c r="H326" s="5">
        <v>0</v>
      </c>
      <c r="I326" s="5">
        <v>-7</v>
      </c>
      <c r="J326" s="5">
        <v>2</v>
      </c>
      <c r="K326" s="5">
        <v>7</v>
      </c>
      <c r="L326" s="5">
        <v>9</v>
      </c>
      <c r="M326" s="5">
        <v>3</v>
      </c>
      <c r="N326" s="5">
        <v>3</v>
      </c>
      <c r="O326" s="5">
        <v>-3</v>
      </c>
      <c r="P326" s="5">
        <v>4</v>
      </c>
      <c r="Q326" s="5">
        <v>7</v>
      </c>
      <c r="R326" s="5">
        <v>-1</v>
      </c>
      <c r="S326" s="5">
        <v>4</v>
      </c>
      <c r="T326" s="5">
        <v>5</v>
      </c>
      <c r="U326" s="5">
        <v>-13</v>
      </c>
      <c r="V326" s="5">
        <v>-4</v>
      </c>
      <c r="W326" s="5">
        <v>6</v>
      </c>
      <c r="X326" s="5">
        <v>-7</v>
      </c>
      <c r="Y326" s="5">
        <v>-9</v>
      </c>
      <c r="Z326" s="5">
        <v>6</v>
      </c>
      <c r="AA326" s="5">
        <v>4</v>
      </c>
      <c r="AB326" s="5">
        <v>-12</v>
      </c>
      <c r="AC326" s="5">
        <v>9</v>
      </c>
      <c r="AD326" s="5">
        <v>-9</v>
      </c>
      <c r="AE326" s="5">
        <v>-2</v>
      </c>
      <c r="AF326" s="5">
        <v>-11</v>
      </c>
      <c r="AG326" s="5">
        <v>1</v>
      </c>
      <c r="AH326" s="5">
        <v>2</v>
      </c>
      <c r="AI326" s="5">
        <v>-2</v>
      </c>
      <c r="AJ326" s="5">
        <v>11</v>
      </c>
      <c r="AK326" s="5">
        <v>14</v>
      </c>
      <c r="AL326" s="6">
        <v>9</v>
      </c>
    </row>
    <row r="327" spans="1:38">
      <c r="A327" s="4">
        <v>-1</v>
      </c>
      <c r="B327" s="5">
        <v>-4</v>
      </c>
      <c r="C327" s="5">
        <v>-1</v>
      </c>
      <c r="D327" s="5">
        <v>4</v>
      </c>
      <c r="E327" s="5">
        <v>2</v>
      </c>
      <c r="F327" s="5">
        <v>13</v>
      </c>
      <c r="G327" s="5">
        <v>-9</v>
      </c>
      <c r="H327" s="5">
        <v>5</v>
      </c>
      <c r="I327" s="5">
        <v>-6</v>
      </c>
      <c r="J327" s="5">
        <v>2</v>
      </c>
      <c r="K327" s="5">
        <v>5</v>
      </c>
      <c r="L327" s="5">
        <v>13</v>
      </c>
      <c r="M327" s="5">
        <v>3</v>
      </c>
      <c r="N327" s="5">
        <v>8</v>
      </c>
      <c r="O327" s="5">
        <v>7</v>
      </c>
      <c r="P327" s="5">
        <v>26</v>
      </c>
      <c r="Q327" s="5">
        <v>-3</v>
      </c>
      <c r="R327" s="5">
        <v>4</v>
      </c>
      <c r="S327" s="5">
        <v>13</v>
      </c>
      <c r="T327" s="5">
        <v>-13</v>
      </c>
      <c r="U327" s="5">
        <v>9</v>
      </c>
      <c r="V327" s="5">
        <v>-3</v>
      </c>
      <c r="W327" s="5">
        <v>2</v>
      </c>
      <c r="X327" s="5">
        <v>-12</v>
      </c>
      <c r="Y327" s="5">
        <v>-10</v>
      </c>
      <c r="Z327" s="5">
        <v>20</v>
      </c>
      <c r="AA327" s="5">
        <v>28</v>
      </c>
      <c r="AB327" s="5">
        <v>-13</v>
      </c>
      <c r="AC327" s="5">
        <v>11</v>
      </c>
      <c r="AD327" s="5">
        <v>-3</v>
      </c>
      <c r="AE327" s="5">
        <v>-1</v>
      </c>
      <c r="AF327" s="5">
        <v>2</v>
      </c>
      <c r="AG327" s="5">
        <v>19</v>
      </c>
      <c r="AH327" s="5">
        <v>-30</v>
      </c>
      <c r="AI327" s="5">
        <v>8</v>
      </c>
      <c r="AJ327" s="5">
        <v>1</v>
      </c>
      <c r="AK327" s="5">
        <v>5</v>
      </c>
      <c r="AL327" s="6">
        <v>20</v>
      </c>
    </row>
    <row r="328" spans="1:38">
      <c r="A328" s="4">
        <v>-5</v>
      </c>
      <c r="B328" s="5">
        <v>-1</v>
      </c>
      <c r="C328" s="5">
        <v>-15</v>
      </c>
      <c r="D328" s="5">
        <v>2</v>
      </c>
      <c r="E328" s="5">
        <v>1</v>
      </c>
      <c r="F328" s="5">
        <v>-19</v>
      </c>
      <c r="G328" s="5">
        <v>-7</v>
      </c>
      <c r="H328" s="5">
        <v>-3</v>
      </c>
      <c r="I328" s="5">
        <v>19</v>
      </c>
      <c r="J328" s="5">
        <v>-7</v>
      </c>
      <c r="K328" s="5">
        <v>-7</v>
      </c>
      <c r="L328" s="5">
        <v>6</v>
      </c>
      <c r="M328" s="5">
        <v>3</v>
      </c>
      <c r="N328" s="5">
        <v>2</v>
      </c>
      <c r="O328" s="5">
        <v>-9</v>
      </c>
      <c r="P328" s="5">
        <v>0</v>
      </c>
      <c r="Q328" s="5">
        <v>13</v>
      </c>
      <c r="R328" s="5">
        <v>1</v>
      </c>
      <c r="S328" s="5">
        <v>12</v>
      </c>
      <c r="T328" s="5">
        <v>-9</v>
      </c>
      <c r="U328" s="5">
        <v>4</v>
      </c>
      <c r="V328" s="5">
        <v>-6</v>
      </c>
      <c r="W328" s="5">
        <v>-4</v>
      </c>
      <c r="X328" s="5">
        <v>-3</v>
      </c>
      <c r="Y328" s="5">
        <v>-3</v>
      </c>
      <c r="Z328" s="5">
        <v>-5</v>
      </c>
      <c r="AA328" s="5">
        <v>-8</v>
      </c>
      <c r="AB328" s="5">
        <v>-23</v>
      </c>
      <c r="AC328" s="5">
        <v>10</v>
      </c>
      <c r="AD328" s="5">
        <v>9</v>
      </c>
      <c r="AE328" s="5">
        <v>-15</v>
      </c>
      <c r="AF328" s="5">
        <v>11</v>
      </c>
      <c r="AG328" s="5">
        <v>13</v>
      </c>
      <c r="AH328" s="5">
        <v>12</v>
      </c>
      <c r="AI328" s="5">
        <v>13</v>
      </c>
      <c r="AJ328" s="5">
        <v>9</v>
      </c>
      <c r="AK328" s="5">
        <v>-16</v>
      </c>
      <c r="AL328" s="6">
        <v>3</v>
      </c>
    </row>
    <row r="329" spans="1:38">
      <c r="A329" s="4">
        <v>-10</v>
      </c>
      <c r="B329" s="5">
        <v>-4</v>
      </c>
      <c r="C329" s="5">
        <v>-12</v>
      </c>
      <c r="D329" s="5">
        <v>-1</v>
      </c>
      <c r="E329" s="5">
        <v>-6</v>
      </c>
      <c r="F329" s="5">
        <v>-8</v>
      </c>
      <c r="G329" s="5">
        <v>-7</v>
      </c>
      <c r="H329" s="5">
        <v>3</v>
      </c>
      <c r="I329" s="5">
        <v>-1</v>
      </c>
      <c r="J329" s="5">
        <v>-7</v>
      </c>
      <c r="K329" s="5">
        <v>13</v>
      </c>
      <c r="L329" s="5">
        <v>1</v>
      </c>
      <c r="M329" s="5">
        <v>-11</v>
      </c>
      <c r="N329" s="5">
        <v>-1</v>
      </c>
      <c r="O329" s="5">
        <v>-15</v>
      </c>
      <c r="P329" s="5">
        <v>-12</v>
      </c>
      <c r="Q329" s="5">
        <v>17</v>
      </c>
      <c r="R329" s="5">
        <v>-6</v>
      </c>
      <c r="S329" s="5">
        <v>4</v>
      </c>
      <c r="T329" s="5">
        <v>18</v>
      </c>
      <c r="U329" s="5">
        <v>-10</v>
      </c>
      <c r="V329" s="5">
        <v>1</v>
      </c>
      <c r="W329" s="5">
        <v>0</v>
      </c>
      <c r="X329" s="5">
        <v>-1</v>
      </c>
      <c r="Y329" s="5">
        <v>-3</v>
      </c>
      <c r="Z329" s="5">
        <v>-5</v>
      </c>
      <c r="AA329" s="5">
        <v>-2</v>
      </c>
      <c r="AB329" s="5">
        <v>-7</v>
      </c>
      <c r="AC329" s="5">
        <v>4</v>
      </c>
      <c r="AD329" s="5">
        <v>3</v>
      </c>
      <c r="AE329" s="5">
        <v>-12</v>
      </c>
      <c r="AF329" s="5">
        <v>-14</v>
      </c>
      <c r="AG329" s="5">
        <v>-2</v>
      </c>
      <c r="AH329" s="5">
        <v>12</v>
      </c>
      <c r="AI329" s="5">
        <v>-6</v>
      </c>
      <c r="AJ329" s="5">
        <v>5</v>
      </c>
      <c r="AK329" s="5">
        <v>-6</v>
      </c>
      <c r="AL329" s="6">
        <v>13</v>
      </c>
    </row>
    <row r="330" spans="1:38">
      <c r="A330" s="4">
        <v>-7</v>
      </c>
      <c r="B330" s="5">
        <v>-6</v>
      </c>
      <c r="C330" s="5">
        <v>2</v>
      </c>
      <c r="D330" s="5">
        <v>9</v>
      </c>
      <c r="E330" s="5">
        <v>8</v>
      </c>
      <c r="F330" s="5">
        <v>-7</v>
      </c>
      <c r="G330" s="5">
        <v>2</v>
      </c>
      <c r="H330" s="5">
        <v>-5</v>
      </c>
      <c r="I330" s="5">
        <v>10</v>
      </c>
      <c r="J330" s="5">
        <v>-15</v>
      </c>
      <c r="K330" s="5">
        <v>-10</v>
      </c>
      <c r="L330" s="5">
        <v>13</v>
      </c>
      <c r="M330" s="5">
        <v>3</v>
      </c>
      <c r="N330" s="5">
        <v>1</v>
      </c>
      <c r="O330" s="5">
        <v>-9</v>
      </c>
      <c r="P330" s="5">
        <v>10</v>
      </c>
      <c r="Q330" s="5">
        <v>16</v>
      </c>
      <c r="R330" s="5">
        <v>-22</v>
      </c>
      <c r="S330" s="5">
        <v>7</v>
      </c>
      <c r="T330" s="5">
        <v>-6</v>
      </c>
      <c r="U330" s="5">
        <v>-4</v>
      </c>
      <c r="V330" s="5">
        <v>-10</v>
      </c>
      <c r="W330" s="5">
        <v>8</v>
      </c>
      <c r="X330" s="5">
        <v>13</v>
      </c>
      <c r="Y330" s="5">
        <v>10</v>
      </c>
      <c r="Z330" s="5">
        <v>0</v>
      </c>
      <c r="AA330" s="5">
        <v>-11</v>
      </c>
      <c r="AB330" s="5">
        <v>-1</v>
      </c>
      <c r="AC330" s="5">
        <v>5</v>
      </c>
      <c r="AD330" s="5">
        <v>-1</v>
      </c>
      <c r="AE330" s="5">
        <v>0</v>
      </c>
      <c r="AF330" s="5">
        <v>-16</v>
      </c>
      <c r="AG330" s="5">
        <v>0</v>
      </c>
      <c r="AH330" s="5">
        <v>10</v>
      </c>
      <c r="AI330" s="5">
        <v>2</v>
      </c>
      <c r="AJ330" s="5">
        <v>-7</v>
      </c>
      <c r="AK330" s="5">
        <v>3</v>
      </c>
      <c r="AL330" s="6">
        <v>8</v>
      </c>
    </row>
    <row r="331" spans="1:38">
      <c r="A331" s="4">
        <v>3</v>
      </c>
      <c r="B331" s="5">
        <v>5</v>
      </c>
      <c r="C331" s="5">
        <v>1</v>
      </c>
      <c r="D331" s="5">
        <v>3</v>
      </c>
      <c r="E331" s="5">
        <v>15</v>
      </c>
      <c r="F331" s="5">
        <v>13</v>
      </c>
      <c r="G331" s="5">
        <v>-7</v>
      </c>
      <c r="H331" s="5">
        <v>3</v>
      </c>
      <c r="I331" s="5">
        <v>9</v>
      </c>
      <c r="J331" s="5">
        <v>5</v>
      </c>
      <c r="K331" s="5">
        <v>4</v>
      </c>
      <c r="L331" s="5">
        <v>14</v>
      </c>
      <c r="M331" s="5">
        <v>17</v>
      </c>
      <c r="N331" s="5">
        <v>12</v>
      </c>
      <c r="O331" s="5">
        <v>-10</v>
      </c>
      <c r="P331" s="5">
        <v>0</v>
      </c>
      <c r="Q331" s="5">
        <v>-16</v>
      </c>
      <c r="R331" s="5">
        <v>4</v>
      </c>
      <c r="S331" s="5">
        <v>-20</v>
      </c>
      <c r="T331" s="5">
        <v>-1</v>
      </c>
      <c r="U331" s="5">
        <v>3</v>
      </c>
      <c r="V331" s="5">
        <v>-10</v>
      </c>
      <c r="W331" s="5">
        <v>-27</v>
      </c>
      <c r="X331" s="5">
        <v>-1</v>
      </c>
      <c r="Y331" s="5">
        <v>-2</v>
      </c>
      <c r="Z331" s="5">
        <v>1</v>
      </c>
      <c r="AA331" s="5">
        <v>-13</v>
      </c>
      <c r="AB331" s="5">
        <v>-5</v>
      </c>
      <c r="AC331" s="5">
        <v>5</v>
      </c>
      <c r="AD331" s="5">
        <v>1</v>
      </c>
      <c r="AE331" s="5">
        <v>11</v>
      </c>
      <c r="AF331" s="5">
        <v>-3</v>
      </c>
      <c r="AG331" s="5">
        <v>-2</v>
      </c>
      <c r="AH331" s="5">
        <v>7</v>
      </c>
      <c r="AI331" s="5">
        <v>16</v>
      </c>
      <c r="AJ331" s="5">
        <v>13</v>
      </c>
      <c r="AK331" s="5">
        <v>9</v>
      </c>
      <c r="AL331" s="6">
        <v>12</v>
      </c>
    </row>
    <row r="332" spans="1:38">
      <c r="A332" s="4">
        <v>9</v>
      </c>
      <c r="B332" s="5">
        <v>45</v>
      </c>
      <c r="C332" s="5">
        <v>10</v>
      </c>
      <c r="D332" s="5">
        <v>-25</v>
      </c>
      <c r="E332" s="5">
        <v>6</v>
      </c>
      <c r="F332" s="5">
        <v>18</v>
      </c>
      <c r="G332" s="5">
        <v>-9</v>
      </c>
      <c r="H332" s="5">
        <v>-35</v>
      </c>
      <c r="I332" s="5">
        <v>-3</v>
      </c>
      <c r="J332" s="5">
        <v>3</v>
      </c>
      <c r="K332" s="5">
        <v>13</v>
      </c>
      <c r="L332" s="5">
        <v>46</v>
      </c>
      <c r="M332" s="5">
        <v>-6</v>
      </c>
      <c r="N332" s="5">
        <v>-16</v>
      </c>
      <c r="O332" s="5">
        <v>-15</v>
      </c>
      <c r="P332" s="5">
        <v>22</v>
      </c>
      <c r="Q332" s="5">
        <v>-7</v>
      </c>
      <c r="R332" s="5">
        <v>-14</v>
      </c>
      <c r="S332" s="5">
        <v>-2</v>
      </c>
      <c r="T332" s="5">
        <v>-24</v>
      </c>
      <c r="U332" s="5">
        <v>-5</v>
      </c>
      <c r="V332" s="5">
        <v>12</v>
      </c>
      <c r="W332" s="5">
        <v>-27</v>
      </c>
      <c r="X332" s="5">
        <v>7</v>
      </c>
      <c r="Y332" s="5">
        <v>8</v>
      </c>
      <c r="Z332" s="5">
        <v>-37</v>
      </c>
      <c r="AA332" s="5">
        <v>-10</v>
      </c>
      <c r="AB332" s="5">
        <v>-2</v>
      </c>
      <c r="AC332" s="5">
        <v>-44</v>
      </c>
      <c r="AD332" s="5">
        <v>53</v>
      </c>
      <c r="AE332" s="5">
        <v>13</v>
      </c>
      <c r="AF332" s="5">
        <v>2</v>
      </c>
      <c r="AG332" s="5">
        <v>-6</v>
      </c>
      <c r="AH332" s="5">
        <v>-8</v>
      </c>
      <c r="AI332" s="5">
        <v>-16</v>
      </c>
      <c r="AJ332" s="5">
        <v>-11</v>
      </c>
      <c r="AK332" s="5">
        <v>-39</v>
      </c>
      <c r="AL332" s="6">
        <v>-15</v>
      </c>
    </row>
    <row r="333" spans="1:38">
      <c r="A333" s="4">
        <v>6</v>
      </c>
      <c r="B333" s="5">
        <v>17</v>
      </c>
      <c r="C333" s="5">
        <v>-3</v>
      </c>
      <c r="D333" s="5">
        <v>-12</v>
      </c>
      <c r="E333" s="5">
        <v>7</v>
      </c>
      <c r="F333" s="5">
        <v>16</v>
      </c>
      <c r="G333" s="5">
        <v>25</v>
      </c>
      <c r="H333" s="5">
        <v>-22</v>
      </c>
      <c r="I333" s="5">
        <v>-1</v>
      </c>
      <c r="J333" s="5">
        <v>14</v>
      </c>
      <c r="K333" s="5">
        <v>19</v>
      </c>
      <c r="L333" s="5">
        <v>34</v>
      </c>
      <c r="M333" s="5">
        <v>6</v>
      </c>
      <c r="N333" s="5">
        <v>-3</v>
      </c>
      <c r="O333" s="5">
        <v>-18</v>
      </c>
      <c r="P333" s="5">
        <v>29</v>
      </c>
      <c r="Q333" s="5">
        <v>-2</v>
      </c>
      <c r="R333" s="5">
        <v>-13</v>
      </c>
      <c r="S333" s="5">
        <v>-17</v>
      </c>
      <c r="T333" s="5">
        <v>-28</v>
      </c>
      <c r="U333" s="5">
        <v>-6</v>
      </c>
      <c r="V333" s="5">
        <v>7</v>
      </c>
      <c r="W333" s="5">
        <v>-29</v>
      </c>
      <c r="X333" s="5">
        <v>8</v>
      </c>
      <c r="Y333" s="5">
        <v>20</v>
      </c>
      <c r="Z333" s="5">
        <v>-52</v>
      </c>
      <c r="AA333" s="5">
        <v>-18</v>
      </c>
      <c r="AB333" s="5">
        <v>10</v>
      </c>
      <c r="AC333" s="5">
        <v>-32</v>
      </c>
      <c r="AD333" s="5">
        <v>37</v>
      </c>
      <c r="AE333" s="5">
        <v>20</v>
      </c>
      <c r="AF333" s="5">
        <v>9</v>
      </c>
      <c r="AG333" s="5">
        <v>-3</v>
      </c>
      <c r="AH333" s="5">
        <v>-1</v>
      </c>
      <c r="AI333" s="5">
        <v>3</v>
      </c>
      <c r="AJ333" s="5">
        <v>-16</v>
      </c>
      <c r="AK333" s="5">
        <v>-18</v>
      </c>
      <c r="AL333" s="6">
        <v>-9</v>
      </c>
    </row>
    <row r="334" spans="1:38">
      <c r="A334" s="4">
        <v>2</v>
      </c>
      <c r="B334" s="5">
        <v>23</v>
      </c>
      <c r="C334" s="5">
        <v>9</v>
      </c>
      <c r="D334" s="5">
        <v>-7</v>
      </c>
      <c r="E334" s="5">
        <v>-2</v>
      </c>
      <c r="F334" s="5">
        <v>-4</v>
      </c>
      <c r="G334" s="5">
        <v>-35</v>
      </c>
      <c r="H334" s="5">
        <v>3</v>
      </c>
      <c r="I334" s="5">
        <v>2</v>
      </c>
      <c r="J334" s="5">
        <v>-15</v>
      </c>
      <c r="K334" s="5">
        <v>-12</v>
      </c>
      <c r="L334" s="5">
        <v>0</v>
      </c>
      <c r="M334" s="5">
        <v>-4</v>
      </c>
      <c r="N334" s="5">
        <v>-12</v>
      </c>
      <c r="O334" s="5">
        <v>4</v>
      </c>
      <c r="P334" s="5">
        <v>-7</v>
      </c>
      <c r="Q334" s="5">
        <v>4</v>
      </c>
      <c r="R334" s="5">
        <v>13</v>
      </c>
      <c r="S334" s="5">
        <v>-5</v>
      </c>
      <c r="T334" s="5">
        <v>-9</v>
      </c>
      <c r="U334" s="5">
        <v>6</v>
      </c>
      <c r="V334" s="5">
        <v>-2</v>
      </c>
      <c r="W334" s="5">
        <v>6</v>
      </c>
      <c r="X334" s="5">
        <v>2</v>
      </c>
      <c r="Y334" s="5">
        <v>-28</v>
      </c>
      <c r="Z334" s="5">
        <v>15</v>
      </c>
      <c r="AA334" s="5">
        <v>7</v>
      </c>
      <c r="AB334" s="5">
        <v>4</v>
      </c>
      <c r="AC334" s="5">
        <v>-2</v>
      </c>
      <c r="AD334" s="5">
        <v>0</v>
      </c>
      <c r="AE334" s="5">
        <v>1</v>
      </c>
      <c r="AF334" s="5">
        <v>8</v>
      </c>
      <c r="AG334" s="5">
        <v>-7</v>
      </c>
      <c r="AH334" s="5">
        <v>-2</v>
      </c>
      <c r="AI334" s="5">
        <v>-3</v>
      </c>
      <c r="AJ334" s="5">
        <v>15</v>
      </c>
      <c r="AK334" s="5">
        <v>13</v>
      </c>
      <c r="AL334" s="6">
        <v>4</v>
      </c>
    </row>
    <row r="335" spans="1:38">
      <c r="A335" s="4">
        <v>0</v>
      </c>
      <c r="B335" s="5">
        <v>8</v>
      </c>
      <c r="C335" s="5">
        <v>-1</v>
      </c>
      <c r="D335" s="5">
        <v>-6</v>
      </c>
      <c r="E335" s="5">
        <v>-2</v>
      </c>
      <c r="F335" s="5">
        <v>0</v>
      </c>
      <c r="G335" s="5">
        <v>-18</v>
      </c>
      <c r="H335" s="5">
        <v>-3</v>
      </c>
      <c r="I335" s="5">
        <v>0</v>
      </c>
      <c r="J335" s="5">
        <v>-10</v>
      </c>
      <c r="K335" s="5">
        <v>-13</v>
      </c>
      <c r="L335" s="5">
        <v>-6</v>
      </c>
      <c r="M335" s="5">
        <v>-2</v>
      </c>
      <c r="N335" s="5">
        <v>-6</v>
      </c>
      <c r="O335" s="5">
        <v>2</v>
      </c>
      <c r="P335" s="5">
        <v>-5</v>
      </c>
      <c r="Q335" s="5">
        <v>1</v>
      </c>
      <c r="R335" s="5">
        <v>8</v>
      </c>
      <c r="S335" s="5">
        <v>-10</v>
      </c>
      <c r="T335" s="5">
        <v>-11</v>
      </c>
      <c r="U335" s="5">
        <v>2</v>
      </c>
      <c r="V335" s="5">
        <v>-4</v>
      </c>
      <c r="W335" s="5">
        <v>-3</v>
      </c>
      <c r="X335" s="5">
        <v>-2</v>
      </c>
      <c r="Y335" s="5">
        <v>-15</v>
      </c>
      <c r="Z335" s="5">
        <v>10</v>
      </c>
      <c r="AA335" s="5">
        <v>-1</v>
      </c>
      <c r="AB335" s="5">
        <v>12</v>
      </c>
      <c r="AC335" s="5">
        <v>-3</v>
      </c>
      <c r="AD335" s="5">
        <v>8</v>
      </c>
      <c r="AE335" s="5">
        <v>9</v>
      </c>
      <c r="AF335" s="5">
        <v>3</v>
      </c>
      <c r="AG335" s="5">
        <v>-2</v>
      </c>
      <c r="AH335" s="5">
        <v>2</v>
      </c>
      <c r="AI335" s="5">
        <v>4</v>
      </c>
      <c r="AJ335" s="5">
        <v>7</v>
      </c>
      <c r="AK335" s="5">
        <v>9</v>
      </c>
      <c r="AL335" s="6">
        <v>5</v>
      </c>
    </row>
    <row r="336" spans="1:38">
      <c r="A336" s="4">
        <v>8</v>
      </c>
      <c r="B336" s="5">
        <v>20</v>
      </c>
      <c r="C336" s="5">
        <v>-5</v>
      </c>
      <c r="D336" s="5">
        <v>-4</v>
      </c>
      <c r="E336" s="5">
        <v>4</v>
      </c>
      <c r="F336" s="5">
        <v>14</v>
      </c>
      <c r="G336" s="5">
        <v>2</v>
      </c>
      <c r="H336" s="5">
        <v>-14</v>
      </c>
      <c r="I336" s="5">
        <v>20</v>
      </c>
      <c r="J336" s="5">
        <v>-18</v>
      </c>
      <c r="K336" s="5">
        <v>-8</v>
      </c>
      <c r="L336" s="5">
        <v>39</v>
      </c>
      <c r="M336" s="5">
        <v>9</v>
      </c>
      <c r="N336" s="5">
        <v>-10</v>
      </c>
      <c r="O336" s="5">
        <v>12</v>
      </c>
      <c r="P336" s="5">
        <v>13</v>
      </c>
      <c r="Q336" s="5">
        <v>7</v>
      </c>
      <c r="R336" s="5">
        <v>-21</v>
      </c>
      <c r="S336" s="5">
        <v>-18</v>
      </c>
      <c r="T336" s="5">
        <v>-24</v>
      </c>
      <c r="U336" s="5">
        <v>9</v>
      </c>
      <c r="V336" s="5">
        <v>-16</v>
      </c>
      <c r="W336" s="5">
        <v>-13</v>
      </c>
      <c r="X336" s="5">
        <v>20</v>
      </c>
      <c r="Y336" s="5">
        <v>31</v>
      </c>
      <c r="Z336" s="5">
        <v>-21</v>
      </c>
      <c r="AA336" s="5">
        <v>-9</v>
      </c>
      <c r="AB336" s="5">
        <v>-1</v>
      </c>
      <c r="AC336" s="5">
        <v>-7</v>
      </c>
      <c r="AD336" s="5">
        <v>13</v>
      </c>
      <c r="AE336" s="5">
        <v>-11</v>
      </c>
      <c r="AF336" s="5">
        <v>-4</v>
      </c>
      <c r="AG336" s="5">
        <v>-11</v>
      </c>
      <c r="AH336" s="5">
        <v>8</v>
      </c>
      <c r="AI336" s="5">
        <v>11</v>
      </c>
      <c r="AJ336" s="5">
        <v>0</v>
      </c>
      <c r="AK336" s="5">
        <v>19</v>
      </c>
      <c r="AL336" s="6">
        <v>-31</v>
      </c>
    </row>
    <row r="337" spans="1:38">
      <c r="A337" s="4">
        <v>13</v>
      </c>
      <c r="B337" s="5">
        <v>34</v>
      </c>
      <c r="C337" s="5">
        <v>-2</v>
      </c>
      <c r="D337" s="5">
        <v>-8</v>
      </c>
      <c r="E337" s="5">
        <v>3</v>
      </c>
      <c r="F337" s="5">
        <v>15</v>
      </c>
      <c r="G337" s="5">
        <v>-14</v>
      </c>
      <c r="H337" s="5">
        <v>-13</v>
      </c>
      <c r="I337" s="5">
        <v>8</v>
      </c>
      <c r="J337" s="5">
        <v>-19</v>
      </c>
      <c r="K337" s="5">
        <v>-1</v>
      </c>
      <c r="L337" s="5">
        <v>26</v>
      </c>
      <c r="M337" s="5">
        <v>3</v>
      </c>
      <c r="N337" s="5">
        <v>-13</v>
      </c>
      <c r="O337" s="5">
        <v>2</v>
      </c>
      <c r="P337" s="5">
        <v>11</v>
      </c>
      <c r="Q337" s="5">
        <v>6</v>
      </c>
      <c r="R337" s="5">
        <v>-7</v>
      </c>
      <c r="S337" s="5">
        <v>-27</v>
      </c>
      <c r="T337" s="5">
        <v>-24</v>
      </c>
      <c r="U337" s="5">
        <v>13</v>
      </c>
      <c r="V337" s="5">
        <v>-16</v>
      </c>
      <c r="W337" s="5">
        <v>-19</v>
      </c>
      <c r="X337" s="5">
        <v>25</v>
      </c>
      <c r="Y337" s="5">
        <v>11</v>
      </c>
      <c r="Z337" s="5">
        <v>-13</v>
      </c>
      <c r="AA337" s="5">
        <v>-5</v>
      </c>
      <c r="AB337" s="5">
        <v>-1</v>
      </c>
      <c r="AC337" s="5">
        <v>-1</v>
      </c>
      <c r="AD337" s="5">
        <v>14</v>
      </c>
      <c r="AE337" s="5">
        <v>-5</v>
      </c>
      <c r="AF337" s="5">
        <v>-3</v>
      </c>
      <c r="AG337" s="5">
        <v>-12</v>
      </c>
      <c r="AH337" s="5">
        <v>-1</v>
      </c>
      <c r="AI337" s="5">
        <v>8</v>
      </c>
      <c r="AJ337" s="5">
        <v>14</v>
      </c>
      <c r="AK337" s="5">
        <v>12</v>
      </c>
      <c r="AL337" s="6">
        <v>-15</v>
      </c>
    </row>
    <row r="338" spans="1:38">
      <c r="A338" s="4">
        <v>-10</v>
      </c>
      <c r="B338" s="5">
        <v>-4</v>
      </c>
      <c r="C338" s="5">
        <v>11</v>
      </c>
      <c r="D338" s="5">
        <v>9</v>
      </c>
      <c r="E338" s="5">
        <v>11</v>
      </c>
      <c r="F338" s="5">
        <v>9</v>
      </c>
      <c r="G338" s="5">
        <v>7</v>
      </c>
      <c r="H338" s="5">
        <v>-7</v>
      </c>
      <c r="I338" s="5">
        <v>3</v>
      </c>
      <c r="J338" s="5">
        <v>-10</v>
      </c>
      <c r="K338" s="5">
        <v>-5</v>
      </c>
      <c r="L338" s="5">
        <v>-7</v>
      </c>
      <c r="M338" s="5">
        <v>-17</v>
      </c>
      <c r="N338" s="5">
        <v>4</v>
      </c>
      <c r="O338" s="5">
        <v>-13</v>
      </c>
      <c r="P338" s="5">
        <v>7</v>
      </c>
      <c r="Q338" s="5">
        <v>11</v>
      </c>
      <c r="R338" s="5">
        <v>-4</v>
      </c>
      <c r="S338" s="5">
        <v>26</v>
      </c>
      <c r="T338" s="5">
        <v>-4</v>
      </c>
      <c r="U338" s="5">
        <v>-14</v>
      </c>
      <c r="V338" s="5">
        <v>10</v>
      </c>
      <c r="W338" s="5">
        <v>11</v>
      </c>
      <c r="X338" s="5">
        <v>16</v>
      </c>
      <c r="Y338" s="5">
        <v>11</v>
      </c>
      <c r="Z338" s="5">
        <v>-2</v>
      </c>
      <c r="AA338" s="5">
        <v>-2</v>
      </c>
      <c r="AB338" s="5">
        <v>-4</v>
      </c>
      <c r="AC338" s="5">
        <v>-6</v>
      </c>
      <c r="AD338" s="5">
        <v>6</v>
      </c>
      <c r="AE338" s="5">
        <v>3</v>
      </c>
      <c r="AF338" s="5">
        <v>13</v>
      </c>
      <c r="AG338" s="5">
        <v>15</v>
      </c>
      <c r="AH338" s="5">
        <v>13</v>
      </c>
      <c r="AI338" s="5">
        <v>-2</v>
      </c>
      <c r="AJ338" s="5">
        <v>2</v>
      </c>
      <c r="AK338" s="5">
        <v>0</v>
      </c>
      <c r="AL338" s="6">
        <v>9</v>
      </c>
    </row>
    <row r="339" spans="1:38">
      <c r="A339" s="4">
        <v>1</v>
      </c>
      <c r="B339" s="5">
        <v>-1</v>
      </c>
      <c r="C339" s="5">
        <v>7</v>
      </c>
      <c r="D339" s="5">
        <v>-4</v>
      </c>
      <c r="E339" s="5">
        <v>19</v>
      </c>
      <c r="F339" s="5">
        <v>-3</v>
      </c>
      <c r="G339" s="5">
        <v>-18</v>
      </c>
      <c r="H339" s="5">
        <v>-31</v>
      </c>
      <c r="I339" s="5">
        <v>-25</v>
      </c>
      <c r="J339" s="5">
        <v>2</v>
      </c>
      <c r="K339" s="5">
        <v>2</v>
      </c>
      <c r="L339" s="5">
        <v>-5</v>
      </c>
      <c r="M339" s="5">
        <v>-12</v>
      </c>
      <c r="N339" s="5">
        <v>9</v>
      </c>
      <c r="O339" s="5">
        <v>5</v>
      </c>
      <c r="P339" s="5">
        <v>-42</v>
      </c>
      <c r="Q339" s="5">
        <v>4</v>
      </c>
      <c r="R339" s="5">
        <v>-8</v>
      </c>
      <c r="S339" s="5">
        <v>23</v>
      </c>
      <c r="T339" s="5">
        <v>-13</v>
      </c>
      <c r="U339" s="5">
        <v>0</v>
      </c>
      <c r="V339" s="5">
        <v>-5</v>
      </c>
      <c r="W339" s="5">
        <v>-12</v>
      </c>
      <c r="X339" s="5">
        <v>-9</v>
      </c>
      <c r="Y339" s="5">
        <v>17</v>
      </c>
      <c r="Z339" s="5">
        <v>13</v>
      </c>
      <c r="AA339" s="5">
        <v>1</v>
      </c>
      <c r="AB339" s="5">
        <v>-11</v>
      </c>
      <c r="AC339" s="5">
        <v>-35</v>
      </c>
      <c r="AD339" s="5">
        <v>-10</v>
      </c>
      <c r="AE339" s="5">
        <v>40</v>
      </c>
      <c r="AF339" s="5">
        <v>-1</v>
      </c>
      <c r="AG339" s="5">
        <v>-12</v>
      </c>
      <c r="AH339" s="5">
        <v>-2</v>
      </c>
      <c r="AI339" s="5">
        <v>-4</v>
      </c>
      <c r="AJ339" s="5">
        <v>-13</v>
      </c>
      <c r="AK339" s="5">
        <v>-14</v>
      </c>
      <c r="AL339" s="6">
        <v>10</v>
      </c>
    </row>
    <row r="340" spans="1:38">
      <c r="A340" s="4">
        <v>-5</v>
      </c>
      <c r="B340" s="5">
        <v>-1</v>
      </c>
      <c r="C340" s="5">
        <v>5</v>
      </c>
      <c r="D340" s="5">
        <v>6</v>
      </c>
      <c r="E340" s="5">
        <v>9</v>
      </c>
      <c r="F340" s="5">
        <v>2</v>
      </c>
      <c r="G340" s="5">
        <v>-8</v>
      </c>
      <c r="H340" s="5">
        <v>-5</v>
      </c>
      <c r="I340" s="5">
        <v>0</v>
      </c>
      <c r="J340" s="5">
        <v>-12</v>
      </c>
      <c r="K340" s="5">
        <v>-9</v>
      </c>
      <c r="L340" s="5">
        <v>11</v>
      </c>
      <c r="M340" s="5">
        <v>-6</v>
      </c>
      <c r="N340" s="5">
        <v>-3</v>
      </c>
      <c r="O340" s="5">
        <v>-6</v>
      </c>
      <c r="P340" s="5">
        <v>6</v>
      </c>
      <c r="Q340" s="5">
        <v>2</v>
      </c>
      <c r="R340" s="5">
        <v>-6</v>
      </c>
      <c r="S340" s="5">
        <v>16</v>
      </c>
      <c r="T340" s="5">
        <v>-5</v>
      </c>
      <c r="U340" s="5">
        <v>-8</v>
      </c>
      <c r="V340" s="5">
        <v>4</v>
      </c>
      <c r="W340" s="5">
        <v>6</v>
      </c>
      <c r="X340" s="5">
        <v>16</v>
      </c>
      <c r="Y340" s="5">
        <v>4</v>
      </c>
      <c r="Z340" s="5">
        <v>11</v>
      </c>
      <c r="AA340" s="5">
        <v>8</v>
      </c>
      <c r="AB340" s="5">
        <v>-3</v>
      </c>
      <c r="AC340" s="5">
        <v>-2</v>
      </c>
      <c r="AD340" s="5">
        <v>9</v>
      </c>
      <c r="AE340" s="5">
        <v>10</v>
      </c>
      <c r="AF340" s="5">
        <v>-5</v>
      </c>
      <c r="AG340" s="5">
        <v>-10</v>
      </c>
      <c r="AH340" s="5">
        <v>8</v>
      </c>
      <c r="AI340" s="5">
        <v>6</v>
      </c>
      <c r="AJ340" s="5">
        <v>-13</v>
      </c>
      <c r="AK340" s="5">
        <v>0</v>
      </c>
      <c r="AL340" s="6">
        <v>-1</v>
      </c>
    </row>
    <row r="341" spans="1:38">
      <c r="A341" s="4">
        <v>-2</v>
      </c>
      <c r="B341" s="5">
        <v>7</v>
      </c>
      <c r="C341" s="5">
        <v>3</v>
      </c>
      <c r="D341" s="5">
        <v>-3</v>
      </c>
      <c r="E341" s="5">
        <v>1</v>
      </c>
      <c r="F341" s="5">
        <v>4</v>
      </c>
      <c r="G341" s="5">
        <v>-10</v>
      </c>
      <c r="H341" s="5">
        <v>-2</v>
      </c>
      <c r="I341" s="5">
        <v>-4</v>
      </c>
      <c r="J341" s="5">
        <v>-13</v>
      </c>
      <c r="K341" s="5">
        <v>-7</v>
      </c>
      <c r="L341" s="5">
        <v>11</v>
      </c>
      <c r="M341" s="5">
        <v>6</v>
      </c>
      <c r="N341" s="5">
        <v>-4</v>
      </c>
      <c r="O341" s="5">
        <v>5</v>
      </c>
      <c r="P341" s="5">
        <v>3</v>
      </c>
      <c r="Q341" s="5">
        <v>-7</v>
      </c>
      <c r="R341" s="5">
        <v>3</v>
      </c>
      <c r="S341" s="5">
        <v>0</v>
      </c>
      <c r="T341" s="5">
        <v>3</v>
      </c>
      <c r="U341" s="5">
        <v>-1</v>
      </c>
      <c r="V341" s="5">
        <v>5</v>
      </c>
      <c r="W341" s="5">
        <v>6</v>
      </c>
      <c r="X341" s="5">
        <v>-1</v>
      </c>
      <c r="Y341" s="5">
        <v>8</v>
      </c>
      <c r="Z341" s="5">
        <v>9</v>
      </c>
      <c r="AA341" s="5">
        <v>3</v>
      </c>
      <c r="AB341" s="5">
        <v>-4</v>
      </c>
      <c r="AC341" s="5">
        <v>-1</v>
      </c>
      <c r="AD341" s="5">
        <v>-7</v>
      </c>
      <c r="AE341" s="5">
        <v>-9</v>
      </c>
      <c r="AF341" s="5">
        <v>-7</v>
      </c>
      <c r="AG341" s="5">
        <v>5</v>
      </c>
      <c r="AH341" s="5">
        <v>3</v>
      </c>
      <c r="AI341" s="5">
        <v>-3</v>
      </c>
      <c r="AJ341" s="5">
        <v>1</v>
      </c>
      <c r="AK341" s="5">
        <v>-8</v>
      </c>
      <c r="AL341" s="6">
        <v>-8</v>
      </c>
    </row>
    <row r="342" spans="1:38">
      <c r="A342" s="4">
        <v>4</v>
      </c>
      <c r="B342" s="5">
        <v>8</v>
      </c>
      <c r="C342" s="5">
        <v>2</v>
      </c>
      <c r="D342" s="5">
        <v>0</v>
      </c>
      <c r="E342" s="5">
        <v>11</v>
      </c>
      <c r="F342" s="5">
        <v>5</v>
      </c>
      <c r="G342" s="5">
        <v>-19</v>
      </c>
      <c r="H342" s="5">
        <v>-5</v>
      </c>
      <c r="I342" s="5">
        <v>-5</v>
      </c>
      <c r="J342" s="5">
        <v>-4</v>
      </c>
      <c r="K342" s="5">
        <v>-4</v>
      </c>
      <c r="L342" s="5">
        <v>-3</v>
      </c>
      <c r="M342" s="5">
        <v>0</v>
      </c>
      <c r="N342" s="5">
        <v>10</v>
      </c>
      <c r="O342" s="5">
        <v>-2</v>
      </c>
      <c r="P342" s="5">
        <v>-18</v>
      </c>
      <c r="Q342" s="5">
        <v>4</v>
      </c>
      <c r="R342" s="5">
        <v>7</v>
      </c>
      <c r="S342" s="5">
        <v>5</v>
      </c>
      <c r="T342" s="5">
        <v>-3</v>
      </c>
      <c r="U342" s="5">
        <v>19</v>
      </c>
      <c r="V342" s="5">
        <v>-17</v>
      </c>
      <c r="W342" s="5">
        <v>-8</v>
      </c>
      <c r="X342" s="5">
        <v>7</v>
      </c>
      <c r="Y342" s="5">
        <v>-13</v>
      </c>
      <c r="Z342" s="5">
        <v>-6</v>
      </c>
      <c r="AA342" s="5">
        <v>7</v>
      </c>
      <c r="AB342" s="5">
        <v>-2</v>
      </c>
      <c r="AC342" s="5">
        <v>-5</v>
      </c>
      <c r="AD342" s="5">
        <v>-8</v>
      </c>
      <c r="AE342" s="5">
        <v>-2</v>
      </c>
      <c r="AF342" s="5">
        <v>-3</v>
      </c>
      <c r="AG342" s="5">
        <v>2</v>
      </c>
      <c r="AH342" s="5">
        <v>0</v>
      </c>
      <c r="AI342" s="5">
        <v>6</v>
      </c>
      <c r="AJ342" s="5">
        <v>-3</v>
      </c>
      <c r="AK342" s="5">
        <v>-10</v>
      </c>
      <c r="AL342" s="6">
        <v>2</v>
      </c>
    </row>
    <row r="343" spans="1:38">
      <c r="A343" s="4">
        <v>-2</v>
      </c>
      <c r="B343" s="5">
        <v>-2</v>
      </c>
      <c r="C343" s="5">
        <v>-10</v>
      </c>
      <c r="D343" s="5">
        <v>-1</v>
      </c>
      <c r="E343" s="5">
        <v>-9</v>
      </c>
      <c r="F343" s="5">
        <v>-3</v>
      </c>
      <c r="G343" s="5">
        <v>-3</v>
      </c>
      <c r="H343" s="5">
        <v>-1</v>
      </c>
      <c r="I343" s="5">
        <v>1</v>
      </c>
      <c r="J343" s="5">
        <v>3</v>
      </c>
      <c r="K343" s="5">
        <v>2</v>
      </c>
      <c r="L343" s="5">
        <v>7</v>
      </c>
      <c r="M343" s="5">
        <v>6</v>
      </c>
      <c r="N343" s="5">
        <v>-8</v>
      </c>
      <c r="O343" s="5">
        <v>-1</v>
      </c>
      <c r="P343" s="5">
        <v>-5</v>
      </c>
      <c r="Q343" s="5">
        <v>7</v>
      </c>
      <c r="R343" s="5">
        <v>-12</v>
      </c>
      <c r="S343" s="5">
        <v>-5</v>
      </c>
      <c r="T343" s="5">
        <v>10</v>
      </c>
      <c r="U343" s="5">
        <v>23</v>
      </c>
      <c r="V343" s="5">
        <v>-1</v>
      </c>
      <c r="W343" s="5">
        <v>11</v>
      </c>
      <c r="X343" s="5">
        <v>24</v>
      </c>
      <c r="Y343" s="5">
        <v>-7</v>
      </c>
      <c r="Z343" s="5">
        <v>4</v>
      </c>
      <c r="AA343" s="5">
        <v>1</v>
      </c>
      <c r="AB343" s="5">
        <v>-21</v>
      </c>
      <c r="AC343" s="5">
        <v>6</v>
      </c>
      <c r="AD343" s="5">
        <v>1</v>
      </c>
      <c r="AE343" s="5">
        <v>13</v>
      </c>
      <c r="AF343" s="5">
        <v>-1</v>
      </c>
      <c r="AG343" s="5">
        <v>-12</v>
      </c>
      <c r="AH343" s="5">
        <v>-8</v>
      </c>
      <c r="AI343" s="5">
        <v>2</v>
      </c>
      <c r="AJ343" s="5">
        <v>-5</v>
      </c>
      <c r="AK343" s="5">
        <v>-13</v>
      </c>
      <c r="AL343" s="6">
        <v>-7</v>
      </c>
    </row>
    <row r="344" spans="1:38">
      <c r="A344" s="4">
        <v>2</v>
      </c>
      <c r="B344" s="5">
        <v>5</v>
      </c>
      <c r="C344" s="5">
        <v>0</v>
      </c>
      <c r="D344" s="5">
        <v>-1</v>
      </c>
      <c r="E344" s="5">
        <v>5</v>
      </c>
      <c r="F344" s="5">
        <v>6</v>
      </c>
      <c r="G344" s="5">
        <v>-5</v>
      </c>
      <c r="H344" s="5">
        <v>-3</v>
      </c>
      <c r="I344" s="5">
        <v>0</v>
      </c>
      <c r="J344" s="5">
        <v>-1</v>
      </c>
      <c r="K344" s="5">
        <v>1</v>
      </c>
      <c r="L344" s="5">
        <v>7</v>
      </c>
      <c r="M344" s="5">
        <v>4</v>
      </c>
      <c r="N344" s="5">
        <v>-1</v>
      </c>
      <c r="O344" s="5">
        <v>-4</v>
      </c>
      <c r="P344" s="5">
        <v>-2</v>
      </c>
      <c r="Q344" s="5">
        <v>-2</v>
      </c>
      <c r="R344" s="5">
        <v>4</v>
      </c>
      <c r="S344" s="5">
        <v>-1</v>
      </c>
      <c r="T344" s="5">
        <v>2</v>
      </c>
      <c r="U344" s="5">
        <v>2</v>
      </c>
      <c r="V344" s="5">
        <v>-3</v>
      </c>
      <c r="W344" s="5">
        <v>-10</v>
      </c>
      <c r="X344" s="5">
        <v>-4</v>
      </c>
      <c r="Y344" s="5">
        <v>2</v>
      </c>
      <c r="Z344" s="5">
        <v>3</v>
      </c>
      <c r="AA344" s="5">
        <v>-5</v>
      </c>
      <c r="AB344" s="5">
        <v>-4</v>
      </c>
      <c r="AC344" s="5">
        <v>-5</v>
      </c>
      <c r="AD344" s="5">
        <v>4</v>
      </c>
      <c r="AE344" s="5">
        <v>-7</v>
      </c>
      <c r="AF344" s="5">
        <v>-2</v>
      </c>
      <c r="AG344" s="5">
        <v>2</v>
      </c>
      <c r="AH344" s="5">
        <v>3</v>
      </c>
      <c r="AI344" s="5">
        <v>-3</v>
      </c>
      <c r="AJ344" s="5">
        <v>-9</v>
      </c>
      <c r="AK344" s="5">
        <v>2</v>
      </c>
      <c r="AL344" s="6">
        <v>-3</v>
      </c>
    </row>
    <row r="345" spans="1:38">
      <c r="A345" s="4">
        <v>10</v>
      </c>
      <c r="B345" s="5">
        <v>-12</v>
      </c>
      <c r="C345" s="5">
        <v>-12</v>
      </c>
      <c r="D345" s="5">
        <v>3</v>
      </c>
      <c r="E345" s="5">
        <v>-9</v>
      </c>
      <c r="F345" s="5">
        <v>-34</v>
      </c>
      <c r="G345" s="5">
        <v>28</v>
      </c>
      <c r="H345" s="5">
        <v>-7</v>
      </c>
      <c r="I345" s="5">
        <v>48</v>
      </c>
      <c r="J345" s="5">
        <v>4</v>
      </c>
      <c r="K345" s="5">
        <v>-35</v>
      </c>
      <c r="L345" s="5">
        <v>18</v>
      </c>
      <c r="M345" s="5">
        <v>5</v>
      </c>
      <c r="N345" s="5">
        <v>10</v>
      </c>
      <c r="O345" s="5">
        <v>-2</v>
      </c>
      <c r="P345" s="5">
        <v>3</v>
      </c>
      <c r="Q345" s="5">
        <v>-24</v>
      </c>
      <c r="R345" s="5">
        <v>-1</v>
      </c>
      <c r="S345" s="5">
        <v>40</v>
      </c>
      <c r="T345" s="5">
        <v>3</v>
      </c>
      <c r="U345" s="5">
        <v>-10</v>
      </c>
      <c r="V345" s="5">
        <v>-5</v>
      </c>
      <c r="W345" s="5">
        <v>-4</v>
      </c>
      <c r="X345" s="5">
        <v>-3</v>
      </c>
      <c r="Y345" s="5">
        <v>-7</v>
      </c>
      <c r="Z345" s="5">
        <v>5</v>
      </c>
      <c r="AA345" s="5">
        <v>-5</v>
      </c>
      <c r="AB345" s="5">
        <v>12</v>
      </c>
      <c r="AC345" s="5">
        <v>24</v>
      </c>
      <c r="AD345" s="5">
        <v>-38</v>
      </c>
      <c r="AE345" s="5">
        <v>10</v>
      </c>
      <c r="AF345" s="5">
        <v>22</v>
      </c>
      <c r="AG345" s="5">
        <v>-4</v>
      </c>
      <c r="AH345" s="5">
        <v>5</v>
      </c>
      <c r="AI345" s="5">
        <v>-12</v>
      </c>
      <c r="AJ345" s="5">
        <v>7</v>
      </c>
      <c r="AK345" s="5">
        <v>17</v>
      </c>
      <c r="AL345" s="6">
        <v>13</v>
      </c>
    </row>
    <row r="346" spans="1:38">
      <c r="A346" s="4">
        <v>26</v>
      </c>
      <c r="B346" s="5">
        <v>-18</v>
      </c>
      <c r="C346" s="5">
        <v>-44</v>
      </c>
      <c r="D346" s="5">
        <v>21</v>
      </c>
      <c r="E346" s="5">
        <v>1</v>
      </c>
      <c r="F346" s="5">
        <v>16</v>
      </c>
      <c r="G346" s="5">
        <v>63</v>
      </c>
      <c r="H346" s="5">
        <v>-33</v>
      </c>
      <c r="I346" s="5">
        <v>-20</v>
      </c>
      <c r="J346" s="5">
        <v>-27</v>
      </c>
      <c r="K346" s="5">
        <v>24</v>
      </c>
      <c r="L346" s="5">
        <v>4</v>
      </c>
      <c r="M346" s="5">
        <v>-12</v>
      </c>
      <c r="N346" s="5">
        <v>-28</v>
      </c>
      <c r="O346" s="5">
        <v>-53</v>
      </c>
      <c r="P346" s="5">
        <v>-34</v>
      </c>
      <c r="Q346" s="5">
        <v>-9</v>
      </c>
      <c r="R346" s="5">
        <v>-1</v>
      </c>
      <c r="S346" s="5">
        <v>27</v>
      </c>
      <c r="T346" s="5">
        <v>-58</v>
      </c>
      <c r="U346" s="5">
        <v>-14</v>
      </c>
      <c r="V346" s="5">
        <v>49</v>
      </c>
      <c r="W346" s="5">
        <v>50</v>
      </c>
      <c r="X346" s="5">
        <v>21</v>
      </c>
      <c r="Y346" s="5">
        <v>-60</v>
      </c>
      <c r="Z346" s="5">
        <v>26</v>
      </c>
      <c r="AA346" s="5">
        <v>-34</v>
      </c>
      <c r="AB346" s="5">
        <v>17</v>
      </c>
      <c r="AC346" s="5">
        <v>27</v>
      </c>
      <c r="AD346" s="5">
        <v>0</v>
      </c>
      <c r="AE346" s="5">
        <v>-46</v>
      </c>
      <c r="AF346" s="5">
        <v>-8</v>
      </c>
      <c r="AG346" s="5">
        <v>7</v>
      </c>
      <c r="AH346" s="5">
        <v>25</v>
      </c>
      <c r="AI346" s="5">
        <v>4</v>
      </c>
      <c r="AJ346" s="5">
        <v>44</v>
      </c>
      <c r="AK346" s="5">
        <v>-6</v>
      </c>
      <c r="AL346" s="6">
        <v>8</v>
      </c>
    </row>
    <row r="347" spans="1:38">
      <c r="A347" s="4">
        <v>19</v>
      </c>
      <c r="B347" s="5">
        <v>2</v>
      </c>
      <c r="C347" s="5">
        <v>-7</v>
      </c>
      <c r="D347" s="5">
        <v>-11</v>
      </c>
      <c r="E347" s="5">
        <v>-12</v>
      </c>
      <c r="F347" s="5">
        <v>1</v>
      </c>
      <c r="G347" s="5">
        <v>30</v>
      </c>
      <c r="H347" s="5">
        <v>-5</v>
      </c>
      <c r="I347" s="5">
        <v>6</v>
      </c>
      <c r="J347" s="5">
        <v>-2</v>
      </c>
      <c r="K347" s="5">
        <v>15</v>
      </c>
      <c r="L347" s="5">
        <v>-5</v>
      </c>
      <c r="M347" s="5">
        <v>5</v>
      </c>
      <c r="N347" s="5">
        <v>-1</v>
      </c>
      <c r="O347" s="5">
        <v>-10</v>
      </c>
      <c r="P347" s="5">
        <v>-10</v>
      </c>
      <c r="Q347" s="5">
        <v>-5</v>
      </c>
      <c r="R347" s="5">
        <v>12</v>
      </c>
      <c r="S347" s="5">
        <v>3</v>
      </c>
      <c r="T347" s="5">
        <v>-21</v>
      </c>
      <c r="U347" s="5">
        <v>-13</v>
      </c>
      <c r="V347" s="5">
        <v>7</v>
      </c>
      <c r="W347" s="5">
        <v>4</v>
      </c>
      <c r="X347" s="5">
        <v>9</v>
      </c>
      <c r="Y347" s="5">
        <v>-9</v>
      </c>
      <c r="Z347" s="5">
        <v>-2</v>
      </c>
      <c r="AA347" s="5">
        <v>-2</v>
      </c>
      <c r="AB347" s="5">
        <v>-2</v>
      </c>
      <c r="AC347" s="5">
        <v>24</v>
      </c>
      <c r="AD347" s="5">
        <v>-16</v>
      </c>
      <c r="AE347" s="5">
        <v>-26</v>
      </c>
      <c r="AF347" s="5">
        <v>-5</v>
      </c>
      <c r="AG347" s="5">
        <v>-6</v>
      </c>
      <c r="AH347" s="5">
        <v>0</v>
      </c>
      <c r="AI347" s="5">
        <v>1</v>
      </c>
      <c r="AJ347" s="5">
        <v>36</v>
      </c>
      <c r="AK347" s="5">
        <v>15</v>
      </c>
      <c r="AL347" s="6">
        <v>-5</v>
      </c>
    </row>
    <row r="348" spans="1:38">
      <c r="A348" s="4">
        <v>22</v>
      </c>
      <c r="B348" s="5">
        <v>20</v>
      </c>
      <c r="C348" s="5">
        <v>-22</v>
      </c>
      <c r="D348" s="5">
        <v>7</v>
      </c>
      <c r="E348" s="5">
        <v>15</v>
      </c>
      <c r="F348" s="5">
        <v>-6</v>
      </c>
      <c r="G348" s="5">
        <v>46</v>
      </c>
      <c r="H348" s="5">
        <v>-7</v>
      </c>
      <c r="I348" s="5">
        <v>-15</v>
      </c>
      <c r="J348" s="5">
        <v>14</v>
      </c>
      <c r="K348" s="5">
        <v>35</v>
      </c>
      <c r="L348" s="5">
        <v>24</v>
      </c>
      <c r="M348" s="5">
        <v>-13</v>
      </c>
      <c r="N348" s="5">
        <v>-14</v>
      </c>
      <c r="O348" s="5">
        <v>-47</v>
      </c>
      <c r="P348" s="5">
        <v>-16</v>
      </c>
      <c r="Q348" s="5">
        <v>19</v>
      </c>
      <c r="R348" s="5">
        <v>-6</v>
      </c>
      <c r="S348" s="5">
        <v>1</v>
      </c>
      <c r="T348" s="5">
        <v>-9</v>
      </c>
      <c r="U348" s="5">
        <v>-6</v>
      </c>
      <c r="V348" s="5">
        <v>6</v>
      </c>
      <c r="W348" s="5">
        <v>29</v>
      </c>
      <c r="X348" s="5">
        <v>12</v>
      </c>
      <c r="Y348" s="5">
        <v>-43</v>
      </c>
      <c r="Z348" s="5">
        <v>5</v>
      </c>
      <c r="AA348" s="5">
        <v>11</v>
      </c>
      <c r="AB348" s="5">
        <v>3</v>
      </c>
      <c r="AC348" s="5">
        <v>-35</v>
      </c>
      <c r="AD348" s="5">
        <v>21</v>
      </c>
      <c r="AE348" s="5">
        <v>-8</v>
      </c>
      <c r="AF348" s="5">
        <v>6</v>
      </c>
      <c r="AG348" s="5">
        <v>-9</v>
      </c>
      <c r="AH348" s="5">
        <v>10</v>
      </c>
      <c r="AI348" s="5">
        <v>14</v>
      </c>
      <c r="AJ348" s="5">
        <v>27</v>
      </c>
      <c r="AK348" s="5">
        <v>10</v>
      </c>
      <c r="AL348" s="6">
        <v>-12</v>
      </c>
    </row>
    <row r="349" spans="1:38">
      <c r="A349" s="4">
        <v>0</v>
      </c>
      <c r="B349" s="5">
        <v>-7</v>
      </c>
      <c r="C349" s="5">
        <v>5</v>
      </c>
      <c r="D349" s="5">
        <v>16</v>
      </c>
      <c r="E349" s="5">
        <v>10</v>
      </c>
      <c r="F349" s="5">
        <v>13</v>
      </c>
      <c r="G349" s="5">
        <v>-1</v>
      </c>
      <c r="H349" s="5">
        <v>0</v>
      </c>
      <c r="I349" s="5">
        <v>-9</v>
      </c>
      <c r="J349" s="5">
        <v>-2</v>
      </c>
      <c r="K349" s="5">
        <v>1</v>
      </c>
      <c r="L349" s="5">
        <v>9</v>
      </c>
      <c r="M349" s="5">
        <v>5</v>
      </c>
      <c r="N349" s="5">
        <v>7</v>
      </c>
      <c r="O349" s="5">
        <v>-7</v>
      </c>
      <c r="P349" s="5">
        <v>-3</v>
      </c>
      <c r="Q349" s="5">
        <v>2</v>
      </c>
      <c r="R349" s="5">
        <v>7</v>
      </c>
      <c r="S349" s="5">
        <v>-2</v>
      </c>
      <c r="T349" s="5">
        <v>-6</v>
      </c>
      <c r="U349" s="5">
        <v>-3</v>
      </c>
      <c r="V349" s="5">
        <v>9</v>
      </c>
      <c r="W349" s="5">
        <v>3</v>
      </c>
      <c r="X349" s="5">
        <v>14</v>
      </c>
      <c r="Y349" s="5">
        <v>-6</v>
      </c>
      <c r="Z349" s="5">
        <v>-8</v>
      </c>
      <c r="AA349" s="5">
        <v>9</v>
      </c>
      <c r="AB349" s="5">
        <v>0</v>
      </c>
      <c r="AC349" s="5">
        <v>-8</v>
      </c>
      <c r="AD349" s="5">
        <v>5</v>
      </c>
      <c r="AE349" s="5">
        <v>-10</v>
      </c>
      <c r="AF349" s="5">
        <v>23</v>
      </c>
      <c r="AG349" s="5">
        <v>-7</v>
      </c>
      <c r="AH349" s="5">
        <v>6</v>
      </c>
      <c r="AI349" s="5">
        <v>-23</v>
      </c>
      <c r="AJ349" s="5">
        <v>-6</v>
      </c>
      <c r="AK349" s="5">
        <v>-13</v>
      </c>
      <c r="AL349" s="6">
        <v>-13</v>
      </c>
    </row>
    <row r="350" spans="1:38">
      <c r="A350" s="4">
        <v>-2</v>
      </c>
      <c r="B350" s="5">
        <v>5</v>
      </c>
      <c r="C350" s="5">
        <v>-17</v>
      </c>
      <c r="D350" s="5">
        <v>8</v>
      </c>
      <c r="E350" s="5">
        <v>4</v>
      </c>
      <c r="F350" s="5">
        <v>14</v>
      </c>
      <c r="G350" s="5">
        <v>42</v>
      </c>
      <c r="H350" s="5">
        <v>7</v>
      </c>
      <c r="I350" s="5">
        <v>-8</v>
      </c>
      <c r="J350" s="5">
        <v>-12</v>
      </c>
      <c r="K350" s="5">
        <v>-10</v>
      </c>
      <c r="L350" s="5">
        <v>-24</v>
      </c>
      <c r="M350" s="5">
        <v>-4</v>
      </c>
      <c r="N350" s="5">
        <v>1</v>
      </c>
      <c r="O350" s="5">
        <v>-6</v>
      </c>
      <c r="P350" s="5">
        <v>-24</v>
      </c>
      <c r="Q350" s="5">
        <v>-5</v>
      </c>
      <c r="R350" s="5">
        <v>-2</v>
      </c>
      <c r="S350" s="5">
        <v>16</v>
      </c>
      <c r="T350" s="5">
        <v>-30</v>
      </c>
      <c r="U350" s="5">
        <v>-5</v>
      </c>
      <c r="V350" s="5">
        <v>10</v>
      </c>
      <c r="W350" s="5">
        <v>6</v>
      </c>
      <c r="X350" s="5">
        <v>25</v>
      </c>
      <c r="Y350" s="5">
        <v>-31</v>
      </c>
      <c r="Z350" s="5">
        <v>-1</v>
      </c>
      <c r="AA350" s="5">
        <v>-41</v>
      </c>
      <c r="AB350" s="5">
        <v>8</v>
      </c>
      <c r="AC350" s="5">
        <v>19</v>
      </c>
      <c r="AD350" s="5">
        <v>17</v>
      </c>
      <c r="AE350" s="5">
        <v>-5</v>
      </c>
      <c r="AF350" s="5">
        <v>-10</v>
      </c>
      <c r="AG350" s="5">
        <v>4</v>
      </c>
      <c r="AH350" s="5">
        <v>-8</v>
      </c>
      <c r="AI350" s="5">
        <v>11</v>
      </c>
      <c r="AJ350" s="5">
        <v>9</v>
      </c>
      <c r="AK350" s="5">
        <v>-3</v>
      </c>
      <c r="AL350" s="6">
        <v>6</v>
      </c>
    </row>
    <row r="351" spans="1:38">
      <c r="A351" s="4">
        <v>15</v>
      </c>
      <c r="B351" s="5">
        <v>-7</v>
      </c>
      <c r="C351" s="5">
        <v>-9</v>
      </c>
      <c r="D351" s="5">
        <v>-6</v>
      </c>
      <c r="E351" s="5">
        <v>-11</v>
      </c>
      <c r="F351" s="5">
        <v>-1</v>
      </c>
      <c r="G351" s="5">
        <v>39</v>
      </c>
      <c r="H351" s="5">
        <v>4</v>
      </c>
      <c r="I351" s="5">
        <v>-16</v>
      </c>
      <c r="J351" s="5">
        <v>-24</v>
      </c>
      <c r="K351" s="5">
        <v>14</v>
      </c>
      <c r="L351" s="5">
        <v>-2</v>
      </c>
      <c r="M351" s="5">
        <v>-8</v>
      </c>
      <c r="N351" s="5">
        <v>-11</v>
      </c>
      <c r="O351" s="5">
        <v>-22</v>
      </c>
      <c r="P351" s="5">
        <v>-36</v>
      </c>
      <c r="Q351" s="5">
        <v>2</v>
      </c>
      <c r="R351" s="5">
        <v>-20</v>
      </c>
      <c r="S351" s="5">
        <v>20</v>
      </c>
      <c r="T351" s="5">
        <v>-38</v>
      </c>
      <c r="U351" s="5">
        <v>20</v>
      </c>
      <c r="V351" s="5">
        <v>38</v>
      </c>
      <c r="W351" s="5">
        <v>9</v>
      </c>
      <c r="X351" s="5">
        <v>26</v>
      </c>
      <c r="Y351" s="5">
        <v>-12</v>
      </c>
      <c r="Z351" s="5">
        <v>8</v>
      </c>
      <c r="AA351" s="5">
        <v>-25</v>
      </c>
      <c r="AB351" s="5">
        <v>30</v>
      </c>
      <c r="AC351" s="5">
        <v>57</v>
      </c>
      <c r="AD351" s="5">
        <v>15</v>
      </c>
      <c r="AE351" s="5">
        <v>-26</v>
      </c>
      <c r="AF351" s="5">
        <v>-6</v>
      </c>
      <c r="AG351" s="5">
        <v>-9</v>
      </c>
      <c r="AH351" s="5">
        <v>-15</v>
      </c>
      <c r="AI351" s="5">
        <v>40</v>
      </c>
      <c r="AJ351" s="5">
        <v>3</v>
      </c>
      <c r="AK351" s="5">
        <v>20</v>
      </c>
      <c r="AL351" s="6">
        <v>6</v>
      </c>
    </row>
    <row r="352" spans="1:38">
      <c r="A352" s="4">
        <v>11</v>
      </c>
      <c r="B352" s="5">
        <v>19</v>
      </c>
      <c r="C352" s="5">
        <v>-11</v>
      </c>
      <c r="D352" s="5">
        <v>-2</v>
      </c>
      <c r="E352" s="5">
        <v>4</v>
      </c>
      <c r="F352" s="5">
        <v>2</v>
      </c>
      <c r="G352" s="5">
        <v>18</v>
      </c>
      <c r="H352" s="5">
        <v>13</v>
      </c>
      <c r="I352" s="5">
        <v>0</v>
      </c>
      <c r="J352" s="5">
        <v>-3</v>
      </c>
      <c r="K352" s="5">
        <v>7</v>
      </c>
      <c r="L352" s="5">
        <v>-4</v>
      </c>
      <c r="M352" s="5">
        <v>-4</v>
      </c>
      <c r="N352" s="5">
        <v>2</v>
      </c>
      <c r="O352" s="5">
        <v>-7</v>
      </c>
      <c r="P352" s="5">
        <v>-20</v>
      </c>
      <c r="Q352" s="5">
        <v>0</v>
      </c>
      <c r="R352" s="5">
        <v>13</v>
      </c>
      <c r="S352" s="5">
        <v>-1</v>
      </c>
      <c r="T352" s="5">
        <v>-9</v>
      </c>
      <c r="U352" s="5">
        <v>1</v>
      </c>
      <c r="V352" s="5">
        <v>2</v>
      </c>
      <c r="W352" s="5">
        <v>3</v>
      </c>
      <c r="X352" s="5">
        <v>11</v>
      </c>
      <c r="Y352" s="5">
        <v>-8</v>
      </c>
      <c r="Z352" s="5">
        <v>16</v>
      </c>
      <c r="AA352" s="5">
        <v>-2</v>
      </c>
      <c r="AB352" s="5">
        <v>3</v>
      </c>
      <c r="AC352" s="5">
        <v>-2</v>
      </c>
      <c r="AD352" s="5">
        <v>13</v>
      </c>
      <c r="AE352" s="5">
        <v>-2</v>
      </c>
      <c r="AF352" s="5">
        <v>2</v>
      </c>
      <c r="AG352" s="5">
        <v>-14</v>
      </c>
      <c r="AH352" s="5">
        <v>-4</v>
      </c>
      <c r="AI352" s="5">
        <v>5</v>
      </c>
      <c r="AJ352" s="5">
        <v>7</v>
      </c>
      <c r="AK352" s="5">
        <v>3</v>
      </c>
      <c r="AL352" s="6">
        <v>-6</v>
      </c>
    </row>
    <row r="353" spans="1:38">
      <c r="A353" s="4">
        <v>6</v>
      </c>
      <c r="B353" s="5">
        <v>-12</v>
      </c>
      <c r="C353" s="5">
        <v>-32</v>
      </c>
      <c r="D353" s="5">
        <v>13</v>
      </c>
      <c r="E353" s="5">
        <v>21</v>
      </c>
      <c r="F353" s="5">
        <v>0</v>
      </c>
      <c r="G353" s="5">
        <v>12</v>
      </c>
      <c r="H353" s="5">
        <v>-7</v>
      </c>
      <c r="I353" s="5">
        <v>2</v>
      </c>
      <c r="J353" s="5">
        <v>-21</v>
      </c>
      <c r="K353" s="5">
        <v>-2</v>
      </c>
      <c r="L353" s="5">
        <v>-17</v>
      </c>
      <c r="M353" s="5">
        <v>-15</v>
      </c>
      <c r="N353" s="5">
        <v>-16</v>
      </c>
      <c r="O353" s="5">
        <v>-48</v>
      </c>
      <c r="P353" s="5">
        <v>-16</v>
      </c>
      <c r="Q353" s="5">
        <v>-9</v>
      </c>
      <c r="R353" s="5">
        <v>12</v>
      </c>
      <c r="S353" s="5">
        <v>21</v>
      </c>
      <c r="T353" s="5">
        <v>-29</v>
      </c>
      <c r="U353" s="5">
        <v>-16</v>
      </c>
      <c r="V353" s="5">
        <v>31</v>
      </c>
      <c r="W353" s="5">
        <v>8</v>
      </c>
      <c r="X353" s="5">
        <v>-6</v>
      </c>
      <c r="Y353" s="5">
        <v>-35</v>
      </c>
      <c r="Z353" s="5">
        <v>21</v>
      </c>
      <c r="AA353" s="5">
        <v>-73</v>
      </c>
      <c r="AB353" s="5">
        <v>15</v>
      </c>
      <c r="AC353" s="5">
        <v>28</v>
      </c>
      <c r="AD353" s="5">
        <v>13</v>
      </c>
      <c r="AE353" s="5">
        <v>-3</v>
      </c>
      <c r="AF353" s="5">
        <v>28</v>
      </c>
      <c r="AG353" s="5">
        <v>-8</v>
      </c>
      <c r="AH353" s="5">
        <v>19</v>
      </c>
      <c r="AI353" s="5">
        <v>-3</v>
      </c>
      <c r="AJ353" s="5">
        <v>-8</v>
      </c>
      <c r="AK353" s="5">
        <v>-28</v>
      </c>
      <c r="AL353" s="6">
        <v>9</v>
      </c>
    </row>
    <row r="354" spans="1:38">
      <c r="A354" s="4">
        <v>-10</v>
      </c>
      <c r="B354" s="5">
        <v>-16</v>
      </c>
      <c r="C354" s="5">
        <v>6</v>
      </c>
      <c r="D354" s="5">
        <v>-11</v>
      </c>
      <c r="E354" s="5">
        <v>-10</v>
      </c>
      <c r="F354" s="5">
        <v>-3</v>
      </c>
      <c r="G354" s="5">
        <v>-4</v>
      </c>
      <c r="H354" s="5">
        <v>-2</v>
      </c>
      <c r="I354" s="5">
        <v>-20</v>
      </c>
      <c r="J354" s="5">
        <v>-5</v>
      </c>
      <c r="K354" s="5">
        <v>4</v>
      </c>
      <c r="L354" s="5">
        <v>-1</v>
      </c>
      <c r="M354" s="5">
        <v>11</v>
      </c>
      <c r="N354" s="5">
        <v>-2</v>
      </c>
      <c r="O354" s="5">
        <v>5</v>
      </c>
      <c r="P354" s="5">
        <v>-14</v>
      </c>
      <c r="Q354" s="5">
        <v>2</v>
      </c>
      <c r="R354" s="5">
        <v>22</v>
      </c>
      <c r="S354" s="5">
        <v>0</v>
      </c>
      <c r="T354" s="5">
        <v>-5</v>
      </c>
      <c r="U354" s="5">
        <v>17</v>
      </c>
      <c r="V354" s="5">
        <v>0</v>
      </c>
      <c r="W354" s="5">
        <v>-5</v>
      </c>
      <c r="X354" s="5">
        <v>-10</v>
      </c>
      <c r="Y354" s="5">
        <v>-11</v>
      </c>
      <c r="Z354" s="5">
        <v>1</v>
      </c>
      <c r="AA354" s="5">
        <v>9</v>
      </c>
      <c r="AB354" s="5">
        <v>-7</v>
      </c>
      <c r="AC354" s="5">
        <v>-1</v>
      </c>
      <c r="AD354" s="5">
        <v>9</v>
      </c>
      <c r="AE354" s="5">
        <v>-28</v>
      </c>
      <c r="AF354" s="5">
        <v>-17</v>
      </c>
      <c r="AG354" s="5">
        <v>-5</v>
      </c>
      <c r="AH354" s="5">
        <v>11</v>
      </c>
      <c r="AI354" s="5">
        <v>-10</v>
      </c>
      <c r="AJ354" s="5">
        <v>-26</v>
      </c>
      <c r="AK354" s="5">
        <v>17</v>
      </c>
      <c r="AL354" s="6">
        <v>-27</v>
      </c>
    </row>
    <row r="355" spans="1:38">
      <c r="A355" s="4">
        <v>0</v>
      </c>
      <c r="B355" s="5">
        <v>3</v>
      </c>
      <c r="C355" s="5">
        <v>4</v>
      </c>
      <c r="D355" s="5">
        <v>3</v>
      </c>
      <c r="E355" s="5">
        <v>-2</v>
      </c>
      <c r="F355" s="5">
        <v>0</v>
      </c>
      <c r="G355" s="5">
        <v>-2</v>
      </c>
      <c r="H355" s="5">
        <v>1</v>
      </c>
      <c r="I355" s="5">
        <v>1</v>
      </c>
      <c r="J355" s="5">
        <v>-5</v>
      </c>
      <c r="K355" s="5">
        <v>-1</v>
      </c>
      <c r="L355" s="5">
        <v>4</v>
      </c>
      <c r="M355" s="5">
        <v>0</v>
      </c>
      <c r="N355" s="5">
        <v>0</v>
      </c>
      <c r="O355" s="5">
        <v>-4</v>
      </c>
      <c r="P355" s="5">
        <v>8</v>
      </c>
      <c r="Q355" s="5">
        <v>-5</v>
      </c>
      <c r="R355" s="5">
        <v>1</v>
      </c>
      <c r="S355" s="5">
        <v>-14</v>
      </c>
      <c r="T355" s="5">
        <v>-5</v>
      </c>
      <c r="U355" s="5">
        <v>10</v>
      </c>
      <c r="V355" s="5">
        <v>0</v>
      </c>
      <c r="W355" s="5">
        <v>-9</v>
      </c>
      <c r="X355" s="5">
        <v>1</v>
      </c>
      <c r="Y355" s="5">
        <v>-6</v>
      </c>
      <c r="Z355" s="5">
        <v>-3</v>
      </c>
      <c r="AA355" s="5">
        <v>9</v>
      </c>
      <c r="AB355" s="5">
        <v>-4</v>
      </c>
      <c r="AC355" s="5">
        <v>3</v>
      </c>
      <c r="AD355" s="5">
        <v>-1</v>
      </c>
      <c r="AE355" s="5">
        <v>0</v>
      </c>
      <c r="AF355" s="5">
        <v>-6</v>
      </c>
      <c r="AG355" s="5">
        <v>-3</v>
      </c>
      <c r="AH355" s="5">
        <v>1</v>
      </c>
      <c r="AI355" s="5">
        <v>3</v>
      </c>
      <c r="AJ355" s="5">
        <v>-13</v>
      </c>
      <c r="AK355" s="5">
        <v>4</v>
      </c>
      <c r="AL355" s="6">
        <v>12</v>
      </c>
    </row>
    <row r="356" spans="1:38">
      <c r="A356" s="4">
        <v>-5</v>
      </c>
      <c r="B356" s="5">
        <v>-1</v>
      </c>
      <c r="C356" s="5">
        <v>-5</v>
      </c>
      <c r="D356" s="5">
        <v>3</v>
      </c>
      <c r="E356" s="5">
        <v>-8</v>
      </c>
      <c r="F356" s="5">
        <v>18</v>
      </c>
      <c r="G356" s="5">
        <v>-5</v>
      </c>
      <c r="H356" s="5">
        <v>11</v>
      </c>
      <c r="I356" s="5">
        <v>15</v>
      </c>
      <c r="J356" s="5">
        <v>4</v>
      </c>
      <c r="K356" s="5">
        <v>22</v>
      </c>
      <c r="L356" s="5">
        <v>3</v>
      </c>
      <c r="M356" s="5">
        <v>22</v>
      </c>
      <c r="N356" s="5">
        <v>-5</v>
      </c>
      <c r="O356" s="5">
        <v>-7</v>
      </c>
      <c r="P356" s="5">
        <v>-5</v>
      </c>
      <c r="Q356" s="5">
        <v>-9</v>
      </c>
      <c r="R356" s="5">
        <v>-35</v>
      </c>
      <c r="S356" s="5">
        <v>-18</v>
      </c>
      <c r="T356" s="5">
        <v>-1</v>
      </c>
      <c r="U356" s="5">
        <v>28</v>
      </c>
      <c r="V356" s="5">
        <v>-23</v>
      </c>
      <c r="W356" s="5">
        <v>-11</v>
      </c>
      <c r="X356" s="5">
        <v>-1</v>
      </c>
      <c r="Y356" s="5">
        <v>-14</v>
      </c>
      <c r="Z356" s="5">
        <v>7</v>
      </c>
      <c r="AA356" s="5">
        <v>-15</v>
      </c>
      <c r="AB356" s="5">
        <v>2</v>
      </c>
      <c r="AC356" s="5">
        <v>13</v>
      </c>
      <c r="AD356" s="5">
        <v>-14</v>
      </c>
      <c r="AE356" s="5">
        <v>9</v>
      </c>
      <c r="AF356" s="5">
        <v>-8</v>
      </c>
      <c r="AG356" s="5">
        <v>-12</v>
      </c>
      <c r="AH356" s="5">
        <v>-13</v>
      </c>
      <c r="AI356" s="5">
        <v>-8</v>
      </c>
      <c r="AJ356" s="5">
        <v>-18</v>
      </c>
      <c r="AK356" s="5">
        <v>-8</v>
      </c>
      <c r="AL356" s="6">
        <v>-11</v>
      </c>
    </row>
    <row r="357" spans="1:38">
      <c r="A357" s="4">
        <v>-8</v>
      </c>
      <c r="B357" s="5">
        <v>2</v>
      </c>
      <c r="C357" s="5">
        <v>9</v>
      </c>
      <c r="D357" s="5">
        <v>-3</v>
      </c>
      <c r="E357" s="5">
        <v>-4</v>
      </c>
      <c r="F357" s="5">
        <v>-4</v>
      </c>
      <c r="G357" s="5">
        <v>-10</v>
      </c>
      <c r="H357" s="5">
        <v>4</v>
      </c>
      <c r="I357" s="5">
        <v>4</v>
      </c>
      <c r="J357" s="5">
        <v>-23</v>
      </c>
      <c r="K357" s="5">
        <v>4</v>
      </c>
      <c r="L357" s="5">
        <v>-6</v>
      </c>
      <c r="M357" s="5">
        <v>-5</v>
      </c>
      <c r="N357" s="5">
        <v>-2</v>
      </c>
      <c r="O357" s="5">
        <v>-4</v>
      </c>
      <c r="P357" s="5">
        <v>2</v>
      </c>
      <c r="Q357" s="5">
        <v>0</v>
      </c>
      <c r="R357" s="5">
        <v>2</v>
      </c>
      <c r="S357" s="5">
        <v>-7</v>
      </c>
      <c r="T357" s="5">
        <v>-5</v>
      </c>
      <c r="U357" s="5">
        <v>0</v>
      </c>
      <c r="V357" s="5">
        <v>-7</v>
      </c>
      <c r="W357" s="5">
        <v>2</v>
      </c>
      <c r="X357" s="5">
        <v>1</v>
      </c>
      <c r="Y357" s="5">
        <v>-18</v>
      </c>
      <c r="Z357" s="5">
        <v>9</v>
      </c>
      <c r="AA357" s="5">
        <v>1</v>
      </c>
      <c r="AB357" s="5">
        <v>-3</v>
      </c>
      <c r="AC357" s="5">
        <v>-3</v>
      </c>
      <c r="AD357" s="5">
        <v>-5</v>
      </c>
      <c r="AE357" s="5">
        <v>-2</v>
      </c>
      <c r="AF357" s="5">
        <v>4</v>
      </c>
      <c r="AG357" s="5">
        <v>-5</v>
      </c>
      <c r="AH357" s="5">
        <v>3</v>
      </c>
      <c r="AI357" s="5">
        <v>0</v>
      </c>
      <c r="AJ357" s="5">
        <v>-4</v>
      </c>
      <c r="AK357" s="5">
        <v>-5</v>
      </c>
      <c r="AL357" s="6">
        <v>-7</v>
      </c>
    </row>
    <row r="358" spans="1:38">
      <c r="A358" s="4">
        <v>-26</v>
      </c>
      <c r="B358" s="5">
        <v>-8</v>
      </c>
      <c r="C358" s="5">
        <v>36</v>
      </c>
      <c r="D358" s="5">
        <v>-5</v>
      </c>
      <c r="E358" s="5">
        <v>-14</v>
      </c>
      <c r="F358" s="5">
        <v>-5</v>
      </c>
      <c r="G358" s="5">
        <v>1</v>
      </c>
      <c r="H358" s="5">
        <v>14</v>
      </c>
      <c r="I358" s="5">
        <v>2</v>
      </c>
      <c r="J358" s="5">
        <v>-32</v>
      </c>
      <c r="K358" s="5">
        <v>23</v>
      </c>
      <c r="L358" s="5">
        <v>-9</v>
      </c>
      <c r="M358" s="5">
        <v>-6</v>
      </c>
      <c r="N358" s="5">
        <v>18</v>
      </c>
      <c r="O358" s="5">
        <v>-17</v>
      </c>
      <c r="P358" s="5">
        <v>10</v>
      </c>
      <c r="Q358" s="5">
        <v>-5</v>
      </c>
      <c r="R358" s="5">
        <v>10</v>
      </c>
      <c r="S358" s="5">
        <v>-17</v>
      </c>
      <c r="T358" s="5">
        <v>-26</v>
      </c>
      <c r="U358" s="5">
        <v>2</v>
      </c>
      <c r="V358" s="5">
        <v>-2</v>
      </c>
      <c r="W358" s="5">
        <v>-12</v>
      </c>
      <c r="X358" s="5">
        <v>-9</v>
      </c>
      <c r="Y358" s="5">
        <v>2</v>
      </c>
      <c r="Z358" s="5">
        <v>33</v>
      </c>
      <c r="AA358" s="5">
        <v>1</v>
      </c>
      <c r="AB358" s="5">
        <v>0</v>
      </c>
      <c r="AC358" s="5">
        <v>-26</v>
      </c>
      <c r="AD358" s="5">
        <v>-21</v>
      </c>
      <c r="AE358" s="5">
        <v>1</v>
      </c>
      <c r="AF358" s="5">
        <v>11</v>
      </c>
      <c r="AG358" s="5">
        <v>-11</v>
      </c>
      <c r="AH358" s="5">
        <v>1</v>
      </c>
      <c r="AI358" s="5">
        <v>5</v>
      </c>
      <c r="AJ358" s="5">
        <v>-9</v>
      </c>
      <c r="AK358" s="5">
        <v>-9</v>
      </c>
      <c r="AL358" s="6">
        <v>-23</v>
      </c>
    </row>
    <row r="359" spans="1:38">
      <c r="A359" s="4">
        <v>-18</v>
      </c>
      <c r="B359" s="5">
        <v>-10</v>
      </c>
      <c r="C359" s="5">
        <v>18</v>
      </c>
      <c r="D359" s="5">
        <v>-4</v>
      </c>
      <c r="E359" s="5">
        <v>-11</v>
      </c>
      <c r="F359" s="5">
        <v>-4</v>
      </c>
      <c r="G359" s="5">
        <v>2</v>
      </c>
      <c r="H359" s="5">
        <v>8</v>
      </c>
      <c r="I359" s="5">
        <v>-3</v>
      </c>
      <c r="J359" s="5">
        <v>-23</v>
      </c>
      <c r="K359" s="5">
        <v>22</v>
      </c>
      <c r="L359" s="5">
        <v>1</v>
      </c>
      <c r="M359" s="5">
        <v>-5</v>
      </c>
      <c r="N359" s="5">
        <v>11</v>
      </c>
      <c r="O359" s="5">
        <v>-14</v>
      </c>
      <c r="P359" s="5">
        <v>3</v>
      </c>
      <c r="Q359" s="5">
        <v>-11</v>
      </c>
      <c r="R359" s="5">
        <v>6</v>
      </c>
      <c r="S359" s="5">
        <v>-14</v>
      </c>
      <c r="T359" s="5">
        <v>-21</v>
      </c>
      <c r="U359" s="5">
        <v>-4</v>
      </c>
      <c r="V359" s="5">
        <v>9</v>
      </c>
      <c r="W359" s="5">
        <v>-8</v>
      </c>
      <c r="X359" s="5">
        <v>-10</v>
      </c>
      <c r="Y359" s="5">
        <v>-10</v>
      </c>
      <c r="Z359" s="5">
        <v>23</v>
      </c>
      <c r="AA359" s="5">
        <v>-3</v>
      </c>
      <c r="AB359" s="5">
        <v>-1</v>
      </c>
      <c r="AC359" s="5">
        <v>-11</v>
      </c>
      <c r="AD359" s="5">
        <v>-18</v>
      </c>
      <c r="AE359" s="5">
        <v>3</v>
      </c>
      <c r="AF359" s="5">
        <v>-8</v>
      </c>
      <c r="AG359" s="5">
        <v>-4</v>
      </c>
      <c r="AH359" s="5">
        <v>4</v>
      </c>
      <c r="AI359" s="5">
        <v>-6</v>
      </c>
      <c r="AJ359" s="5">
        <v>7</v>
      </c>
      <c r="AK359" s="5">
        <v>-14</v>
      </c>
      <c r="AL359" s="6">
        <v>-9</v>
      </c>
    </row>
    <row r="360" spans="1:38">
      <c r="A360" s="4">
        <v>32</v>
      </c>
      <c r="B360" s="5">
        <v>6</v>
      </c>
      <c r="C360" s="5">
        <v>26</v>
      </c>
      <c r="D360" s="5">
        <v>14</v>
      </c>
      <c r="E360" s="5">
        <v>6</v>
      </c>
      <c r="F360" s="5">
        <v>10</v>
      </c>
      <c r="G360" s="5">
        <v>-11</v>
      </c>
      <c r="H360" s="5">
        <v>-1</v>
      </c>
      <c r="I360" s="5">
        <v>34</v>
      </c>
      <c r="J360" s="5">
        <v>-17</v>
      </c>
      <c r="K360" s="5">
        <v>6</v>
      </c>
      <c r="L360" s="5">
        <v>-21</v>
      </c>
      <c r="M360" s="5">
        <v>-5</v>
      </c>
      <c r="N360" s="5">
        <v>25</v>
      </c>
      <c r="O360" s="5">
        <v>16</v>
      </c>
      <c r="P360" s="5">
        <v>23</v>
      </c>
      <c r="Q360" s="5">
        <v>15</v>
      </c>
      <c r="R360" s="5">
        <v>12</v>
      </c>
      <c r="S360" s="5">
        <v>-15</v>
      </c>
      <c r="T360" s="5">
        <v>7</v>
      </c>
      <c r="U360" s="5">
        <v>4</v>
      </c>
      <c r="V360" s="5">
        <v>11</v>
      </c>
      <c r="W360" s="5">
        <v>13</v>
      </c>
      <c r="X360" s="5">
        <v>6</v>
      </c>
      <c r="Y360" s="5">
        <v>-26</v>
      </c>
      <c r="Z360" s="5">
        <v>12</v>
      </c>
      <c r="AA360" s="5">
        <v>-7</v>
      </c>
      <c r="AB360" s="5">
        <v>-9</v>
      </c>
      <c r="AC360" s="5">
        <v>-8</v>
      </c>
      <c r="AD360" s="5">
        <v>14</v>
      </c>
      <c r="AE360" s="5">
        <v>11</v>
      </c>
      <c r="AF360" s="5">
        <v>-3</v>
      </c>
      <c r="AG360" s="5">
        <v>12</v>
      </c>
      <c r="AH360" s="5">
        <v>12</v>
      </c>
      <c r="AI360" s="5">
        <v>-12</v>
      </c>
      <c r="AJ360" s="5">
        <v>-10</v>
      </c>
      <c r="AK360" s="5">
        <v>-7</v>
      </c>
      <c r="AL360" s="6">
        <v>-1</v>
      </c>
    </row>
    <row r="361" spans="1:38">
      <c r="A361" s="4">
        <v>3</v>
      </c>
      <c r="B361" s="5">
        <v>19</v>
      </c>
      <c r="C361" s="5">
        <v>-1</v>
      </c>
      <c r="D361" s="5">
        <v>-2</v>
      </c>
      <c r="E361" s="5">
        <v>-10</v>
      </c>
      <c r="F361" s="5">
        <v>-8</v>
      </c>
      <c r="G361" s="5">
        <v>8</v>
      </c>
      <c r="H361" s="5">
        <v>0</v>
      </c>
      <c r="I361" s="5">
        <v>4</v>
      </c>
      <c r="J361" s="5">
        <v>-2</v>
      </c>
      <c r="K361" s="5">
        <v>2</v>
      </c>
      <c r="L361" s="5">
        <v>1</v>
      </c>
      <c r="M361" s="5">
        <v>8</v>
      </c>
      <c r="N361" s="5">
        <v>-2</v>
      </c>
      <c r="O361" s="5">
        <v>-4</v>
      </c>
      <c r="P361" s="5">
        <v>-5</v>
      </c>
      <c r="Q361" s="5">
        <v>-8</v>
      </c>
      <c r="R361" s="5">
        <v>6</v>
      </c>
      <c r="S361" s="5">
        <v>-21</v>
      </c>
      <c r="T361" s="5">
        <v>1</v>
      </c>
      <c r="U361" s="5">
        <v>-6</v>
      </c>
      <c r="V361" s="5">
        <v>-7</v>
      </c>
      <c r="W361" s="5">
        <v>11</v>
      </c>
      <c r="X361" s="5">
        <v>-6</v>
      </c>
      <c r="Y361" s="5">
        <v>-14</v>
      </c>
      <c r="Z361" s="5">
        <v>-12</v>
      </c>
      <c r="AA361" s="5">
        <v>10</v>
      </c>
      <c r="AB361" s="5">
        <v>-10</v>
      </c>
      <c r="AC361" s="5">
        <v>-1</v>
      </c>
      <c r="AD361" s="5">
        <v>-11</v>
      </c>
      <c r="AE361" s="5">
        <v>4</v>
      </c>
      <c r="AF361" s="5">
        <v>10</v>
      </c>
      <c r="AG361" s="5">
        <v>-16</v>
      </c>
      <c r="AH361" s="5">
        <v>5</v>
      </c>
      <c r="AI361" s="5">
        <v>-6</v>
      </c>
      <c r="AJ361" s="5">
        <v>-14</v>
      </c>
      <c r="AK361" s="5">
        <v>7</v>
      </c>
      <c r="AL361" s="6">
        <v>-13</v>
      </c>
    </row>
    <row r="362" spans="1:38">
      <c r="A362" s="4">
        <v>-8</v>
      </c>
      <c r="B362" s="5">
        <v>21</v>
      </c>
      <c r="C362" s="5">
        <v>1</v>
      </c>
      <c r="D362" s="5">
        <v>-3</v>
      </c>
      <c r="E362" s="5">
        <v>5</v>
      </c>
      <c r="F362" s="5">
        <v>-6</v>
      </c>
      <c r="G362" s="5">
        <v>-15</v>
      </c>
      <c r="H362" s="5">
        <v>6</v>
      </c>
      <c r="I362" s="5">
        <v>-5</v>
      </c>
      <c r="J362" s="5">
        <v>-9</v>
      </c>
      <c r="K362" s="5">
        <v>-22</v>
      </c>
      <c r="L362" s="5">
        <v>-2</v>
      </c>
      <c r="M362" s="5">
        <v>0</v>
      </c>
      <c r="N362" s="5">
        <v>-9</v>
      </c>
      <c r="O362" s="5">
        <v>3</v>
      </c>
      <c r="P362" s="5">
        <v>7</v>
      </c>
      <c r="Q362" s="5">
        <v>-15</v>
      </c>
      <c r="R362" s="5">
        <v>-2</v>
      </c>
      <c r="S362" s="5">
        <v>-8</v>
      </c>
      <c r="T362" s="5">
        <v>10</v>
      </c>
      <c r="U362" s="5">
        <v>-31</v>
      </c>
      <c r="V362" s="5">
        <v>-28</v>
      </c>
      <c r="W362" s="5">
        <v>13</v>
      </c>
      <c r="X362" s="5">
        <v>10</v>
      </c>
      <c r="Y362" s="5">
        <v>-9</v>
      </c>
      <c r="Z362" s="5">
        <v>-7</v>
      </c>
      <c r="AA362" s="5">
        <v>-7</v>
      </c>
      <c r="AB362" s="5">
        <v>5</v>
      </c>
      <c r="AC362" s="5">
        <v>-3</v>
      </c>
      <c r="AD362" s="5">
        <v>-9</v>
      </c>
      <c r="AE362" s="5">
        <v>-4</v>
      </c>
      <c r="AF362" s="5">
        <v>-19</v>
      </c>
      <c r="AG362" s="5">
        <v>1</v>
      </c>
      <c r="AH362" s="5">
        <v>-9</v>
      </c>
      <c r="AI362" s="5">
        <v>-26</v>
      </c>
      <c r="AJ362" s="5">
        <v>2</v>
      </c>
      <c r="AK362" s="5">
        <v>12</v>
      </c>
      <c r="AL362" s="6">
        <v>-24</v>
      </c>
    </row>
    <row r="363" spans="1:38">
      <c r="A363" s="4">
        <v>-13</v>
      </c>
      <c r="B363" s="5">
        <v>5</v>
      </c>
      <c r="C363" s="5">
        <v>3</v>
      </c>
      <c r="D363" s="5">
        <v>-9</v>
      </c>
      <c r="E363" s="5">
        <v>-3</v>
      </c>
      <c r="F363" s="5">
        <v>-6</v>
      </c>
      <c r="G363" s="5">
        <v>-1</v>
      </c>
      <c r="H363" s="5">
        <v>-4</v>
      </c>
      <c r="I363" s="5">
        <v>13</v>
      </c>
      <c r="J363" s="5">
        <v>5</v>
      </c>
      <c r="K363" s="5">
        <v>11</v>
      </c>
      <c r="L363" s="5">
        <v>-4</v>
      </c>
      <c r="M363" s="5">
        <v>5</v>
      </c>
      <c r="N363" s="5">
        <v>-8</v>
      </c>
      <c r="O363" s="5">
        <v>-13</v>
      </c>
      <c r="P363" s="5">
        <v>5</v>
      </c>
      <c r="Q363" s="5">
        <v>-5</v>
      </c>
      <c r="R363" s="5">
        <v>34</v>
      </c>
      <c r="S363" s="5">
        <v>-19</v>
      </c>
      <c r="T363" s="5">
        <v>-29</v>
      </c>
      <c r="U363" s="5">
        <v>-26</v>
      </c>
      <c r="V363" s="5">
        <v>-20</v>
      </c>
      <c r="W363" s="5">
        <v>-6</v>
      </c>
      <c r="X363" s="5">
        <v>-15</v>
      </c>
      <c r="Y363" s="5">
        <v>-13</v>
      </c>
      <c r="Z363" s="5">
        <v>-41</v>
      </c>
      <c r="AA363" s="5">
        <v>3</v>
      </c>
      <c r="AB363" s="5">
        <v>-13</v>
      </c>
      <c r="AC363" s="5">
        <v>25</v>
      </c>
      <c r="AD363" s="5">
        <v>-6</v>
      </c>
      <c r="AE363" s="5">
        <v>16</v>
      </c>
      <c r="AF363" s="5">
        <v>15</v>
      </c>
      <c r="AG363" s="5">
        <v>-33</v>
      </c>
      <c r="AH363" s="5">
        <v>-22</v>
      </c>
      <c r="AI363" s="5">
        <v>6</v>
      </c>
      <c r="AJ363" s="5">
        <v>19</v>
      </c>
      <c r="AK363" s="5">
        <v>3</v>
      </c>
      <c r="AL363" s="6">
        <v>-9</v>
      </c>
    </row>
    <row r="364" spans="1:38">
      <c r="A364" s="4">
        <v>26</v>
      </c>
      <c r="B364" s="5">
        <v>19</v>
      </c>
      <c r="C364" s="5">
        <v>-18</v>
      </c>
      <c r="D364" s="5">
        <v>3</v>
      </c>
      <c r="E364" s="5">
        <v>-45</v>
      </c>
      <c r="F364" s="5">
        <v>-24</v>
      </c>
      <c r="G364" s="5">
        <v>-23</v>
      </c>
      <c r="H364" s="5">
        <v>13</v>
      </c>
      <c r="I364" s="5">
        <v>8</v>
      </c>
      <c r="J364" s="5">
        <v>12</v>
      </c>
      <c r="K364" s="5">
        <v>7</v>
      </c>
      <c r="L364" s="5">
        <v>2</v>
      </c>
      <c r="M364" s="5">
        <v>8</v>
      </c>
      <c r="N364" s="5">
        <v>29</v>
      </c>
      <c r="O364" s="5">
        <v>15</v>
      </c>
      <c r="P364" s="5">
        <v>-3</v>
      </c>
      <c r="Q364" s="5">
        <v>12</v>
      </c>
      <c r="R364" s="5">
        <v>3</v>
      </c>
      <c r="S364" s="5">
        <v>10</v>
      </c>
      <c r="T364" s="5">
        <v>-13</v>
      </c>
      <c r="U364" s="5">
        <v>-3</v>
      </c>
      <c r="V364" s="5">
        <v>19</v>
      </c>
      <c r="W364" s="5">
        <v>0</v>
      </c>
      <c r="X364" s="5">
        <v>-6</v>
      </c>
      <c r="Y364" s="5">
        <v>6</v>
      </c>
      <c r="Z364" s="5">
        <v>-2</v>
      </c>
      <c r="AA364" s="5">
        <v>5</v>
      </c>
      <c r="AB364" s="5">
        <v>-25</v>
      </c>
      <c r="AC364" s="5">
        <v>-8</v>
      </c>
      <c r="AD364" s="5">
        <v>-3</v>
      </c>
      <c r="AE364" s="5">
        <v>-11</v>
      </c>
      <c r="AF364" s="5">
        <v>-13</v>
      </c>
      <c r="AG364" s="5">
        <v>-23</v>
      </c>
      <c r="AH364" s="5">
        <v>23</v>
      </c>
      <c r="AI364" s="5">
        <v>16</v>
      </c>
      <c r="AJ364" s="5">
        <v>1</v>
      </c>
      <c r="AK364" s="5">
        <v>-18</v>
      </c>
      <c r="AL364" s="6">
        <v>-15</v>
      </c>
    </row>
    <row r="365" spans="1:38">
      <c r="A365" s="4">
        <v>-5</v>
      </c>
      <c r="B365" s="5">
        <v>8</v>
      </c>
      <c r="C365" s="5">
        <v>-37</v>
      </c>
      <c r="D365" s="5">
        <v>-35</v>
      </c>
      <c r="E365" s="5">
        <v>6</v>
      </c>
      <c r="F365" s="5">
        <v>16</v>
      </c>
      <c r="G365" s="5">
        <v>6</v>
      </c>
      <c r="H365" s="5">
        <v>-35</v>
      </c>
      <c r="I365" s="5">
        <v>-14</v>
      </c>
      <c r="J365" s="5">
        <v>2</v>
      </c>
      <c r="K365" s="5">
        <v>-24</v>
      </c>
      <c r="L365" s="5">
        <v>-39</v>
      </c>
      <c r="M365" s="5">
        <v>25</v>
      </c>
      <c r="N365" s="5">
        <v>0</v>
      </c>
      <c r="O365" s="5">
        <v>-6</v>
      </c>
      <c r="P365" s="5">
        <v>36</v>
      </c>
      <c r="Q365" s="5">
        <v>39</v>
      </c>
      <c r="R365" s="5">
        <v>8</v>
      </c>
      <c r="S365" s="5">
        <v>-34</v>
      </c>
      <c r="T365" s="5">
        <v>16</v>
      </c>
      <c r="U365" s="5">
        <v>8</v>
      </c>
      <c r="V365" s="5">
        <v>14</v>
      </c>
      <c r="W365" s="5">
        <v>-10</v>
      </c>
      <c r="X365" s="5">
        <v>-17</v>
      </c>
      <c r="Y365" s="5">
        <v>7</v>
      </c>
      <c r="Z365" s="5">
        <v>24</v>
      </c>
      <c r="AA365" s="5">
        <v>20</v>
      </c>
      <c r="AB365" s="5">
        <v>-5</v>
      </c>
      <c r="AC365" s="5">
        <v>6</v>
      </c>
      <c r="AD365" s="5">
        <v>-27</v>
      </c>
      <c r="AE365" s="5">
        <v>7</v>
      </c>
      <c r="AF365" s="5">
        <v>0</v>
      </c>
      <c r="AG365" s="5">
        <v>-10</v>
      </c>
      <c r="AH365" s="5">
        <v>8</v>
      </c>
      <c r="AI365" s="5">
        <v>4</v>
      </c>
      <c r="AJ365" s="5">
        <v>-3</v>
      </c>
      <c r="AK365" s="5">
        <v>-11</v>
      </c>
      <c r="AL365" s="6">
        <v>5</v>
      </c>
    </row>
    <row r="366" spans="1:38">
      <c r="A366" s="4">
        <v>18</v>
      </c>
      <c r="B366" s="5">
        <v>2</v>
      </c>
      <c r="C366" s="5">
        <v>-29</v>
      </c>
      <c r="D366" s="5">
        <v>-21</v>
      </c>
      <c r="E366" s="5">
        <v>-55</v>
      </c>
      <c r="F366" s="5">
        <v>-10</v>
      </c>
      <c r="G366" s="5">
        <v>-24</v>
      </c>
      <c r="H366" s="5">
        <v>28</v>
      </c>
      <c r="I366" s="5">
        <v>-6</v>
      </c>
      <c r="J366" s="5">
        <v>18</v>
      </c>
      <c r="K366" s="5">
        <v>28</v>
      </c>
      <c r="L366" s="5">
        <v>31</v>
      </c>
      <c r="M366" s="5">
        <v>-5</v>
      </c>
      <c r="N366" s="5">
        <v>-3</v>
      </c>
      <c r="O366" s="5">
        <v>-17</v>
      </c>
      <c r="P366" s="5">
        <v>-1</v>
      </c>
      <c r="Q366" s="5">
        <v>3</v>
      </c>
      <c r="R366" s="5">
        <v>-9</v>
      </c>
      <c r="S366" s="5">
        <v>21</v>
      </c>
      <c r="T366" s="5">
        <v>13</v>
      </c>
      <c r="U366" s="5">
        <v>-45</v>
      </c>
      <c r="V366" s="5">
        <v>-13</v>
      </c>
      <c r="W366" s="5">
        <v>-16</v>
      </c>
      <c r="X366" s="5">
        <v>-25</v>
      </c>
      <c r="Y366" s="5">
        <v>-19</v>
      </c>
      <c r="Z366" s="5">
        <v>-19</v>
      </c>
      <c r="AA366" s="5">
        <v>9</v>
      </c>
      <c r="AB366" s="5">
        <v>-10</v>
      </c>
      <c r="AC366" s="5">
        <v>-47</v>
      </c>
      <c r="AD366" s="5">
        <v>-10</v>
      </c>
      <c r="AE366" s="5">
        <v>5</v>
      </c>
      <c r="AF366" s="5">
        <v>-19</v>
      </c>
      <c r="AG366" s="5">
        <v>2</v>
      </c>
      <c r="AH366" s="5">
        <v>2</v>
      </c>
      <c r="AI366" s="5">
        <v>-1</v>
      </c>
      <c r="AJ366" s="5">
        <v>8</v>
      </c>
      <c r="AK366" s="5">
        <v>22</v>
      </c>
      <c r="AL366" s="6">
        <v>-3</v>
      </c>
    </row>
    <row r="367" spans="1:38">
      <c r="A367" s="4">
        <v>1</v>
      </c>
      <c r="B367" s="5">
        <v>48</v>
      </c>
      <c r="C367" s="5">
        <v>9</v>
      </c>
      <c r="D367" s="5">
        <v>1</v>
      </c>
      <c r="E367" s="5">
        <v>11</v>
      </c>
      <c r="F367" s="5">
        <v>-31</v>
      </c>
      <c r="G367" s="5">
        <v>50</v>
      </c>
      <c r="H367" s="5">
        <v>-53</v>
      </c>
      <c r="I367" s="5">
        <v>29</v>
      </c>
      <c r="J367" s="5">
        <v>9</v>
      </c>
      <c r="K367" s="5">
        <v>48</v>
      </c>
      <c r="L367" s="5">
        <v>46</v>
      </c>
      <c r="M367" s="5">
        <v>-27</v>
      </c>
      <c r="N367" s="5">
        <v>5</v>
      </c>
      <c r="O367" s="5">
        <v>5</v>
      </c>
      <c r="P367" s="5">
        <v>-56</v>
      </c>
      <c r="Q367" s="5">
        <v>13</v>
      </c>
      <c r="R367" s="5">
        <v>20</v>
      </c>
      <c r="S367" s="5">
        <v>-27</v>
      </c>
      <c r="T367" s="5">
        <v>27</v>
      </c>
      <c r="U367" s="5">
        <v>-30</v>
      </c>
      <c r="V367" s="5">
        <v>20</v>
      </c>
      <c r="W367" s="5">
        <v>27</v>
      </c>
      <c r="X367" s="5">
        <v>-44</v>
      </c>
      <c r="Y367" s="5">
        <v>-5</v>
      </c>
      <c r="Z367" s="5">
        <v>-5</v>
      </c>
      <c r="AA367" s="5">
        <v>-10</v>
      </c>
      <c r="AB367" s="5">
        <v>-32</v>
      </c>
      <c r="AC367" s="5">
        <v>-37</v>
      </c>
      <c r="AD367" s="5">
        <v>-62</v>
      </c>
      <c r="AE367" s="5">
        <v>11</v>
      </c>
      <c r="AF367" s="5">
        <v>1</v>
      </c>
      <c r="AG367" s="5">
        <v>-23</v>
      </c>
      <c r="AH367" s="5">
        <v>13</v>
      </c>
      <c r="AI367" s="5">
        <v>7</v>
      </c>
      <c r="AJ367" s="5">
        <v>-47</v>
      </c>
      <c r="AK367" s="5">
        <v>-5</v>
      </c>
      <c r="AL367" s="6">
        <v>19</v>
      </c>
    </row>
    <row r="368" spans="1:38">
      <c r="A368" s="4">
        <v>5</v>
      </c>
      <c r="B368" s="5">
        <v>9</v>
      </c>
      <c r="C368" s="5">
        <v>-6</v>
      </c>
      <c r="D368" s="5">
        <v>31</v>
      </c>
      <c r="E368" s="5">
        <v>28</v>
      </c>
      <c r="F368" s="5">
        <v>31</v>
      </c>
      <c r="G368" s="5">
        <v>21</v>
      </c>
      <c r="H368" s="5">
        <v>27</v>
      </c>
      <c r="I368" s="5">
        <v>2</v>
      </c>
      <c r="J368" s="5">
        <v>-30</v>
      </c>
      <c r="K368" s="5">
        <v>7</v>
      </c>
      <c r="L368" s="5">
        <v>1</v>
      </c>
      <c r="M368" s="5">
        <v>-7</v>
      </c>
      <c r="N368" s="5">
        <v>13</v>
      </c>
      <c r="O368" s="5">
        <v>-14</v>
      </c>
      <c r="P368" s="5">
        <v>7</v>
      </c>
      <c r="Q368" s="5">
        <v>-10</v>
      </c>
      <c r="R368" s="5">
        <v>2</v>
      </c>
      <c r="S368" s="5">
        <v>31</v>
      </c>
      <c r="T368" s="5">
        <v>7</v>
      </c>
      <c r="U368" s="5">
        <v>-7</v>
      </c>
      <c r="V368" s="5">
        <v>15</v>
      </c>
      <c r="W368" s="5">
        <v>-40</v>
      </c>
      <c r="X368" s="5">
        <v>-4</v>
      </c>
      <c r="Y368" s="5">
        <v>3</v>
      </c>
      <c r="Z368" s="5">
        <v>51</v>
      </c>
      <c r="AA368" s="5">
        <v>24</v>
      </c>
      <c r="AB368" s="5">
        <v>-10</v>
      </c>
      <c r="AC368" s="5">
        <v>6</v>
      </c>
      <c r="AD368" s="5">
        <v>32</v>
      </c>
      <c r="AE368" s="5">
        <v>-10</v>
      </c>
      <c r="AF368" s="5">
        <v>-17</v>
      </c>
      <c r="AG368" s="5">
        <v>-33</v>
      </c>
      <c r="AH368" s="5">
        <v>26</v>
      </c>
      <c r="AI368" s="5">
        <v>39</v>
      </c>
      <c r="AJ368" s="5">
        <v>-57</v>
      </c>
      <c r="AK368" s="5">
        <v>-2</v>
      </c>
      <c r="AL368" s="6">
        <v>-12</v>
      </c>
    </row>
    <row r="369" spans="1:38">
      <c r="A369" s="4">
        <v>-15</v>
      </c>
      <c r="B369" s="5">
        <v>-2</v>
      </c>
      <c r="C369" s="5">
        <v>0</v>
      </c>
      <c r="D369" s="5">
        <v>8</v>
      </c>
      <c r="E369" s="5">
        <v>-1</v>
      </c>
      <c r="F369" s="5">
        <v>-3</v>
      </c>
      <c r="G369" s="5">
        <v>1</v>
      </c>
      <c r="H369" s="5">
        <v>5</v>
      </c>
      <c r="I369" s="5">
        <v>10</v>
      </c>
      <c r="J369" s="5">
        <v>-7</v>
      </c>
      <c r="K369" s="5">
        <v>-5</v>
      </c>
      <c r="L369" s="5">
        <v>-13</v>
      </c>
      <c r="M369" s="5">
        <v>-8</v>
      </c>
      <c r="N369" s="5">
        <v>-1</v>
      </c>
      <c r="O369" s="5">
        <v>1</v>
      </c>
      <c r="P369" s="5">
        <v>4</v>
      </c>
      <c r="Q369" s="5">
        <v>-4</v>
      </c>
      <c r="R369" s="5">
        <v>-16</v>
      </c>
      <c r="S369" s="5">
        <v>-10</v>
      </c>
      <c r="T369" s="5">
        <v>2</v>
      </c>
      <c r="U369" s="5">
        <v>-22</v>
      </c>
      <c r="V369" s="5">
        <v>-21</v>
      </c>
      <c r="W369" s="5">
        <v>-11</v>
      </c>
      <c r="X369" s="5">
        <v>11</v>
      </c>
      <c r="Y369" s="5">
        <v>4</v>
      </c>
      <c r="Z369" s="5">
        <v>-1</v>
      </c>
      <c r="AA369" s="5">
        <v>6</v>
      </c>
      <c r="AB369" s="5">
        <v>-1</v>
      </c>
      <c r="AC369" s="5">
        <v>-3</v>
      </c>
      <c r="AD369" s="5">
        <v>4</v>
      </c>
      <c r="AE369" s="5">
        <v>3</v>
      </c>
      <c r="AF369" s="5">
        <v>-3</v>
      </c>
      <c r="AG369" s="5">
        <v>-7</v>
      </c>
      <c r="AH369" s="5">
        <v>0</v>
      </c>
      <c r="AI369" s="5">
        <v>-13</v>
      </c>
      <c r="AJ369" s="5">
        <v>-2</v>
      </c>
      <c r="AK369" s="5">
        <v>11</v>
      </c>
      <c r="AL369" s="6">
        <v>-17</v>
      </c>
    </row>
    <row r="370" spans="1:38">
      <c r="A370" s="4">
        <v>-35</v>
      </c>
      <c r="B370" s="5">
        <v>-1</v>
      </c>
      <c r="C370" s="5">
        <v>20</v>
      </c>
      <c r="D370" s="5">
        <v>6</v>
      </c>
      <c r="E370" s="5">
        <v>7</v>
      </c>
      <c r="F370" s="5">
        <v>-19</v>
      </c>
      <c r="G370" s="5">
        <v>6</v>
      </c>
      <c r="H370" s="5">
        <v>2</v>
      </c>
      <c r="I370" s="5">
        <v>10</v>
      </c>
      <c r="J370" s="5">
        <v>-19</v>
      </c>
      <c r="K370" s="5">
        <v>-7</v>
      </c>
      <c r="L370" s="5">
        <v>-12</v>
      </c>
      <c r="M370" s="5">
        <v>7</v>
      </c>
      <c r="N370" s="5">
        <v>15</v>
      </c>
      <c r="O370" s="5">
        <v>-16</v>
      </c>
      <c r="P370" s="5">
        <v>14</v>
      </c>
      <c r="Q370" s="5">
        <v>-9</v>
      </c>
      <c r="R370" s="5">
        <v>-11</v>
      </c>
      <c r="S370" s="5">
        <v>-6</v>
      </c>
      <c r="T370" s="5">
        <v>2</v>
      </c>
      <c r="U370" s="5">
        <v>-44</v>
      </c>
      <c r="V370" s="5">
        <v>4</v>
      </c>
      <c r="W370" s="5">
        <v>4</v>
      </c>
      <c r="X370" s="5">
        <v>33</v>
      </c>
      <c r="Y370" s="5">
        <v>18</v>
      </c>
      <c r="Z370" s="5">
        <v>16</v>
      </c>
      <c r="AA370" s="5">
        <v>-10</v>
      </c>
      <c r="AB370" s="5">
        <v>0</v>
      </c>
      <c r="AC370" s="5">
        <v>-10</v>
      </c>
      <c r="AD370" s="5">
        <v>-3</v>
      </c>
      <c r="AE370" s="5">
        <v>16</v>
      </c>
      <c r="AF370" s="5">
        <v>-33</v>
      </c>
      <c r="AG370" s="5">
        <v>-3</v>
      </c>
      <c r="AH370" s="5">
        <v>15</v>
      </c>
      <c r="AI370" s="5">
        <v>-26</v>
      </c>
      <c r="AJ370" s="5">
        <v>14</v>
      </c>
      <c r="AK370" s="5">
        <v>13</v>
      </c>
      <c r="AL370" s="6">
        <v>-12</v>
      </c>
    </row>
    <row r="371" spans="1:38">
      <c r="A371" s="4">
        <v>-23</v>
      </c>
      <c r="B371" s="5">
        <v>20</v>
      </c>
      <c r="C371" s="5">
        <v>23</v>
      </c>
      <c r="D371" s="5">
        <v>16</v>
      </c>
      <c r="E371" s="5">
        <v>10</v>
      </c>
      <c r="F371" s="5">
        <v>-8</v>
      </c>
      <c r="G371" s="5">
        <v>41</v>
      </c>
      <c r="H371" s="5">
        <v>-5</v>
      </c>
      <c r="I371" s="5">
        <v>6</v>
      </c>
      <c r="J371" s="5">
        <v>-9</v>
      </c>
      <c r="K371" s="5">
        <v>5</v>
      </c>
      <c r="L371" s="5">
        <v>-13</v>
      </c>
      <c r="M371" s="5">
        <v>7</v>
      </c>
      <c r="N371" s="5">
        <v>12</v>
      </c>
      <c r="O371" s="5">
        <v>13</v>
      </c>
      <c r="P371" s="5">
        <v>12</v>
      </c>
      <c r="Q371" s="5">
        <v>0</v>
      </c>
      <c r="R371" s="5">
        <v>-24</v>
      </c>
      <c r="S371" s="5">
        <v>1</v>
      </c>
      <c r="T371" s="5">
        <v>16</v>
      </c>
      <c r="U371" s="5">
        <v>-58</v>
      </c>
      <c r="V371" s="5">
        <v>-21</v>
      </c>
      <c r="W371" s="5">
        <v>27</v>
      </c>
      <c r="X371" s="5">
        <v>39</v>
      </c>
      <c r="Y371" s="5">
        <v>-29</v>
      </c>
      <c r="Z371" s="5">
        <v>-19</v>
      </c>
      <c r="AA371" s="5">
        <v>17</v>
      </c>
      <c r="AB371" s="5">
        <v>-5</v>
      </c>
      <c r="AC371" s="5">
        <v>-33</v>
      </c>
      <c r="AD371" s="5">
        <v>-1</v>
      </c>
      <c r="AE371" s="5">
        <v>1</v>
      </c>
      <c r="AF371" s="5">
        <v>-33</v>
      </c>
      <c r="AG371" s="5">
        <v>2</v>
      </c>
      <c r="AH371" s="5">
        <v>-9</v>
      </c>
      <c r="AI371" s="5">
        <v>-32</v>
      </c>
      <c r="AJ371" s="5">
        <v>-2</v>
      </c>
      <c r="AK371" s="5">
        <v>0</v>
      </c>
      <c r="AL371" s="6">
        <v>-17</v>
      </c>
    </row>
    <row r="372" spans="1:38">
      <c r="A372" s="4">
        <v>-1</v>
      </c>
      <c r="B372" s="5">
        <v>17</v>
      </c>
      <c r="C372" s="5">
        <v>-37</v>
      </c>
      <c r="D372" s="5">
        <v>-33</v>
      </c>
      <c r="E372" s="5">
        <v>9</v>
      </c>
      <c r="F372" s="5">
        <v>22</v>
      </c>
      <c r="G372" s="5">
        <v>4</v>
      </c>
      <c r="H372" s="5">
        <v>-49</v>
      </c>
      <c r="I372" s="5">
        <v>-6</v>
      </c>
      <c r="J372" s="5">
        <v>0</v>
      </c>
      <c r="K372" s="5">
        <v>-22</v>
      </c>
      <c r="L372" s="5">
        <v>-39</v>
      </c>
      <c r="M372" s="5">
        <v>31</v>
      </c>
      <c r="N372" s="5">
        <v>10</v>
      </c>
      <c r="O372" s="5">
        <v>-4</v>
      </c>
      <c r="P372" s="5">
        <v>33</v>
      </c>
      <c r="Q372" s="5">
        <v>29</v>
      </c>
      <c r="R372" s="5">
        <v>-11</v>
      </c>
      <c r="S372" s="5">
        <v>-25</v>
      </c>
      <c r="T372" s="5">
        <v>0</v>
      </c>
      <c r="U372" s="5">
        <v>4</v>
      </c>
      <c r="V372" s="5">
        <v>3</v>
      </c>
      <c r="W372" s="5">
        <v>-20</v>
      </c>
      <c r="X372" s="5">
        <v>-15</v>
      </c>
      <c r="Y372" s="5">
        <v>12</v>
      </c>
      <c r="Z372" s="5">
        <v>25</v>
      </c>
      <c r="AA372" s="5">
        <v>11</v>
      </c>
      <c r="AB372" s="5">
        <v>8</v>
      </c>
      <c r="AC372" s="5">
        <v>3</v>
      </c>
      <c r="AD372" s="5">
        <v>-44</v>
      </c>
      <c r="AE372" s="5">
        <v>-9</v>
      </c>
      <c r="AF372" s="5">
        <v>-6</v>
      </c>
      <c r="AG372" s="5">
        <v>-8</v>
      </c>
      <c r="AH372" s="5">
        <v>4</v>
      </c>
      <c r="AI372" s="5">
        <v>-7</v>
      </c>
      <c r="AJ372" s="5">
        <v>5</v>
      </c>
      <c r="AK372" s="5">
        <v>-19</v>
      </c>
      <c r="AL372" s="6">
        <v>-1</v>
      </c>
    </row>
    <row r="373" spans="1:38">
      <c r="A373" s="4">
        <v>-3</v>
      </c>
      <c r="B373" s="5">
        <v>-4</v>
      </c>
      <c r="C373" s="5">
        <v>10</v>
      </c>
      <c r="D373" s="5">
        <v>3</v>
      </c>
      <c r="E373" s="5">
        <v>-4</v>
      </c>
      <c r="F373" s="5">
        <v>2</v>
      </c>
      <c r="G373" s="5">
        <v>2</v>
      </c>
      <c r="H373" s="5">
        <v>3</v>
      </c>
      <c r="I373" s="5">
        <v>-7</v>
      </c>
      <c r="J373" s="5">
        <v>-6</v>
      </c>
      <c r="K373" s="5">
        <v>-6</v>
      </c>
      <c r="L373" s="5">
        <v>-3</v>
      </c>
      <c r="M373" s="5">
        <v>-4</v>
      </c>
      <c r="N373" s="5">
        <v>5</v>
      </c>
      <c r="O373" s="5">
        <v>13</v>
      </c>
      <c r="P373" s="5">
        <v>28</v>
      </c>
      <c r="Q373" s="5">
        <v>19</v>
      </c>
      <c r="R373" s="5">
        <v>0</v>
      </c>
      <c r="S373" s="5">
        <v>7</v>
      </c>
      <c r="T373" s="5">
        <v>-11</v>
      </c>
      <c r="U373" s="5">
        <v>10</v>
      </c>
      <c r="V373" s="5">
        <v>-18</v>
      </c>
      <c r="W373" s="5">
        <v>1</v>
      </c>
      <c r="X373" s="5">
        <v>-2</v>
      </c>
      <c r="Y373" s="5">
        <v>-12</v>
      </c>
      <c r="Z373" s="5">
        <v>-10</v>
      </c>
      <c r="AA373" s="5">
        <v>11</v>
      </c>
      <c r="AB373" s="5">
        <v>7</v>
      </c>
      <c r="AC373" s="5">
        <v>-14</v>
      </c>
      <c r="AD373" s="5">
        <v>6</v>
      </c>
      <c r="AE373" s="5">
        <v>1</v>
      </c>
      <c r="AF373" s="5">
        <v>-1</v>
      </c>
      <c r="AG373" s="5">
        <v>-4</v>
      </c>
      <c r="AH373" s="5">
        <v>5</v>
      </c>
      <c r="AI373" s="5">
        <v>-9</v>
      </c>
      <c r="AJ373" s="5">
        <v>-13</v>
      </c>
      <c r="AK373" s="5">
        <v>-3</v>
      </c>
      <c r="AL373" s="6">
        <v>-12</v>
      </c>
    </row>
    <row r="374" spans="1:38">
      <c r="A374" s="4">
        <v>-11</v>
      </c>
      <c r="B374" s="5">
        <v>13</v>
      </c>
      <c r="C374" s="5">
        <v>7</v>
      </c>
      <c r="D374" s="5">
        <v>5</v>
      </c>
      <c r="E374" s="5">
        <v>15</v>
      </c>
      <c r="F374" s="5">
        <v>-6</v>
      </c>
      <c r="G374" s="5">
        <v>8</v>
      </c>
      <c r="H374" s="5">
        <v>-9</v>
      </c>
      <c r="I374" s="5">
        <v>10</v>
      </c>
      <c r="J374" s="5">
        <v>-1</v>
      </c>
      <c r="K374" s="5">
        <v>-1</v>
      </c>
      <c r="L374" s="5">
        <v>-1</v>
      </c>
      <c r="M374" s="5">
        <v>-13</v>
      </c>
      <c r="N374" s="5">
        <v>14</v>
      </c>
      <c r="O374" s="5">
        <v>9</v>
      </c>
      <c r="P374" s="5">
        <v>8</v>
      </c>
      <c r="Q374" s="5">
        <v>6</v>
      </c>
      <c r="R374" s="5">
        <v>16</v>
      </c>
      <c r="S374" s="5">
        <v>8</v>
      </c>
      <c r="T374" s="5">
        <v>10</v>
      </c>
      <c r="U374" s="5">
        <v>-16</v>
      </c>
      <c r="V374" s="5">
        <v>-18</v>
      </c>
      <c r="W374" s="5">
        <v>9</v>
      </c>
      <c r="X374" s="5">
        <v>27</v>
      </c>
      <c r="Y374" s="5">
        <v>-22</v>
      </c>
      <c r="Z374" s="5">
        <v>1</v>
      </c>
      <c r="AA374" s="5">
        <v>17</v>
      </c>
      <c r="AB374" s="5">
        <v>-7</v>
      </c>
      <c r="AC374" s="5">
        <v>-7</v>
      </c>
      <c r="AD374" s="5">
        <v>19</v>
      </c>
      <c r="AE374" s="5">
        <v>-9</v>
      </c>
      <c r="AF374" s="5">
        <v>-20</v>
      </c>
      <c r="AG374" s="5">
        <v>12</v>
      </c>
      <c r="AH374" s="5">
        <v>-5</v>
      </c>
      <c r="AI374" s="5">
        <v>-18</v>
      </c>
      <c r="AJ374" s="5">
        <v>12</v>
      </c>
      <c r="AK374" s="5">
        <v>-12</v>
      </c>
      <c r="AL374" s="6">
        <v>-33</v>
      </c>
    </row>
    <row r="375" spans="1:38">
      <c r="A375" s="4">
        <v>11</v>
      </c>
      <c r="B375" s="5">
        <v>13</v>
      </c>
      <c r="C375" s="5">
        <v>3</v>
      </c>
      <c r="D375" s="5">
        <v>11</v>
      </c>
      <c r="E375" s="5">
        <v>16</v>
      </c>
      <c r="F375" s="5">
        <v>9</v>
      </c>
      <c r="G375" s="5">
        <v>19</v>
      </c>
      <c r="H375" s="5">
        <v>-4</v>
      </c>
      <c r="I375" s="5">
        <v>-8</v>
      </c>
      <c r="J375" s="5">
        <v>-18</v>
      </c>
      <c r="K375" s="5">
        <v>-6</v>
      </c>
      <c r="L375" s="5">
        <v>-1</v>
      </c>
      <c r="M375" s="5">
        <v>0</v>
      </c>
      <c r="N375" s="5">
        <v>11</v>
      </c>
      <c r="O375" s="5">
        <v>-7</v>
      </c>
      <c r="P375" s="5">
        <v>1</v>
      </c>
      <c r="Q375" s="5">
        <v>12</v>
      </c>
      <c r="R375" s="5">
        <v>7</v>
      </c>
      <c r="S375" s="5">
        <v>-4</v>
      </c>
      <c r="T375" s="5">
        <v>-3</v>
      </c>
      <c r="U375" s="5">
        <v>0</v>
      </c>
      <c r="V375" s="5">
        <v>-15</v>
      </c>
      <c r="W375" s="5">
        <v>6</v>
      </c>
      <c r="X375" s="5">
        <v>18</v>
      </c>
      <c r="Y375" s="5">
        <v>-29</v>
      </c>
      <c r="Z375" s="5">
        <v>4</v>
      </c>
      <c r="AA375" s="5">
        <v>-3</v>
      </c>
      <c r="AB375" s="5">
        <v>1</v>
      </c>
      <c r="AC375" s="5">
        <v>-5</v>
      </c>
      <c r="AD375" s="5">
        <v>18</v>
      </c>
      <c r="AE375" s="5">
        <v>2</v>
      </c>
      <c r="AF375" s="5">
        <v>-22</v>
      </c>
      <c r="AG375" s="5">
        <v>-22</v>
      </c>
      <c r="AH375" s="5">
        <v>-5</v>
      </c>
      <c r="AI375" s="5">
        <v>28</v>
      </c>
      <c r="AJ375" s="5">
        <v>-1</v>
      </c>
      <c r="AK375" s="5">
        <v>-20</v>
      </c>
      <c r="AL375" s="6">
        <v>-22</v>
      </c>
    </row>
    <row r="376" spans="1:38">
      <c r="A376" s="4">
        <v>4</v>
      </c>
      <c r="B376" s="5">
        <v>9</v>
      </c>
      <c r="C376" s="5">
        <v>-2</v>
      </c>
      <c r="D376" s="5">
        <v>7</v>
      </c>
      <c r="E376" s="5">
        <v>10</v>
      </c>
      <c r="F376" s="5">
        <v>18</v>
      </c>
      <c r="G376" s="5">
        <v>30</v>
      </c>
      <c r="H376" s="5">
        <v>5</v>
      </c>
      <c r="I376" s="5">
        <v>-14</v>
      </c>
      <c r="J376" s="5">
        <v>-38</v>
      </c>
      <c r="K376" s="5">
        <v>-2</v>
      </c>
      <c r="L376" s="5">
        <v>-4</v>
      </c>
      <c r="M376" s="5">
        <v>0</v>
      </c>
      <c r="N376" s="5">
        <v>5</v>
      </c>
      <c r="O376" s="5">
        <v>20</v>
      </c>
      <c r="P376" s="5">
        <v>-12</v>
      </c>
      <c r="Q376" s="5">
        <v>10</v>
      </c>
      <c r="R376" s="5">
        <v>1</v>
      </c>
      <c r="S376" s="5">
        <v>-2</v>
      </c>
      <c r="T376" s="5">
        <v>-17</v>
      </c>
      <c r="U376" s="5">
        <v>-31</v>
      </c>
      <c r="V376" s="5">
        <v>-1</v>
      </c>
      <c r="W376" s="5">
        <v>5</v>
      </c>
      <c r="X376" s="5">
        <v>26</v>
      </c>
      <c r="Y376" s="5">
        <v>-24</v>
      </c>
      <c r="Z376" s="5">
        <v>-3</v>
      </c>
      <c r="AA376" s="5">
        <v>-1</v>
      </c>
      <c r="AB376" s="5">
        <v>3</v>
      </c>
      <c r="AC376" s="5">
        <v>0</v>
      </c>
      <c r="AD376" s="5">
        <v>9</v>
      </c>
      <c r="AE376" s="5">
        <v>5</v>
      </c>
      <c r="AF376" s="5">
        <v>-26</v>
      </c>
      <c r="AG376" s="5">
        <v>-20</v>
      </c>
      <c r="AH376" s="5">
        <v>-23</v>
      </c>
      <c r="AI376" s="5">
        <v>33</v>
      </c>
      <c r="AJ376" s="5">
        <v>26</v>
      </c>
      <c r="AK376" s="5">
        <v>1</v>
      </c>
      <c r="AL376" s="6">
        <v>-2</v>
      </c>
    </row>
    <row r="377" spans="1:38">
      <c r="A377" s="4">
        <v>9</v>
      </c>
      <c r="B377" s="5">
        <v>15</v>
      </c>
      <c r="C377" s="5">
        <v>19</v>
      </c>
      <c r="D377" s="5">
        <v>14</v>
      </c>
      <c r="E377" s="5">
        <v>19</v>
      </c>
      <c r="F377" s="5">
        <v>9</v>
      </c>
      <c r="G377" s="5">
        <v>19</v>
      </c>
      <c r="H377" s="5">
        <v>-11</v>
      </c>
      <c r="I377" s="5">
        <v>-3</v>
      </c>
      <c r="J377" s="5">
        <v>-7</v>
      </c>
      <c r="K377" s="5">
        <v>-4</v>
      </c>
      <c r="L377" s="5">
        <v>-14</v>
      </c>
      <c r="M377" s="5">
        <v>11</v>
      </c>
      <c r="N377" s="5">
        <v>-10</v>
      </c>
      <c r="O377" s="5">
        <v>-24</v>
      </c>
      <c r="P377" s="5">
        <v>2</v>
      </c>
      <c r="Q377" s="5">
        <v>14</v>
      </c>
      <c r="R377" s="5">
        <v>-4</v>
      </c>
      <c r="S377" s="5">
        <v>-9</v>
      </c>
      <c r="T377" s="5">
        <v>9</v>
      </c>
      <c r="U377" s="5">
        <v>-20</v>
      </c>
      <c r="V377" s="5">
        <v>-30</v>
      </c>
      <c r="W377" s="5">
        <v>38</v>
      </c>
      <c r="X377" s="5">
        <v>35</v>
      </c>
      <c r="Y377" s="5">
        <v>-25</v>
      </c>
      <c r="Z377" s="5">
        <v>-6</v>
      </c>
      <c r="AA377" s="5">
        <v>12</v>
      </c>
      <c r="AB377" s="5">
        <v>-2</v>
      </c>
      <c r="AC377" s="5">
        <v>-23</v>
      </c>
      <c r="AD377" s="5">
        <v>10</v>
      </c>
      <c r="AE377" s="5">
        <v>-2</v>
      </c>
      <c r="AF377" s="5">
        <v>-17</v>
      </c>
      <c r="AG377" s="5">
        <v>40</v>
      </c>
      <c r="AH377" s="5">
        <v>-26</v>
      </c>
      <c r="AI377" s="5">
        <v>-32</v>
      </c>
      <c r="AJ377" s="5">
        <v>-4</v>
      </c>
      <c r="AK377" s="5">
        <v>11</v>
      </c>
      <c r="AL377" s="6">
        <v>-23</v>
      </c>
    </row>
    <row r="378" spans="1:38">
      <c r="A378" s="4">
        <v>14</v>
      </c>
      <c r="B378" s="5">
        <v>1</v>
      </c>
      <c r="C378" s="5">
        <v>-1</v>
      </c>
      <c r="D378" s="5">
        <v>-1</v>
      </c>
      <c r="E378" s="5">
        <v>-6</v>
      </c>
      <c r="F378" s="5">
        <v>3</v>
      </c>
      <c r="G378" s="5">
        <v>12</v>
      </c>
      <c r="H378" s="5">
        <v>9</v>
      </c>
      <c r="I378" s="5">
        <v>2</v>
      </c>
      <c r="J378" s="5">
        <v>-10</v>
      </c>
      <c r="K378" s="5">
        <v>-2</v>
      </c>
      <c r="L378" s="5">
        <v>-2</v>
      </c>
      <c r="M378" s="5">
        <v>2</v>
      </c>
      <c r="N378" s="5">
        <v>3</v>
      </c>
      <c r="O378" s="5">
        <v>-6</v>
      </c>
      <c r="P378" s="5">
        <v>3</v>
      </c>
      <c r="Q378" s="5">
        <v>7</v>
      </c>
      <c r="R378" s="5">
        <v>12</v>
      </c>
      <c r="S378" s="5">
        <v>6</v>
      </c>
      <c r="T378" s="5">
        <v>6</v>
      </c>
      <c r="U378" s="5">
        <v>-13</v>
      </c>
      <c r="V378" s="5">
        <v>-7</v>
      </c>
      <c r="W378" s="5">
        <v>-12</v>
      </c>
      <c r="X378" s="5">
        <v>-19</v>
      </c>
      <c r="Y378" s="5">
        <v>-17</v>
      </c>
      <c r="Z378" s="5">
        <v>-1</v>
      </c>
      <c r="AA378" s="5">
        <v>-10</v>
      </c>
      <c r="AB378" s="5">
        <v>16</v>
      </c>
      <c r="AC378" s="5">
        <v>-6</v>
      </c>
      <c r="AD378" s="5">
        <v>8</v>
      </c>
      <c r="AE378" s="5">
        <v>-13</v>
      </c>
      <c r="AF378" s="5">
        <v>4</v>
      </c>
      <c r="AG378" s="5">
        <v>9</v>
      </c>
      <c r="AH378" s="5">
        <v>6</v>
      </c>
      <c r="AI378" s="5">
        <v>1</v>
      </c>
      <c r="AJ378" s="5">
        <v>5</v>
      </c>
      <c r="AK378" s="5">
        <v>6</v>
      </c>
      <c r="AL378" s="6">
        <v>4</v>
      </c>
    </row>
    <row r="379" spans="1:38">
      <c r="A379" s="4">
        <v>15</v>
      </c>
      <c r="B379" s="5">
        <v>-15</v>
      </c>
      <c r="C379" s="5">
        <v>1</v>
      </c>
      <c r="D379" s="5">
        <v>6</v>
      </c>
      <c r="E379" s="5">
        <v>-5</v>
      </c>
      <c r="F379" s="5">
        <v>-3</v>
      </c>
      <c r="G379" s="5">
        <v>20</v>
      </c>
      <c r="H379" s="5">
        <v>-1</v>
      </c>
      <c r="I379" s="5">
        <v>12</v>
      </c>
      <c r="J379" s="5">
        <v>-25</v>
      </c>
      <c r="K379" s="5">
        <v>-15</v>
      </c>
      <c r="L379" s="5">
        <v>-5</v>
      </c>
      <c r="M379" s="5">
        <v>-7</v>
      </c>
      <c r="N379" s="5">
        <v>-10</v>
      </c>
      <c r="O379" s="5">
        <v>4</v>
      </c>
      <c r="P379" s="5">
        <v>9</v>
      </c>
      <c r="Q379" s="5">
        <v>0</v>
      </c>
      <c r="R379" s="5">
        <v>15</v>
      </c>
      <c r="S379" s="5">
        <v>21</v>
      </c>
      <c r="T379" s="5">
        <v>-10</v>
      </c>
      <c r="U379" s="5">
        <v>-29</v>
      </c>
      <c r="V379" s="5">
        <v>-12</v>
      </c>
      <c r="W379" s="5">
        <v>-7</v>
      </c>
      <c r="X379" s="5">
        <v>20</v>
      </c>
      <c r="Y379" s="5">
        <v>-40</v>
      </c>
      <c r="Z379" s="5">
        <v>1</v>
      </c>
      <c r="AA379" s="5">
        <v>-21</v>
      </c>
      <c r="AB379" s="5">
        <v>-10</v>
      </c>
      <c r="AC379" s="5">
        <v>-4</v>
      </c>
      <c r="AD379" s="5">
        <v>18</v>
      </c>
      <c r="AE379" s="5">
        <v>7</v>
      </c>
      <c r="AF379" s="5">
        <v>-12</v>
      </c>
      <c r="AG379" s="5">
        <v>27</v>
      </c>
      <c r="AH379" s="5">
        <v>3</v>
      </c>
      <c r="AI379" s="5">
        <v>4</v>
      </c>
      <c r="AJ379" s="5">
        <v>14</v>
      </c>
      <c r="AK379" s="5">
        <v>-39</v>
      </c>
      <c r="AL379" s="6">
        <v>18</v>
      </c>
    </row>
    <row r="380" spans="1:38">
      <c r="A380" s="4">
        <v>25</v>
      </c>
      <c r="B380" s="5">
        <v>-8</v>
      </c>
      <c r="C380" s="5">
        <v>18</v>
      </c>
      <c r="D380" s="5">
        <v>8</v>
      </c>
      <c r="E380" s="5">
        <v>-9</v>
      </c>
      <c r="F380" s="5">
        <v>6</v>
      </c>
      <c r="G380" s="5">
        <v>14</v>
      </c>
      <c r="H380" s="5">
        <v>-3</v>
      </c>
      <c r="I380" s="5">
        <v>8</v>
      </c>
      <c r="J380" s="5">
        <v>-14</v>
      </c>
      <c r="K380" s="5">
        <v>-10</v>
      </c>
      <c r="L380" s="5">
        <v>-18</v>
      </c>
      <c r="M380" s="5">
        <v>-4</v>
      </c>
      <c r="N380" s="5">
        <v>-6</v>
      </c>
      <c r="O380" s="5">
        <v>11</v>
      </c>
      <c r="P380" s="5">
        <v>20</v>
      </c>
      <c r="Q380" s="5">
        <v>13</v>
      </c>
      <c r="R380" s="5">
        <v>10</v>
      </c>
      <c r="S380" s="5">
        <v>11</v>
      </c>
      <c r="T380" s="5">
        <v>12</v>
      </c>
      <c r="U380" s="5">
        <v>-20</v>
      </c>
      <c r="V380" s="5">
        <v>-2</v>
      </c>
      <c r="W380" s="5">
        <v>-14</v>
      </c>
      <c r="X380" s="5">
        <v>8</v>
      </c>
      <c r="Y380" s="5">
        <v>-36</v>
      </c>
      <c r="Z380" s="5">
        <v>12</v>
      </c>
      <c r="AA380" s="5">
        <v>-10</v>
      </c>
      <c r="AB380" s="5">
        <v>-10</v>
      </c>
      <c r="AC380" s="5">
        <v>-9</v>
      </c>
      <c r="AD380" s="5">
        <v>12</v>
      </c>
      <c r="AE380" s="5">
        <v>13</v>
      </c>
      <c r="AF380" s="5">
        <v>-7</v>
      </c>
      <c r="AG380" s="5">
        <v>9</v>
      </c>
      <c r="AH380" s="5">
        <v>3</v>
      </c>
      <c r="AI380" s="5">
        <v>13</v>
      </c>
      <c r="AJ380" s="5">
        <v>6</v>
      </c>
      <c r="AK380" s="5">
        <v>-17</v>
      </c>
      <c r="AL380" s="6">
        <v>23</v>
      </c>
    </row>
    <row r="381" spans="1:38">
      <c r="A381" s="4">
        <v>-15</v>
      </c>
      <c r="B381" s="5">
        <v>0</v>
      </c>
      <c r="C381" s="5">
        <v>2</v>
      </c>
      <c r="D381" s="5">
        <v>10</v>
      </c>
      <c r="E381" s="5">
        <v>-6</v>
      </c>
      <c r="F381" s="5">
        <v>-7</v>
      </c>
      <c r="G381" s="5">
        <v>-4</v>
      </c>
      <c r="H381" s="5">
        <v>4</v>
      </c>
      <c r="I381" s="5">
        <v>0</v>
      </c>
      <c r="J381" s="5">
        <v>-13</v>
      </c>
      <c r="K381" s="5">
        <v>-4</v>
      </c>
      <c r="L381" s="5">
        <v>-8</v>
      </c>
      <c r="M381" s="5">
        <v>5</v>
      </c>
      <c r="N381" s="5">
        <v>2</v>
      </c>
      <c r="O381" s="5">
        <v>-8</v>
      </c>
      <c r="P381" s="5">
        <v>-8</v>
      </c>
      <c r="Q381" s="5">
        <v>10</v>
      </c>
      <c r="R381" s="5">
        <v>-12</v>
      </c>
      <c r="S381" s="5">
        <v>3</v>
      </c>
      <c r="T381" s="5">
        <v>5</v>
      </c>
      <c r="U381" s="5">
        <v>3</v>
      </c>
      <c r="V381" s="5">
        <v>-3</v>
      </c>
      <c r="W381" s="5">
        <v>7</v>
      </c>
      <c r="X381" s="5">
        <v>-5</v>
      </c>
      <c r="Y381" s="5">
        <v>6</v>
      </c>
      <c r="Z381" s="5">
        <v>5</v>
      </c>
      <c r="AA381" s="5">
        <v>-1</v>
      </c>
      <c r="AB381" s="5">
        <v>14</v>
      </c>
      <c r="AC381" s="5">
        <v>-4</v>
      </c>
      <c r="AD381" s="5">
        <v>8</v>
      </c>
      <c r="AE381" s="5">
        <v>1</v>
      </c>
      <c r="AF381" s="5">
        <v>3</v>
      </c>
      <c r="AG381" s="5">
        <v>28</v>
      </c>
      <c r="AH381" s="5">
        <v>-8</v>
      </c>
      <c r="AI381" s="5">
        <v>-3</v>
      </c>
      <c r="AJ381" s="5">
        <v>-2</v>
      </c>
      <c r="AK381" s="5">
        <v>-17</v>
      </c>
      <c r="AL381" s="6">
        <v>-13</v>
      </c>
    </row>
    <row r="382" spans="1:38">
      <c r="A382" s="4">
        <v>-16</v>
      </c>
      <c r="B382" s="5">
        <v>-8</v>
      </c>
      <c r="C382" s="5">
        <v>17</v>
      </c>
      <c r="D382" s="5">
        <v>-2</v>
      </c>
      <c r="E382" s="5">
        <v>-14</v>
      </c>
      <c r="F382" s="5">
        <v>-1</v>
      </c>
      <c r="G382" s="5">
        <v>2</v>
      </c>
      <c r="H382" s="5">
        <v>9</v>
      </c>
      <c r="I382" s="5">
        <v>-2</v>
      </c>
      <c r="J382" s="5">
        <v>-21</v>
      </c>
      <c r="K382" s="5">
        <v>9</v>
      </c>
      <c r="L382" s="5">
        <v>-15</v>
      </c>
      <c r="M382" s="5">
        <v>-7</v>
      </c>
      <c r="N382" s="5">
        <v>2</v>
      </c>
      <c r="O382" s="5">
        <v>-25</v>
      </c>
      <c r="P382" s="5">
        <v>11</v>
      </c>
      <c r="Q382" s="5">
        <v>-3</v>
      </c>
      <c r="R382" s="5">
        <v>8</v>
      </c>
      <c r="S382" s="5">
        <v>-4</v>
      </c>
      <c r="T382" s="5">
        <v>-14</v>
      </c>
      <c r="U382" s="5">
        <v>5</v>
      </c>
      <c r="V382" s="5">
        <v>4</v>
      </c>
      <c r="W382" s="5">
        <v>-12</v>
      </c>
      <c r="X382" s="5">
        <v>0</v>
      </c>
      <c r="Y382" s="5">
        <v>22</v>
      </c>
      <c r="Z382" s="5">
        <v>10</v>
      </c>
      <c r="AA382" s="5">
        <v>2</v>
      </c>
      <c r="AB382" s="5">
        <v>1</v>
      </c>
      <c r="AC382" s="5">
        <v>-11</v>
      </c>
      <c r="AD382" s="5">
        <v>2</v>
      </c>
      <c r="AE382" s="5">
        <v>-1</v>
      </c>
      <c r="AF382" s="5">
        <v>-11</v>
      </c>
      <c r="AG382" s="5">
        <v>13</v>
      </c>
      <c r="AH382" s="5">
        <v>-2</v>
      </c>
      <c r="AI382" s="5">
        <v>-8</v>
      </c>
      <c r="AJ382" s="5">
        <v>12</v>
      </c>
      <c r="AK382" s="5">
        <v>5</v>
      </c>
      <c r="AL382" s="6">
        <v>2</v>
      </c>
    </row>
    <row r="383" spans="1:38">
      <c r="A383" s="4">
        <v>-15</v>
      </c>
      <c r="B383" s="5">
        <v>19</v>
      </c>
      <c r="C383" s="5">
        <v>13</v>
      </c>
      <c r="D383" s="5">
        <v>17</v>
      </c>
      <c r="E383" s="5">
        <v>26</v>
      </c>
      <c r="F383" s="5">
        <v>11</v>
      </c>
      <c r="G383" s="5">
        <v>23</v>
      </c>
      <c r="H383" s="5">
        <v>12</v>
      </c>
      <c r="I383" s="5">
        <v>17</v>
      </c>
      <c r="J383" s="5">
        <v>-5</v>
      </c>
      <c r="K383" s="5">
        <v>-2</v>
      </c>
      <c r="L383" s="5">
        <v>-5</v>
      </c>
      <c r="M383" s="5">
        <v>29</v>
      </c>
      <c r="N383" s="5">
        <v>11</v>
      </c>
      <c r="O383" s="5">
        <v>-4</v>
      </c>
      <c r="P383" s="5">
        <v>-33</v>
      </c>
      <c r="Q383" s="5">
        <v>-9</v>
      </c>
      <c r="R383" s="5">
        <v>-11</v>
      </c>
      <c r="S383" s="5">
        <v>17</v>
      </c>
      <c r="T383" s="5">
        <v>10</v>
      </c>
      <c r="U383" s="5">
        <v>13</v>
      </c>
      <c r="V383" s="5">
        <v>-1</v>
      </c>
      <c r="W383" s="5">
        <v>-14</v>
      </c>
      <c r="X383" s="5">
        <v>-21</v>
      </c>
      <c r="Y383" s="5">
        <v>-3</v>
      </c>
      <c r="Z383" s="5">
        <v>17</v>
      </c>
      <c r="AA383" s="5">
        <v>-4</v>
      </c>
      <c r="AB383" s="5">
        <v>10</v>
      </c>
      <c r="AC383" s="5">
        <v>-12</v>
      </c>
      <c r="AD383" s="5">
        <v>15</v>
      </c>
      <c r="AE383" s="5">
        <v>13</v>
      </c>
      <c r="AF383" s="5">
        <v>-12</v>
      </c>
      <c r="AG383" s="5">
        <v>22</v>
      </c>
      <c r="AH383" s="5">
        <v>-1</v>
      </c>
      <c r="AI383" s="5">
        <v>20</v>
      </c>
      <c r="AJ383" s="5">
        <v>3</v>
      </c>
      <c r="AK383" s="5">
        <v>-12</v>
      </c>
      <c r="AL383" s="6">
        <v>-34</v>
      </c>
    </row>
    <row r="384" spans="1:38">
      <c r="A384" s="4">
        <v>-14</v>
      </c>
      <c r="B384" s="5">
        <v>15</v>
      </c>
      <c r="C384" s="5">
        <v>10</v>
      </c>
      <c r="D384" s="5">
        <v>12</v>
      </c>
      <c r="E384" s="5">
        <v>17</v>
      </c>
      <c r="F384" s="5">
        <v>7</v>
      </c>
      <c r="G384" s="5">
        <v>17</v>
      </c>
      <c r="H384" s="5">
        <v>11</v>
      </c>
      <c r="I384" s="5">
        <v>17</v>
      </c>
      <c r="J384" s="5">
        <v>-3</v>
      </c>
      <c r="K384" s="5">
        <v>-3</v>
      </c>
      <c r="L384" s="5">
        <v>-5</v>
      </c>
      <c r="M384" s="5">
        <v>19</v>
      </c>
      <c r="N384" s="5">
        <v>5</v>
      </c>
      <c r="O384" s="5">
        <v>-9</v>
      </c>
      <c r="P384" s="5">
        <v>-19</v>
      </c>
      <c r="Q384" s="5">
        <v>-10</v>
      </c>
      <c r="R384" s="5">
        <v>-8</v>
      </c>
      <c r="S384" s="5">
        <v>9</v>
      </c>
      <c r="T384" s="5">
        <v>15</v>
      </c>
      <c r="U384" s="5">
        <v>14</v>
      </c>
      <c r="V384" s="5">
        <v>-5</v>
      </c>
      <c r="W384" s="5">
        <v>-11</v>
      </c>
      <c r="X384" s="5">
        <v>-15</v>
      </c>
      <c r="Y384" s="5">
        <v>-8</v>
      </c>
      <c r="Z384" s="5">
        <v>9</v>
      </c>
      <c r="AA384" s="5">
        <v>-7</v>
      </c>
      <c r="AB384" s="5">
        <v>6</v>
      </c>
      <c r="AC384" s="5">
        <v>-10</v>
      </c>
      <c r="AD384" s="5">
        <v>11</v>
      </c>
      <c r="AE384" s="5">
        <v>11</v>
      </c>
      <c r="AF384" s="5">
        <v>-6</v>
      </c>
      <c r="AG384" s="5">
        <v>14</v>
      </c>
      <c r="AH384" s="5">
        <v>2</v>
      </c>
      <c r="AI384" s="5">
        <v>6</v>
      </c>
      <c r="AJ384" s="5">
        <v>4</v>
      </c>
      <c r="AK384" s="5">
        <v>-10</v>
      </c>
      <c r="AL384" s="6">
        <v>-24</v>
      </c>
    </row>
    <row r="385" spans="1:38">
      <c r="A385" s="4">
        <v>-19</v>
      </c>
      <c r="B385" s="5">
        <v>-18</v>
      </c>
      <c r="C385" s="5">
        <v>20</v>
      </c>
      <c r="D385" s="5">
        <v>17</v>
      </c>
      <c r="E385" s="5">
        <v>17</v>
      </c>
      <c r="F385" s="5">
        <v>1</v>
      </c>
      <c r="G385" s="5">
        <v>6</v>
      </c>
      <c r="H385" s="5">
        <v>-7</v>
      </c>
      <c r="I385" s="5">
        <v>-7</v>
      </c>
      <c r="J385" s="5">
        <v>-24</v>
      </c>
      <c r="K385" s="5">
        <v>-4</v>
      </c>
      <c r="L385" s="5">
        <v>-3</v>
      </c>
      <c r="M385" s="5">
        <v>8</v>
      </c>
      <c r="N385" s="5">
        <v>3</v>
      </c>
      <c r="O385" s="5">
        <v>-10</v>
      </c>
      <c r="P385" s="5">
        <v>3</v>
      </c>
      <c r="Q385" s="5">
        <v>1</v>
      </c>
      <c r="R385" s="5">
        <v>-9</v>
      </c>
      <c r="S385" s="5">
        <v>14</v>
      </c>
      <c r="T385" s="5">
        <v>0</v>
      </c>
      <c r="U385" s="5">
        <v>-11</v>
      </c>
      <c r="V385" s="5">
        <v>7</v>
      </c>
      <c r="W385" s="5">
        <v>12</v>
      </c>
      <c r="X385" s="5">
        <v>6</v>
      </c>
      <c r="Y385" s="5">
        <v>10</v>
      </c>
      <c r="Z385" s="5">
        <v>2</v>
      </c>
      <c r="AA385" s="5">
        <v>6</v>
      </c>
      <c r="AB385" s="5">
        <v>10</v>
      </c>
      <c r="AC385" s="5">
        <v>3</v>
      </c>
      <c r="AD385" s="5">
        <v>4</v>
      </c>
      <c r="AE385" s="5">
        <v>23</v>
      </c>
      <c r="AF385" s="5">
        <v>-15</v>
      </c>
      <c r="AG385" s="5">
        <v>15</v>
      </c>
      <c r="AH385" s="5">
        <v>17</v>
      </c>
      <c r="AI385" s="5">
        <v>-1</v>
      </c>
      <c r="AJ385" s="5">
        <v>3</v>
      </c>
      <c r="AK385" s="5">
        <v>-12</v>
      </c>
      <c r="AL385" s="6">
        <v>-2</v>
      </c>
    </row>
    <row r="386" spans="1:38">
      <c r="A386" s="4">
        <v>26</v>
      </c>
      <c r="B386" s="5">
        <v>-17</v>
      </c>
      <c r="C386" s="5">
        <v>2</v>
      </c>
      <c r="D386" s="5">
        <v>15</v>
      </c>
      <c r="E386" s="5">
        <v>26</v>
      </c>
      <c r="F386" s="5">
        <v>24</v>
      </c>
      <c r="G386" s="5">
        <v>5</v>
      </c>
      <c r="H386" s="5">
        <v>-22</v>
      </c>
      <c r="I386" s="5">
        <v>-24</v>
      </c>
      <c r="J386" s="5">
        <v>15</v>
      </c>
      <c r="K386" s="5">
        <v>11</v>
      </c>
      <c r="L386" s="5">
        <v>14</v>
      </c>
      <c r="M386" s="5">
        <v>-4</v>
      </c>
      <c r="N386" s="5">
        <v>-9</v>
      </c>
      <c r="O386" s="5">
        <v>-49</v>
      </c>
      <c r="P386" s="5">
        <v>-29</v>
      </c>
      <c r="Q386" s="5">
        <v>34</v>
      </c>
      <c r="R386" s="5">
        <v>-1</v>
      </c>
      <c r="S386" s="5">
        <v>15</v>
      </c>
      <c r="T386" s="5">
        <v>56</v>
      </c>
      <c r="U386" s="5">
        <v>-4</v>
      </c>
      <c r="V386" s="5">
        <v>-25</v>
      </c>
      <c r="W386" s="5">
        <v>51</v>
      </c>
      <c r="X386" s="5">
        <v>13</v>
      </c>
      <c r="Y386" s="5">
        <v>-6</v>
      </c>
      <c r="Z386" s="5">
        <v>16</v>
      </c>
      <c r="AA386" s="5">
        <v>12</v>
      </c>
      <c r="AB386" s="5">
        <v>-12</v>
      </c>
      <c r="AC386" s="5">
        <v>8</v>
      </c>
      <c r="AD386" s="5">
        <v>11</v>
      </c>
      <c r="AE386" s="5">
        <v>-9</v>
      </c>
      <c r="AF386" s="5">
        <v>28</v>
      </c>
      <c r="AG386" s="5">
        <v>-25</v>
      </c>
      <c r="AH386" s="5">
        <v>-11</v>
      </c>
      <c r="AI386" s="5">
        <v>-16</v>
      </c>
      <c r="AJ386" s="5">
        <v>9</v>
      </c>
      <c r="AK386" s="5">
        <v>57</v>
      </c>
      <c r="AL386" s="6">
        <v>-29</v>
      </c>
    </row>
    <row r="387" spans="1:38">
      <c r="A387" s="4">
        <v>-5</v>
      </c>
      <c r="B387" s="5">
        <v>2</v>
      </c>
      <c r="C387" s="5">
        <v>-5</v>
      </c>
      <c r="D387" s="5">
        <v>8</v>
      </c>
      <c r="E387" s="5">
        <v>3</v>
      </c>
      <c r="F387" s="5">
        <v>4</v>
      </c>
      <c r="G387" s="5">
        <v>-2</v>
      </c>
      <c r="H387" s="5">
        <v>-5</v>
      </c>
      <c r="I387" s="5">
        <v>6</v>
      </c>
      <c r="J387" s="5">
        <v>1</v>
      </c>
      <c r="K387" s="5">
        <v>-7</v>
      </c>
      <c r="L387" s="5">
        <v>-3</v>
      </c>
      <c r="M387" s="5">
        <v>-4</v>
      </c>
      <c r="N387" s="5">
        <v>4</v>
      </c>
      <c r="O387" s="5">
        <v>-13</v>
      </c>
      <c r="P387" s="5">
        <v>-1</v>
      </c>
      <c r="Q387" s="5">
        <v>3</v>
      </c>
      <c r="R387" s="5">
        <v>-4</v>
      </c>
      <c r="S387" s="5">
        <v>18</v>
      </c>
      <c r="T387" s="5">
        <v>4</v>
      </c>
      <c r="U387" s="5">
        <v>8</v>
      </c>
      <c r="V387" s="5">
        <v>-10</v>
      </c>
      <c r="W387" s="5">
        <v>-17</v>
      </c>
      <c r="X387" s="5">
        <v>3</v>
      </c>
      <c r="Y387" s="5">
        <v>-3</v>
      </c>
      <c r="Z387" s="5">
        <v>1</v>
      </c>
      <c r="AA387" s="5">
        <v>0</v>
      </c>
      <c r="AB387" s="5">
        <v>5</v>
      </c>
      <c r="AC387" s="5">
        <v>6</v>
      </c>
      <c r="AD387" s="5">
        <v>-17</v>
      </c>
      <c r="AE387" s="5">
        <v>3</v>
      </c>
      <c r="AF387" s="5">
        <v>12</v>
      </c>
      <c r="AG387" s="5">
        <v>4</v>
      </c>
      <c r="AH387" s="5">
        <v>-4</v>
      </c>
      <c r="AI387" s="5">
        <v>7</v>
      </c>
      <c r="AJ387" s="5">
        <v>7</v>
      </c>
      <c r="AK387" s="5">
        <v>-7</v>
      </c>
      <c r="AL387" s="6">
        <v>9</v>
      </c>
    </row>
    <row r="388" spans="1:38">
      <c r="A388" s="4">
        <v>-9</v>
      </c>
      <c r="B388" s="5">
        <v>-8</v>
      </c>
      <c r="C388" s="5">
        <v>14</v>
      </c>
      <c r="D388" s="5">
        <v>10</v>
      </c>
      <c r="E388" s="5">
        <v>-4</v>
      </c>
      <c r="F388" s="5">
        <v>8</v>
      </c>
      <c r="G388" s="5">
        <v>16</v>
      </c>
      <c r="H388" s="5">
        <v>-1</v>
      </c>
      <c r="I388" s="5">
        <v>0</v>
      </c>
      <c r="J388" s="5">
        <v>-17</v>
      </c>
      <c r="K388" s="5">
        <v>11</v>
      </c>
      <c r="L388" s="5">
        <v>0</v>
      </c>
      <c r="M388" s="5">
        <v>2</v>
      </c>
      <c r="N388" s="5">
        <v>0</v>
      </c>
      <c r="O388" s="5">
        <v>-15</v>
      </c>
      <c r="P388" s="5">
        <v>3</v>
      </c>
      <c r="Q388" s="5">
        <v>33</v>
      </c>
      <c r="R388" s="5">
        <v>11</v>
      </c>
      <c r="S388" s="5">
        <v>15</v>
      </c>
      <c r="T388" s="5">
        <v>2</v>
      </c>
      <c r="U388" s="5">
        <v>-31</v>
      </c>
      <c r="V388" s="5">
        <v>-1</v>
      </c>
      <c r="W388" s="5">
        <v>-11</v>
      </c>
      <c r="X388" s="5">
        <v>-7</v>
      </c>
      <c r="Y388" s="5">
        <v>8</v>
      </c>
      <c r="Z388" s="5">
        <v>21</v>
      </c>
      <c r="AA388" s="5">
        <v>25</v>
      </c>
      <c r="AB388" s="5">
        <v>14</v>
      </c>
      <c r="AC388" s="5">
        <v>11</v>
      </c>
      <c r="AD388" s="5">
        <v>18</v>
      </c>
      <c r="AE388" s="5">
        <v>0</v>
      </c>
      <c r="AF388" s="5">
        <v>-5</v>
      </c>
      <c r="AG388" s="5">
        <v>8</v>
      </c>
      <c r="AH388" s="5">
        <v>19</v>
      </c>
      <c r="AI388" s="5">
        <v>18</v>
      </c>
      <c r="AJ388" s="5">
        <v>-5</v>
      </c>
      <c r="AK388" s="5">
        <v>-3</v>
      </c>
      <c r="AL388" s="6">
        <v>5</v>
      </c>
    </row>
    <row r="389" spans="1:38">
      <c r="A389" s="4">
        <v>2</v>
      </c>
      <c r="B389" s="5">
        <v>7</v>
      </c>
      <c r="C389" s="5">
        <v>-10</v>
      </c>
      <c r="D389" s="5">
        <v>5</v>
      </c>
      <c r="E389" s="5">
        <v>-10</v>
      </c>
      <c r="F389" s="5">
        <v>7</v>
      </c>
      <c r="G389" s="5">
        <v>17</v>
      </c>
      <c r="H389" s="5">
        <v>13</v>
      </c>
      <c r="I389" s="5">
        <v>-4</v>
      </c>
      <c r="J389" s="5">
        <v>-6</v>
      </c>
      <c r="K389" s="5">
        <v>18</v>
      </c>
      <c r="L389" s="5">
        <v>4</v>
      </c>
      <c r="M389" s="5">
        <v>-8</v>
      </c>
      <c r="N389" s="5">
        <v>-1</v>
      </c>
      <c r="O389" s="5">
        <v>-20</v>
      </c>
      <c r="P389" s="5">
        <v>-9</v>
      </c>
      <c r="Q389" s="5">
        <v>16</v>
      </c>
      <c r="R389" s="5">
        <v>-3</v>
      </c>
      <c r="S389" s="5">
        <v>6</v>
      </c>
      <c r="T389" s="5">
        <v>13</v>
      </c>
      <c r="U389" s="5">
        <v>-27</v>
      </c>
      <c r="V389" s="5">
        <v>-1</v>
      </c>
      <c r="W389" s="5">
        <v>-15</v>
      </c>
      <c r="X389" s="5">
        <v>-34</v>
      </c>
      <c r="Y389" s="5">
        <v>-16</v>
      </c>
      <c r="Z389" s="5">
        <v>24</v>
      </c>
      <c r="AA389" s="5">
        <v>16</v>
      </c>
      <c r="AB389" s="5">
        <v>27</v>
      </c>
      <c r="AC389" s="5">
        <v>-10</v>
      </c>
      <c r="AD389" s="5">
        <v>10</v>
      </c>
      <c r="AE389" s="5">
        <v>-23</v>
      </c>
      <c r="AF389" s="5">
        <v>1</v>
      </c>
      <c r="AG389" s="5">
        <v>3</v>
      </c>
      <c r="AH389" s="5">
        <v>10</v>
      </c>
      <c r="AI389" s="5">
        <v>9</v>
      </c>
      <c r="AJ389" s="5">
        <v>-3</v>
      </c>
      <c r="AK389" s="5">
        <v>16</v>
      </c>
      <c r="AL389" s="6">
        <v>2</v>
      </c>
    </row>
    <row r="390" spans="1:38">
      <c r="A390" s="4">
        <v>38</v>
      </c>
      <c r="B390" s="5">
        <v>-11</v>
      </c>
      <c r="C390" s="5">
        <v>-17</v>
      </c>
      <c r="D390" s="5">
        <v>-3</v>
      </c>
      <c r="E390" s="5">
        <v>-24</v>
      </c>
      <c r="F390" s="5">
        <v>9</v>
      </c>
      <c r="G390" s="5">
        <v>36</v>
      </c>
      <c r="H390" s="5">
        <v>3</v>
      </c>
      <c r="I390" s="5">
        <v>-7</v>
      </c>
      <c r="J390" s="5">
        <v>-6</v>
      </c>
      <c r="K390" s="5">
        <v>25</v>
      </c>
      <c r="L390" s="5">
        <v>-1</v>
      </c>
      <c r="M390" s="5">
        <v>-18</v>
      </c>
      <c r="N390" s="5">
        <v>-41</v>
      </c>
      <c r="O390" s="5">
        <v>-23</v>
      </c>
      <c r="P390" s="5">
        <v>6</v>
      </c>
      <c r="Q390" s="5">
        <v>14</v>
      </c>
      <c r="R390" s="5">
        <v>-16</v>
      </c>
      <c r="S390" s="5">
        <v>2</v>
      </c>
      <c r="T390" s="5">
        <v>1</v>
      </c>
      <c r="U390" s="5">
        <v>-56</v>
      </c>
      <c r="V390" s="5">
        <v>-62</v>
      </c>
      <c r="W390" s="5">
        <v>-5</v>
      </c>
      <c r="X390" s="5">
        <v>-11</v>
      </c>
      <c r="Y390" s="5">
        <v>17</v>
      </c>
      <c r="Z390" s="5">
        <v>23</v>
      </c>
      <c r="AA390" s="5">
        <v>-12</v>
      </c>
      <c r="AB390" s="5">
        <v>24</v>
      </c>
      <c r="AC390" s="5">
        <v>-15</v>
      </c>
      <c r="AD390" s="5">
        <v>-17</v>
      </c>
      <c r="AE390" s="5">
        <v>-13</v>
      </c>
      <c r="AF390" s="5">
        <v>18</v>
      </c>
      <c r="AG390" s="5">
        <v>25</v>
      </c>
      <c r="AH390" s="5">
        <v>31</v>
      </c>
      <c r="AI390" s="5">
        <v>27</v>
      </c>
      <c r="AJ390" s="5">
        <v>32</v>
      </c>
      <c r="AK390" s="5">
        <v>11</v>
      </c>
      <c r="AL390" s="6">
        <v>7</v>
      </c>
    </row>
    <row r="391" spans="1:38">
      <c r="A391" s="4">
        <v>2</v>
      </c>
      <c r="B391" s="5">
        <v>-3</v>
      </c>
      <c r="C391" s="5">
        <v>1</v>
      </c>
      <c r="D391" s="5">
        <v>11</v>
      </c>
      <c r="E391" s="5">
        <v>0</v>
      </c>
      <c r="F391" s="5">
        <v>-6</v>
      </c>
      <c r="G391" s="5">
        <v>-5</v>
      </c>
      <c r="H391" s="5">
        <v>7</v>
      </c>
      <c r="I391" s="5">
        <v>-4</v>
      </c>
      <c r="J391" s="5">
        <v>1</v>
      </c>
      <c r="K391" s="5">
        <v>10</v>
      </c>
      <c r="L391" s="5">
        <v>2</v>
      </c>
      <c r="M391" s="5">
        <v>-5</v>
      </c>
      <c r="N391" s="5">
        <v>-12</v>
      </c>
      <c r="O391" s="5">
        <v>-5</v>
      </c>
      <c r="P391" s="5">
        <v>4</v>
      </c>
      <c r="Q391" s="5">
        <v>-9</v>
      </c>
      <c r="R391" s="5">
        <v>-13</v>
      </c>
      <c r="S391" s="5">
        <v>-7</v>
      </c>
      <c r="T391" s="5">
        <v>11</v>
      </c>
      <c r="U391" s="5">
        <v>-24</v>
      </c>
      <c r="V391" s="5">
        <v>-27</v>
      </c>
      <c r="W391" s="5">
        <v>10</v>
      </c>
      <c r="X391" s="5">
        <v>4</v>
      </c>
      <c r="Y391" s="5">
        <v>22</v>
      </c>
      <c r="Z391" s="5">
        <v>25</v>
      </c>
      <c r="AA391" s="5">
        <v>-9</v>
      </c>
      <c r="AB391" s="5">
        <v>5</v>
      </c>
      <c r="AC391" s="5">
        <v>0</v>
      </c>
      <c r="AD391" s="5">
        <v>-7</v>
      </c>
      <c r="AE391" s="5">
        <v>3</v>
      </c>
      <c r="AF391" s="5">
        <v>6</v>
      </c>
      <c r="AG391" s="5">
        <v>-19</v>
      </c>
      <c r="AH391" s="5">
        <v>4</v>
      </c>
      <c r="AI391" s="5">
        <v>-1</v>
      </c>
      <c r="AJ391" s="5">
        <v>-8</v>
      </c>
      <c r="AK391" s="5">
        <v>-4</v>
      </c>
      <c r="AL391" s="6">
        <v>18</v>
      </c>
    </row>
    <row r="392" spans="1:38">
      <c r="A392" s="4">
        <v>-11</v>
      </c>
      <c r="B392" s="5">
        <v>10</v>
      </c>
      <c r="C392" s="5">
        <v>-5</v>
      </c>
      <c r="D392" s="5">
        <v>23</v>
      </c>
      <c r="E392" s="5">
        <v>-2</v>
      </c>
      <c r="F392" s="5">
        <v>-4</v>
      </c>
      <c r="G392" s="5">
        <v>-9</v>
      </c>
      <c r="H392" s="5">
        <v>2</v>
      </c>
      <c r="I392" s="5">
        <v>11</v>
      </c>
      <c r="J392" s="5">
        <v>6</v>
      </c>
      <c r="K392" s="5">
        <v>-26</v>
      </c>
      <c r="L392" s="5">
        <v>-12</v>
      </c>
      <c r="M392" s="5">
        <v>-8</v>
      </c>
      <c r="N392" s="5">
        <v>14</v>
      </c>
      <c r="O392" s="5">
        <v>1</v>
      </c>
      <c r="P392" s="5">
        <v>-4</v>
      </c>
      <c r="Q392" s="5">
        <v>-3</v>
      </c>
      <c r="R392" s="5">
        <v>22</v>
      </c>
      <c r="S392" s="5">
        <v>-7</v>
      </c>
      <c r="T392" s="5">
        <v>-5</v>
      </c>
      <c r="U392" s="5">
        <v>21</v>
      </c>
      <c r="V392" s="5">
        <v>-6</v>
      </c>
      <c r="W392" s="5">
        <v>-5</v>
      </c>
      <c r="X392" s="5">
        <v>-46</v>
      </c>
      <c r="Y392" s="5">
        <v>-7</v>
      </c>
      <c r="Z392" s="5">
        <v>-6</v>
      </c>
      <c r="AA392" s="5">
        <v>9</v>
      </c>
      <c r="AB392" s="5">
        <v>12</v>
      </c>
      <c r="AC392" s="5">
        <v>2</v>
      </c>
      <c r="AD392" s="5">
        <v>-2</v>
      </c>
      <c r="AE392" s="5">
        <v>10</v>
      </c>
      <c r="AF392" s="5">
        <v>-4</v>
      </c>
      <c r="AG392" s="5">
        <v>34</v>
      </c>
      <c r="AH392" s="5">
        <v>10</v>
      </c>
      <c r="AI392" s="5">
        <v>-8</v>
      </c>
      <c r="AJ392" s="5">
        <v>-8</v>
      </c>
      <c r="AK392" s="5">
        <v>-1</v>
      </c>
      <c r="AL392" s="6">
        <v>-9</v>
      </c>
    </row>
    <row r="393" spans="1:38">
      <c r="A393" s="4">
        <v>1</v>
      </c>
      <c r="B393" s="5">
        <v>20</v>
      </c>
      <c r="C393" s="5">
        <v>-33</v>
      </c>
      <c r="D393" s="5">
        <v>1</v>
      </c>
      <c r="E393" s="5">
        <v>-12</v>
      </c>
      <c r="F393" s="5">
        <v>-10</v>
      </c>
      <c r="G393" s="5">
        <v>19</v>
      </c>
      <c r="H393" s="5">
        <v>9</v>
      </c>
      <c r="I393" s="5">
        <v>2</v>
      </c>
      <c r="J393" s="5">
        <v>17</v>
      </c>
      <c r="K393" s="5">
        <v>25</v>
      </c>
      <c r="L393" s="5">
        <v>32</v>
      </c>
      <c r="M393" s="5">
        <v>8</v>
      </c>
      <c r="N393" s="5">
        <v>-16</v>
      </c>
      <c r="O393" s="5">
        <v>-5</v>
      </c>
      <c r="P393" s="5">
        <v>-31</v>
      </c>
      <c r="Q393" s="5">
        <v>38</v>
      </c>
      <c r="R393" s="5">
        <v>22</v>
      </c>
      <c r="S393" s="5">
        <v>-12</v>
      </c>
      <c r="T393" s="5">
        <v>5</v>
      </c>
      <c r="U393" s="5">
        <v>-28</v>
      </c>
      <c r="V393" s="5">
        <v>1</v>
      </c>
      <c r="W393" s="5">
        <v>5</v>
      </c>
      <c r="X393" s="5">
        <v>5</v>
      </c>
      <c r="Y393" s="5">
        <v>26</v>
      </c>
      <c r="Z393" s="5">
        <v>-4</v>
      </c>
      <c r="AA393" s="5">
        <v>21</v>
      </c>
      <c r="AB393" s="5">
        <v>11</v>
      </c>
      <c r="AC393" s="5">
        <v>-19</v>
      </c>
      <c r="AD393" s="5">
        <v>-6</v>
      </c>
      <c r="AE393" s="5">
        <v>-1</v>
      </c>
      <c r="AF393" s="5">
        <v>-37</v>
      </c>
      <c r="AG393" s="5">
        <v>36</v>
      </c>
      <c r="AH393" s="5">
        <v>26</v>
      </c>
      <c r="AI393" s="5">
        <v>3</v>
      </c>
      <c r="AJ393" s="5">
        <v>-8</v>
      </c>
      <c r="AK393" s="5">
        <v>-13</v>
      </c>
      <c r="AL393" s="6">
        <v>34</v>
      </c>
    </row>
    <row r="394" spans="1:38">
      <c r="A394" s="4">
        <v>-53</v>
      </c>
      <c r="B394" s="5">
        <v>26</v>
      </c>
      <c r="C394" s="5">
        <v>-2</v>
      </c>
      <c r="D394" s="5">
        <v>83</v>
      </c>
      <c r="E394" s="5">
        <v>-9</v>
      </c>
      <c r="F394" s="5">
        <v>15</v>
      </c>
      <c r="G394" s="5">
        <v>13</v>
      </c>
      <c r="H394" s="5">
        <v>-11</v>
      </c>
      <c r="I394" s="5">
        <v>5</v>
      </c>
      <c r="J394" s="5">
        <v>22</v>
      </c>
      <c r="K394" s="5">
        <v>-29</v>
      </c>
      <c r="L394" s="5">
        <v>-17</v>
      </c>
      <c r="M394" s="5">
        <v>-20</v>
      </c>
      <c r="N394" s="5">
        <v>13</v>
      </c>
      <c r="O394" s="5">
        <v>-2</v>
      </c>
      <c r="P394" s="5">
        <v>-3</v>
      </c>
      <c r="Q394" s="5">
        <v>-33</v>
      </c>
      <c r="R394" s="5">
        <v>9</v>
      </c>
      <c r="S394" s="5">
        <v>4</v>
      </c>
      <c r="T394" s="5">
        <v>-22</v>
      </c>
      <c r="U394" s="5">
        <v>-10</v>
      </c>
      <c r="V394" s="5">
        <v>25</v>
      </c>
      <c r="W394" s="5">
        <v>9</v>
      </c>
      <c r="X394" s="5">
        <v>4</v>
      </c>
      <c r="Y394" s="5">
        <v>-44</v>
      </c>
      <c r="Z394" s="5">
        <v>-23</v>
      </c>
      <c r="AA394" s="5">
        <v>0</v>
      </c>
      <c r="AB394" s="5">
        <v>20</v>
      </c>
      <c r="AC394" s="5">
        <v>-16</v>
      </c>
      <c r="AD394" s="5">
        <v>-27</v>
      </c>
      <c r="AE394" s="5">
        <v>11</v>
      </c>
      <c r="AF394" s="5">
        <v>-42</v>
      </c>
      <c r="AG394" s="5">
        <v>32</v>
      </c>
      <c r="AH394" s="5">
        <v>-31</v>
      </c>
      <c r="AI394" s="5">
        <v>-59</v>
      </c>
      <c r="AJ394" s="5">
        <v>18</v>
      </c>
      <c r="AK394" s="5">
        <v>6</v>
      </c>
      <c r="AL394" s="6">
        <v>-20</v>
      </c>
    </row>
    <row r="395" spans="1:38">
      <c r="A395" s="4">
        <v>-26</v>
      </c>
      <c r="B395" s="5">
        <v>34</v>
      </c>
      <c r="C395" s="5">
        <v>25</v>
      </c>
      <c r="D395" s="5">
        <v>32</v>
      </c>
      <c r="E395" s="5">
        <v>-9</v>
      </c>
      <c r="F395" s="5">
        <v>0</v>
      </c>
      <c r="G395" s="5">
        <v>26</v>
      </c>
      <c r="H395" s="5">
        <v>-15</v>
      </c>
      <c r="I395" s="5">
        <v>10</v>
      </c>
      <c r="J395" s="5">
        <v>27</v>
      </c>
      <c r="K395" s="5">
        <v>7</v>
      </c>
      <c r="L395" s="5">
        <v>-25</v>
      </c>
      <c r="M395" s="5">
        <v>23</v>
      </c>
      <c r="N395" s="5">
        <v>-47</v>
      </c>
      <c r="O395" s="5">
        <v>0</v>
      </c>
      <c r="P395" s="5">
        <v>-11</v>
      </c>
      <c r="Q395" s="5">
        <v>-45</v>
      </c>
      <c r="R395" s="5">
        <v>7</v>
      </c>
      <c r="S395" s="5">
        <v>22</v>
      </c>
      <c r="T395" s="5">
        <v>-24</v>
      </c>
      <c r="U395" s="5">
        <v>18</v>
      </c>
      <c r="V395" s="5">
        <v>10</v>
      </c>
      <c r="W395" s="5">
        <v>46</v>
      </c>
      <c r="X395" s="5">
        <v>-50</v>
      </c>
      <c r="Y395" s="5">
        <v>8</v>
      </c>
      <c r="Z395" s="5">
        <v>4</v>
      </c>
      <c r="AA395" s="5">
        <v>1</v>
      </c>
      <c r="AB395" s="5">
        <v>-23</v>
      </c>
      <c r="AC395" s="5">
        <v>8</v>
      </c>
      <c r="AD395" s="5">
        <v>9</v>
      </c>
      <c r="AE395" s="5">
        <v>40</v>
      </c>
      <c r="AF395" s="5">
        <v>4</v>
      </c>
      <c r="AG395" s="5">
        <v>9</v>
      </c>
      <c r="AH395" s="5">
        <v>19</v>
      </c>
      <c r="AI395" s="5">
        <v>-36</v>
      </c>
      <c r="AJ395" s="5">
        <v>6</v>
      </c>
      <c r="AK395" s="5">
        <v>-4</v>
      </c>
      <c r="AL395" s="6">
        <v>-7</v>
      </c>
    </row>
    <row r="396" spans="1:38">
      <c r="A396" s="4">
        <v>-10</v>
      </c>
      <c r="B396" s="5">
        <v>4</v>
      </c>
      <c r="C396" s="5">
        <v>-3</v>
      </c>
      <c r="D396" s="5">
        <v>15</v>
      </c>
      <c r="E396" s="5">
        <v>-9</v>
      </c>
      <c r="F396" s="5">
        <v>13</v>
      </c>
      <c r="G396" s="5">
        <v>10</v>
      </c>
      <c r="H396" s="5">
        <v>4</v>
      </c>
      <c r="I396" s="5">
        <v>-2</v>
      </c>
      <c r="J396" s="5">
        <v>23</v>
      </c>
      <c r="K396" s="5">
        <v>-16</v>
      </c>
      <c r="L396" s="5">
        <v>-16</v>
      </c>
      <c r="M396" s="5">
        <v>-23</v>
      </c>
      <c r="N396" s="5">
        <v>-10</v>
      </c>
      <c r="O396" s="5">
        <v>-1</v>
      </c>
      <c r="P396" s="5">
        <v>1</v>
      </c>
      <c r="Q396" s="5">
        <v>-19</v>
      </c>
      <c r="R396" s="5">
        <v>4</v>
      </c>
      <c r="S396" s="5">
        <v>-1</v>
      </c>
      <c r="T396" s="5">
        <v>1</v>
      </c>
      <c r="U396" s="5">
        <v>1</v>
      </c>
      <c r="V396" s="5">
        <v>-15</v>
      </c>
      <c r="W396" s="5">
        <v>-1</v>
      </c>
      <c r="X396" s="5">
        <v>5</v>
      </c>
      <c r="Y396" s="5">
        <v>9</v>
      </c>
      <c r="Z396" s="5">
        <v>12</v>
      </c>
      <c r="AA396" s="5">
        <v>27</v>
      </c>
      <c r="AB396" s="5">
        <v>6</v>
      </c>
      <c r="AC396" s="5">
        <v>10</v>
      </c>
      <c r="AD396" s="5">
        <v>-14</v>
      </c>
      <c r="AE396" s="5">
        <v>7</v>
      </c>
      <c r="AF396" s="5">
        <v>17</v>
      </c>
      <c r="AG396" s="5">
        <v>-6</v>
      </c>
      <c r="AH396" s="5">
        <v>-6</v>
      </c>
      <c r="AI396" s="5">
        <v>-2</v>
      </c>
      <c r="AJ396" s="5">
        <v>11</v>
      </c>
      <c r="AK396" s="5">
        <v>-5</v>
      </c>
      <c r="AL396" s="6">
        <v>-1</v>
      </c>
    </row>
    <row r="397" spans="1:38">
      <c r="A397" s="4">
        <v>-4</v>
      </c>
      <c r="B397" s="5">
        <v>35</v>
      </c>
      <c r="C397" s="5">
        <v>17</v>
      </c>
      <c r="D397" s="5">
        <v>6</v>
      </c>
      <c r="E397" s="5">
        <v>10</v>
      </c>
      <c r="F397" s="5">
        <v>0</v>
      </c>
      <c r="G397" s="5">
        <v>21</v>
      </c>
      <c r="H397" s="5">
        <v>-3</v>
      </c>
      <c r="I397" s="5">
        <v>20</v>
      </c>
      <c r="J397" s="5">
        <v>25</v>
      </c>
      <c r="K397" s="5">
        <v>-4</v>
      </c>
      <c r="L397" s="5">
        <v>-6</v>
      </c>
      <c r="M397" s="5">
        <v>-19</v>
      </c>
      <c r="N397" s="5">
        <v>-24</v>
      </c>
      <c r="O397" s="5">
        <v>-4</v>
      </c>
      <c r="P397" s="5">
        <v>-9</v>
      </c>
      <c r="Q397" s="5">
        <v>-23</v>
      </c>
      <c r="R397" s="5">
        <v>34</v>
      </c>
      <c r="S397" s="5">
        <v>2</v>
      </c>
      <c r="T397" s="5">
        <v>-23</v>
      </c>
      <c r="U397" s="5">
        <v>23</v>
      </c>
      <c r="V397" s="5">
        <v>1</v>
      </c>
      <c r="W397" s="5">
        <v>21</v>
      </c>
      <c r="X397" s="5">
        <v>-34</v>
      </c>
      <c r="Y397" s="5">
        <v>-3</v>
      </c>
      <c r="Z397" s="5">
        <v>8</v>
      </c>
      <c r="AA397" s="5">
        <v>5</v>
      </c>
      <c r="AB397" s="5">
        <v>-3</v>
      </c>
      <c r="AC397" s="5">
        <v>17</v>
      </c>
      <c r="AD397" s="5">
        <v>24</v>
      </c>
      <c r="AE397" s="5">
        <v>15</v>
      </c>
      <c r="AF397" s="5">
        <v>15</v>
      </c>
      <c r="AG397" s="5">
        <v>0</v>
      </c>
      <c r="AH397" s="5">
        <v>-4</v>
      </c>
      <c r="AI397" s="5">
        <v>2</v>
      </c>
      <c r="AJ397" s="5">
        <v>13</v>
      </c>
      <c r="AK397" s="5">
        <v>-18</v>
      </c>
      <c r="AL397" s="6">
        <v>-12</v>
      </c>
    </row>
    <row r="398" spans="1:38">
      <c r="A398" s="4">
        <v>-10</v>
      </c>
      <c r="B398" s="5">
        <v>10</v>
      </c>
      <c r="C398" s="5">
        <v>6</v>
      </c>
      <c r="D398" s="5">
        <v>16</v>
      </c>
      <c r="E398" s="5">
        <v>-1</v>
      </c>
      <c r="F398" s="5">
        <v>4</v>
      </c>
      <c r="G398" s="5">
        <v>-1</v>
      </c>
      <c r="H398" s="5">
        <v>3</v>
      </c>
      <c r="I398" s="5">
        <v>-4</v>
      </c>
      <c r="J398" s="5">
        <v>22</v>
      </c>
      <c r="K398" s="5">
        <v>-11</v>
      </c>
      <c r="L398" s="5">
        <v>-29</v>
      </c>
      <c r="M398" s="5">
        <v>-11</v>
      </c>
      <c r="N398" s="5">
        <v>-10</v>
      </c>
      <c r="O398" s="5">
        <v>5</v>
      </c>
      <c r="P398" s="5">
        <v>-1</v>
      </c>
      <c r="Q398" s="5">
        <v>-19</v>
      </c>
      <c r="R398" s="5">
        <v>15</v>
      </c>
      <c r="S398" s="5">
        <v>-7</v>
      </c>
      <c r="T398" s="5">
        <v>4</v>
      </c>
      <c r="U398" s="5">
        <v>-20</v>
      </c>
      <c r="V398" s="5">
        <v>-39</v>
      </c>
      <c r="W398" s="5">
        <v>11</v>
      </c>
      <c r="X398" s="5">
        <v>-15</v>
      </c>
      <c r="Y398" s="5">
        <v>17</v>
      </c>
      <c r="Z398" s="5">
        <v>-2</v>
      </c>
      <c r="AA398" s="5">
        <v>5</v>
      </c>
      <c r="AB398" s="5">
        <v>6</v>
      </c>
      <c r="AC398" s="5">
        <v>38</v>
      </c>
      <c r="AD398" s="5">
        <v>-1</v>
      </c>
      <c r="AE398" s="5">
        <v>18</v>
      </c>
      <c r="AF398" s="5">
        <v>-11</v>
      </c>
      <c r="AG398" s="5">
        <v>-17</v>
      </c>
      <c r="AH398" s="5">
        <v>0</v>
      </c>
      <c r="AI398" s="5">
        <v>2</v>
      </c>
      <c r="AJ398" s="5">
        <v>14</v>
      </c>
      <c r="AK398" s="5">
        <v>-4</v>
      </c>
      <c r="AL398" s="6">
        <v>-9</v>
      </c>
    </row>
    <row r="399" spans="1:38">
      <c r="A399" s="4">
        <v>37</v>
      </c>
      <c r="B399" s="5">
        <v>36</v>
      </c>
      <c r="C399" s="5">
        <v>5</v>
      </c>
      <c r="D399" s="5">
        <v>53</v>
      </c>
      <c r="E399" s="5">
        <v>-16</v>
      </c>
      <c r="F399" s="5">
        <v>-33</v>
      </c>
      <c r="G399" s="5">
        <v>-5</v>
      </c>
      <c r="H399" s="5">
        <v>17</v>
      </c>
      <c r="I399" s="5">
        <v>-10</v>
      </c>
      <c r="J399" s="5">
        <v>51</v>
      </c>
      <c r="K399" s="5">
        <v>1</v>
      </c>
      <c r="L399" s="5">
        <v>-30</v>
      </c>
      <c r="M399" s="5">
        <v>9</v>
      </c>
      <c r="N399" s="5">
        <v>33</v>
      </c>
      <c r="O399" s="5">
        <v>21</v>
      </c>
      <c r="P399" s="5">
        <v>-2</v>
      </c>
      <c r="Q399" s="5">
        <v>-5</v>
      </c>
      <c r="R399" s="5">
        <v>27</v>
      </c>
      <c r="S399" s="5">
        <v>-25</v>
      </c>
      <c r="T399" s="5">
        <v>-30</v>
      </c>
      <c r="U399" s="5">
        <v>6</v>
      </c>
      <c r="V399" s="5">
        <v>46</v>
      </c>
      <c r="W399" s="5">
        <v>8</v>
      </c>
      <c r="X399" s="5">
        <v>3</v>
      </c>
      <c r="Y399" s="5">
        <v>21</v>
      </c>
      <c r="Z399" s="5">
        <v>-5</v>
      </c>
      <c r="AA399" s="5">
        <v>-3</v>
      </c>
      <c r="AB399" s="5">
        <v>-20</v>
      </c>
      <c r="AC399" s="5">
        <v>-8</v>
      </c>
      <c r="AD399" s="5">
        <v>14</v>
      </c>
      <c r="AE399" s="5">
        <v>-32</v>
      </c>
      <c r="AF399" s="5">
        <v>13</v>
      </c>
      <c r="AG399" s="5">
        <v>-5</v>
      </c>
      <c r="AH399" s="5">
        <v>-8</v>
      </c>
      <c r="AI399" s="5">
        <v>-14</v>
      </c>
      <c r="AJ399" s="5">
        <v>5</v>
      </c>
      <c r="AK399" s="5">
        <v>-7</v>
      </c>
      <c r="AL399" s="6">
        <v>11</v>
      </c>
    </row>
    <row r="400" spans="1:38">
      <c r="A400" s="4">
        <v>-24</v>
      </c>
      <c r="B400" s="5">
        <v>36</v>
      </c>
      <c r="C400" s="5">
        <v>36</v>
      </c>
      <c r="D400" s="5">
        <v>18</v>
      </c>
      <c r="E400" s="5">
        <v>2</v>
      </c>
      <c r="F400" s="5">
        <v>3</v>
      </c>
      <c r="G400" s="5">
        <v>23</v>
      </c>
      <c r="H400" s="5">
        <v>-10</v>
      </c>
      <c r="I400" s="5">
        <v>7</v>
      </c>
      <c r="J400" s="5">
        <v>30</v>
      </c>
      <c r="K400" s="5">
        <v>-3</v>
      </c>
      <c r="L400" s="5">
        <v>-41</v>
      </c>
      <c r="M400" s="5">
        <v>47</v>
      </c>
      <c r="N400" s="5">
        <v>-45</v>
      </c>
      <c r="O400" s="5">
        <v>-15</v>
      </c>
      <c r="P400" s="5">
        <v>-14</v>
      </c>
      <c r="Q400" s="5">
        <v>-35</v>
      </c>
      <c r="R400" s="5">
        <v>7</v>
      </c>
      <c r="S400" s="5">
        <v>20</v>
      </c>
      <c r="T400" s="5">
        <v>-28</v>
      </c>
      <c r="U400" s="5">
        <v>39</v>
      </c>
      <c r="V400" s="5">
        <v>17</v>
      </c>
      <c r="W400" s="5">
        <v>53</v>
      </c>
      <c r="X400" s="5">
        <v>-59</v>
      </c>
      <c r="Y400" s="5">
        <v>4</v>
      </c>
      <c r="Z400" s="5">
        <v>12</v>
      </c>
      <c r="AA400" s="5">
        <v>2</v>
      </c>
      <c r="AB400" s="5">
        <v>-11</v>
      </c>
      <c r="AC400" s="5">
        <v>-5</v>
      </c>
      <c r="AD400" s="5">
        <v>25</v>
      </c>
      <c r="AE400" s="5">
        <v>49</v>
      </c>
      <c r="AF400" s="5">
        <v>-6</v>
      </c>
      <c r="AG400" s="5">
        <v>-3</v>
      </c>
      <c r="AH400" s="5">
        <v>28</v>
      </c>
      <c r="AI400" s="5">
        <v>-34</v>
      </c>
      <c r="AJ400" s="5">
        <v>-10</v>
      </c>
      <c r="AK400" s="5">
        <v>14</v>
      </c>
      <c r="AL400" s="6">
        <v>8</v>
      </c>
    </row>
    <row r="401" spans="1:38">
      <c r="A401" s="4">
        <v>-11</v>
      </c>
      <c r="B401" s="5">
        <v>40</v>
      </c>
      <c r="C401" s="5">
        <v>-1</v>
      </c>
      <c r="D401" s="5">
        <v>73</v>
      </c>
      <c r="E401" s="5">
        <v>-9</v>
      </c>
      <c r="F401" s="5">
        <v>5</v>
      </c>
      <c r="G401" s="5">
        <v>17</v>
      </c>
      <c r="H401" s="5">
        <v>-4</v>
      </c>
      <c r="I401" s="5">
        <v>-14</v>
      </c>
      <c r="J401" s="5">
        <v>60</v>
      </c>
      <c r="K401" s="5">
        <v>-23</v>
      </c>
      <c r="L401" s="5">
        <v>-8</v>
      </c>
      <c r="M401" s="5">
        <v>-13</v>
      </c>
      <c r="N401" s="5">
        <v>-17</v>
      </c>
      <c r="O401" s="5">
        <v>38</v>
      </c>
      <c r="P401" s="5">
        <v>8</v>
      </c>
      <c r="Q401" s="5">
        <v>1</v>
      </c>
      <c r="R401" s="5">
        <v>46</v>
      </c>
      <c r="S401" s="5">
        <v>-20</v>
      </c>
      <c r="T401" s="5">
        <v>-14</v>
      </c>
      <c r="U401" s="5">
        <v>2</v>
      </c>
      <c r="V401" s="5">
        <v>-27</v>
      </c>
      <c r="W401" s="5">
        <v>-26</v>
      </c>
      <c r="X401" s="5">
        <v>-3</v>
      </c>
      <c r="Y401" s="5">
        <v>7</v>
      </c>
      <c r="Z401" s="5">
        <v>14</v>
      </c>
      <c r="AA401" s="5">
        <v>-5</v>
      </c>
      <c r="AB401" s="5">
        <v>1</v>
      </c>
      <c r="AC401" s="5">
        <v>-2</v>
      </c>
      <c r="AD401" s="5">
        <v>-23</v>
      </c>
      <c r="AE401" s="5">
        <v>-27</v>
      </c>
      <c r="AF401" s="5">
        <v>-16</v>
      </c>
      <c r="AG401" s="5">
        <v>-25</v>
      </c>
      <c r="AH401" s="5">
        <v>-19</v>
      </c>
      <c r="AI401" s="5">
        <v>5</v>
      </c>
      <c r="AJ401" s="5">
        <v>17</v>
      </c>
      <c r="AK401" s="5">
        <v>-12</v>
      </c>
      <c r="AL401" s="6">
        <v>-13</v>
      </c>
    </row>
    <row r="402" spans="1:38">
      <c r="A402" s="4">
        <v>-7</v>
      </c>
      <c r="B402" s="5">
        <v>16</v>
      </c>
      <c r="C402" s="5">
        <v>3</v>
      </c>
      <c r="D402" s="5">
        <v>44</v>
      </c>
      <c r="E402" s="5">
        <v>-23</v>
      </c>
      <c r="F402" s="5">
        <v>8</v>
      </c>
      <c r="G402" s="5">
        <v>24</v>
      </c>
      <c r="H402" s="5">
        <v>6</v>
      </c>
      <c r="I402" s="5">
        <v>3</v>
      </c>
      <c r="J402" s="5">
        <v>33</v>
      </c>
      <c r="K402" s="5">
        <v>-8</v>
      </c>
      <c r="L402" s="5">
        <v>1</v>
      </c>
      <c r="M402" s="5">
        <v>-10</v>
      </c>
      <c r="N402" s="5">
        <v>-13</v>
      </c>
      <c r="O402" s="5">
        <v>34</v>
      </c>
      <c r="P402" s="5">
        <v>13</v>
      </c>
      <c r="Q402" s="5">
        <v>2</v>
      </c>
      <c r="R402" s="5">
        <v>33</v>
      </c>
      <c r="S402" s="5">
        <v>-5</v>
      </c>
      <c r="T402" s="5">
        <v>-15</v>
      </c>
      <c r="U402" s="5">
        <v>8</v>
      </c>
      <c r="V402" s="5">
        <v>-33</v>
      </c>
      <c r="W402" s="5">
        <v>-23</v>
      </c>
      <c r="X402" s="5">
        <v>-15</v>
      </c>
      <c r="Y402" s="5">
        <v>32</v>
      </c>
      <c r="Z402" s="5">
        <v>9</v>
      </c>
      <c r="AA402" s="5">
        <v>6</v>
      </c>
      <c r="AB402" s="5">
        <v>4</v>
      </c>
      <c r="AC402" s="5">
        <v>16</v>
      </c>
      <c r="AD402" s="5">
        <v>-29</v>
      </c>
      <c r="AE402" s="5">
        <v>-14</v>
      </c>
      <c r="AF402" s="5">
        <v>-20</v>
      </c>
      <c r="AG402" s="5">
        <v>-33</v>
      </c>
      <c r="AH402" s="5">
        <v>-1</v>
      </c>
      <c r="AI402" s="5">
        <v>7</v>
      </c>
      <c r="AJ402" s="5">
        <v>22</v>
      </c>
      <c r="AK402" s="5">
        <v>-33</v>
      </c>
      <c r="AL402" s="6">
        <v>-14</v>
      </c>
    </row>
    <row r="403" spans="1:38">
      <c r="A403" s="4">
        <v>-25</v>
      </c>
      <c r="B403" s="5">
        <v>21</v>
      </c>
      <c r="C403" s="5">
        <v>25</v>
      </c>
      <c r="D403" s="5">
        <v>30</v>
      </c>
      <c r="E403" s="5">
        <v>-19</v>
      </c>
      <c r="F403" s="5">
        <v>2</v>
      </c>
      <c r="G403" s="5">
        <v>9</v>
      </c>
      <c r="H403" s="5">
        <v>12</v>
      </c>
      <c r="I403" s="5">
        <v>-7</v>
      </c>
      <c r="J403" s="5">
        <v>16</v>
      </c>
      <c r="K403" s="5">
        <v>21</v>
      </c>
      <c r="L403" s="5">
        <v>-11</v>
      </c>
      <c r="M403" s="5">
        <v>42</v>
      </c>
      <c r="N403" s="5">
        <v>-20</v>
      </c>
      <c r="O403" s="5">
        <v>9</v>
      </c>
      <c r="P403" s="5">
        <v>-2</v>
      </c>
      <c r="Q403" s="5">
        <v>-23</v>
      </c>
      <c r="R403" s="5">
        <v>-9</v>
      </c>
      <c r="S403" s="5">
        <v>-11</v>
      </c>
      <c r="T403" s="5">
        <v>-14</v>
      </c>
      <c r="U403" s="5">
        <v>24</v>
      </c>
      <c r="V403" s="5">
        <v>-4</v>
      </c>
      <c r="W403" s="5">
        <v>-7</v>
      </c>
      <c r="X403" s="5">
        <v>-26</v>
      </c>
      <c r="Y403" s="5">
        <v>-1</v>
      </c>
      <c r="Z403" s="5">
        <v>13</v>
      </c>
      <c r="AA403" s="5">
        <v>6</v>
      </c>
      <c r="AB403" s="5">
        <v>-19</v>
      </c>
      <c r="AC403" s="5">
        <v>-30</v>
      </c>
      <c r="AD403" s="5">
        <v>-11</v>
      </c>
      <c r="AE403" s="5">
        <v>-10</v>
      </c>
      <c r="AF403" s="5">
        <v>8</v>
      </c>
      <c r="AG403" s="5">
        <v>-11</v>
      </c>
      <c r="AH403" s="5">
        <v>12</v>
      </c>
      <c r="AI403" s="5">
        <v>-18</v>
      </c>
      <c r="AJ403" s="5">
        <v>10</v>
      </c>
      <c r="AK403" s="5">
        <v>-2</v>
      </c>
      <c r="AL403" s="6">
        <v>10</v>
      </c>
    </row>
    <row r="404" spans="1:38">
      <c r="A404" s="4">
        <v>-8</v>
      </c>
      <c r="B404" s="5">
        <v>5</v>
      </c>
      <c r="C404" s="5">
        <v>4</v>
      </c>
      <c r="D404" s="5">
        <v>31</v>
      </c>
      <c r="E404" s="5">
        <v>5</v>
      </c>
      <c r="F404" s="5">
        <v>-14</v>
      </c>
      <c r="G404" s="5">
        <v>13</v>
      </c>
      <c r="H404" s="5">
        <v>-1</v>
      </c>
      <c r="I404" s="5">
        <v>-30</v>
      </c>
      <c r="J404" s="5">
        <v>3</v>
      </c>
      <c r="K404" s="5">
        <v>9</v>
      </c>
      <c r="L404" s="5">
        <v>1</v>
      </c>
      <c r="M404" s="5">
        <v>12</v>
      </c>
      <c r="N404" s="5">
        <v>-2</v>
      </c>
      <c r="O404" s="5">
        <v>4</v>
      </c>
      <c r="P404" s="5">
        <v>20</v>
      </c>
      <c r="Q404" s="5">
        <v>0</v>
      </c>
      <c r="R404" s="5">
        <v>0</v>
      </c>
      <c r="S404" s="5">
        <v>4</v>
      </c>
      <c r="T404" s="5">
        <v>7</v>
      </c>
      <c r="U404" s="5">
        <v>4</v>
      </c>
      <c r="V404" s="5">
        <v>-5</v>
      </c>
      <c r="W404" s="5">
        <v>12</v>
      </c>
      <c r="X404" s="5">
        <v>9</v>
      </c>
      <c r="Y404" s="5">
        <v>-8</v>
      </c>
      <c r="Z404" s="5">
        <v>18</v>
      </c>
      <c r="AA404" s="5">
        <v>3</v>
      </c>
      <c r="AB404" s="5">
        <v>10</v>
      </c>
      <c r="AC404" s="5">
        <v>-30</v>
      </c>
      <c r="AD404" s="5">
        <v>7</v>
      </c>
      <c r="AE404" s="5">
        <v>-31</v>
      </c>
      <c r="AF404" s="5">
        <v>17</v>
      </c>
      <c r="AG404" s="5">
        <v>-25</v>
      </c>
      <c r="AH404" s="5">
        <v>19</v>
      </c>
      <c r="AI404" s="5">
        <v>-2</v>
      </c>
      <c r="AJ404" s="5">
        <v>23</v>
      </c>
      <c r="AK404" s="5">
        <v>-3</v>
      </c>
      <c r="AL404" s="6">
        <v>31</v>
      </c>
    </row>
    <row r="405" spans="1:38">
      <c r="A405" s="4">
        <v>-6</v>
      </c>
      <c r="B405" s="5">
        <v>19</v>
      </c>
      <c r="C405" s="5">
        <v>6</v>
      </c>
      <c r="D405" s="5">
        <v>10</v>
      </c>
      <c r="E405" s="5">
        <v>-5</v>
      </c>
      <c r="F405" s="5">
        <v>-9</v>
      </c>
      <c r="G405" s="5">
        <v>2</v>
      </c>
      <c r="H405" s="5">
        <v>3</v>
      </c>
      <c r="I405" s="5">
        <v>14</v>
      </c>
      <c r="J405" s="5">
        <v>1</v>
      </c>
      <c r="K405" s="5">
        <v>7</v>
      </c>
      <c r="L405" s="5">
        <v>-10</v>
      </c>
      <c r="M405" s="5">
        <v>28</v>
      </c>
      <c r="N405" s="5">
        <v>-16</v>
      </c>
      <c r="O405" s="5">
        <v>7</v>
      </c>
      <c r="P405" s="5">
        <v>-10</v>
      </c>
      <c r="Q405" s="5">
        <v>-9</v>
      </c>
      <c r="R405" s="5">
        <v>1</v>
      </c>
      <c r="S405" s="5">
        <v>-5</v>
      </c>
      <c r="T405" s="5">
        <v>-6</v>
      </c>
      <c r="U405" s="5">
        <v>17</v>
      </c>
      <c r="V405" s="5">
        <v>-15</v>
      </c>
      <c r="W405" s="5">
        <v>-5</v>
      </c>
      <c r="X405" s="5">
        <v>-3</v>
      </c>
      <c r="Y405" s="5">
        <v>0</v>
      </c>
      <c r="Z405" s="5">
        <v>0</v>
      </c>
      <c r="AA405" s="5">
        <v>3</v>
      </c>
      <c r="AB405" s="5">
        <v>-19</v>
      </c>
      <c r="AC405" s="5">
        <v>-3</v>
      </c>
      <c r="AD405" s="5">
        <v>3</v>
      </c>
      <c r="AE405" s="5">
        <v>-12</v>
      </c>
      <c r="AF405" s="5">
        <v>12</v>
      </c>
      <c r="AG405" s="5">
        <v>-6</v>
      </c>
      <c r="AH405" s="5">
        <v>18</v>
      </c>
      <c r="AI405" s="5">
        <v>3</v>
      </c>
      <c r="AJ405" s="5">
        <v>3</v>
      </c>
      <c r="AK405" s="5">
        <v>-10</v>
      </c>
      <c r="AL405" s="6">
        <v>-1</v>
      </c>
    </row>
    <row r="406" spans="1:38">
      <c r="A406" s="4">
        <v>-8</v>
      </c>
      <c r="B406" s="5">
        <v>25</v>
      </c>
      <c r="C406" s="5">
        <v>8</v>
      </c>
      <c r="D406" s="5">
        <v>-19</v>
      </c>
      <c r="E406" s="5">
        <v>-1</v>
      </c>
      <c r="F406" s="5">
        <v>3</v>
      </c>
      <c r="G406" s="5">
        <v>-3</v>
      </c>
      <c r="H406" s="5">
        <v>-27</v>
      </c>
      <c r="I406" s="5">
        <v>3</v>
      </c>
      <c r="J406" s="5">
        <v>-4</v>
      </c>
      <c r="K406" s="5">
        <v>-5</v>
      </c>
      <c r="L406" s="5">
        <v>-21</v>
      </c>
      <c r="M406" s="5">
        <v>26</v>
      </c>
      <c r="N406" s="5">
        <v>-8</v>
      </c>
      <c r="O406" s="5">
        <v>11</v>
      </c>
      <c r="P406" s="5">
        <v>-43</v>
      </c>
      <c r="Q406" s="5">
        <v>-21</v>
      </c>
      <c r="R406" s="5">
        <v>8</v>
      </c>
      <c r="S406" s="5">
        <v>36</v>
      </c>
      <c r="T406" s="5">
        <v>6</v>
      </c>
      <c r="U406" s="5">
        <v>-19</v>
      </c>
      <c r="V406" s="5">
        <v>15</v>
      </c>
      <c r="W406" s="5">
        <v>-12</v>
      </c>
      <c r="X406" s="5">
        <v>-24</v>
      </c>
      <c r="Y406" s="5">
        <v>17</v>
      </c>
      <c r="Z406" s="5">
        <v>-6</v>
      </c>
      <c r="AA406" s="5">
        <v>-11</v>
      </c>
      <c r="AB406" s="5">
        <v>-9</v>
      </c>
      <c r="AC406" s="5">
        <v>0</v>
      </c>
      <c r="AD406" s="5">
        <v>33</v>
      </c>
      <c r="AE406" s="5">
        <v>17</v>
      </c>
      <c r="AF406" s="5">
        <v>8</v>
      </c>
      <c r="AG406" s="5">
        <v>15</v>
      </c>
      <c r="AH406" s="5">
        <v>-46</v>
      </c>
      <c r="AI406" s="5">
        <v>23</v>
      </c>
      <c r="AJ406" s="5">
        <v>1</v>
      </c>
      <c r="AK406" s="5">
        <v>-8</v>
      </c>
      <c r="AL406" s="6">
        <v>15</v>
      </c>
    </row>
    <row r="407" spans="1:38">
      <c r="A407" s="4">
        <v>-7</v>
      </c>
      <c r="B407" s="5">
        <v>20</v>
      </c>
      <c r="C407" s="5">
        <v>15</v>
      </c>
      <c r="D407" s="5">
        <v>-9</v>
      </c>
      <c r="E407" s="5">
        <v>2</v>
      </c>
      <c r="F407" s="5">
        <v>10</v>
      </c>
      <c r="G407" s="5">
        <v>-15</v>
      </c>
      <c r="H407" s="5">
        <v>-10</v>
      </c>
      <c r="I407" s="5">
        <v>2</v>
      </c>
      <c r="J407" s="5">
        <v>18</v>
      </c>
      <c r="K407" s="5">
        <v>5</v>
      </c>
      <c r="L407" s="5">
        <v>-22</v>
      </c>
      <c r="M407" s="5">
        <v>34</v>
      </c>
      <c r="N407" s="5">
        <v>-2</v>
      </c>
      <c r="O407" s="5">
        <v>-1</v>
      </c>
      <c r="P407" s="5">
        <v>9</v>
      </c>
      <c r="Q407" s="5">
        <v>-24</v>
      </c>
      <c r="R407" s="5">
        <v>3</v>
      </c>
      <c r="S407" s="5">
        <v>33</v>
      </c>
      <c r="T407" s="5">
        <v>-12</v>
      </c>
      <c r="U407" s="5">
        <v>-32</v>
      </c>
      <c r="V407" s="5">
        <v>-1</v>
      </c>
      <c r="W407" s="5">
        <v>-31</v>
      </c>
      <c r="X407" s="5">
        <v>-3</v>
      </c>
      <c r="Y407" s="5">
        <v>2</v>
      </c>
      <c r="Z407" s="5">
        <v>2</v>
      </c>
      <c r="AA407" s="5">
        <v>-12</v>
      </c>
      <c r="AB407" s="5">
        <v>-37</v>
      </c>
      <c r="AC407" s="5">
        <v>-9</v>
      </c>
      <c r="AD407" s="5">
        <v>34</v>
      </c>
      <c r="AE407" s="5">
        <v>-16</v>
      </c>
      <c r="AF407" s="5">
        <v>5</v>
      </c>
      <c r="AG407" s="5">
        <v>12</v>
      </c>
      <c r="AH407" s="5">
        <v>6</v>
      </c>
      <c r="AI407" s="5">
        <v>2</v>
      </c>
      <c r="AJ407" s="5">
        <v>1</v>
      </c>
      <c r="AK407" s="5">
        <v>27</v>
      </c>
      <c r="AL407" s="6">
        <v>9</v>
      </c>
    </row>
    <row r="408" spans="1:38">
      <c r="A408" s="4">
        <v>-14</v>
      </c>
      <c r="B408" s="5">
        <v>6</v>
      </c>
      <c r="C408" s="5">
        <v>-29</v>
      </c>
      <c r="D408" s="5">
        <v>-24</v>
      </c>
      <c r="E408" s="5">
        <v>17</v>
      </c>
      <c r="F408" s="5">
        <v>20</v>
      </c>
      <c r="G408" s="5">
        <v>6</v>
      </c>
      <c r="H408" s="5">
        <v>-42</v>
      </c>
      <c r="I408" s="5">
        <v>14</v>
      </c>
      <c r="J408" s="5">
        <v>-3</v>
      </c>
      <c r="K408" s="5">
        <v>-24</v>
      </c>
      <c r="L408" s="5">
        <v>-25</v>
      </c>
      <c r="M408" s="5">
        <v>15</v>
      </c>
      <c r="N408" s="5">
        <v>11</v>
      </c>
      <c r="O408" s="5">
        <v>-11</v>
      </c>
      <c r="P408" s="5">
        <v>18</v>
      </c>
      <c r="Q408" s="5">
        <v>-1</v>
      </c>
      <c r="R408" s="5">
        <v>-15</v>
      </c>
      <c r="S408" s="5">
        <v>8</v>
      </c>
      <c r="T408" s="5">
        <v>-5</v>
      </c>
      <c r="U408" s="5">
        <v>8</v>
      </c>
      <c r="V408" s="5">
        <v>16</v>
      </c>
      <c r="W408" s="5">
        <v>-3</v>
      </c>
      <c r="X408" s="5">
        <v>39</v>
      </c>
      <c r="Y408" s="5">
        <v>-1</v>
      </c>
      <c r="Z408" s="5">
        <v>5</v>
      </c>
      <c r="AA408" s="5">
        <v>1</v>
      </c>
      <c r="AB408" s="5">
        <v>-23</v>
      </c>
      <c r="AC408" s="5">
        <v>-7</v>
      </c>
      <c r="AD408" s="5">
        <v>1</v>
      </c>
      <c r="AE408" s="5">
        <v>-5</v>
      </c>
      <c r="AF408" s="5">
        <v>43</v>
      </c>
      <c r="AG408" s="5">
        <v>13</v>
      </c>
      <c r="AH408" s="5">
        <v>4</v>
      </c>
      <c r="AI408" s="5">
        <v>-1</v>
      </c>
      <c r="AJ408" s="5">
        <v>20</v>
      </c>
      <c r="AK408" s="5">
        <v>4</v>
      </c>
      <c r="AL408" s="6">
        <v>13</v>
      </c>
    </row>
    <row r="409" spans="1:38">
      <c r="A409" s="4">
        <v>-11</v>
      </c>
      <c r="B409" s="5">
        <v>17</v>
      </c>
      <c r="C409" s="5">
        <v>0</v>
      </c>
      <c r="D409" s="5">
        <v>-16</v>
      </c>
      <c r="E409" s="5">
        <v>6</v>
      </c>
      <c r="F409" s="5">
        <v>8</v>
      </c>
      <c r="G409" s="5">
        <v>-17</v>
      </c>
      <c r="H409" s="5">
        <v>-16</v>
      </c>
      <c r="I409" s="5">
        <v>2</v>
      </c>
      <c r="J409" s="5">
        <v>1</v>
      </c>
      <c r="K409" s="5">
        <v>-14</v>
      </c>
      <c r="L409" s="5">
        <v>-25</v>
      </c>
      <c r="M409" s="5">
        <v>24</v>
      </c>
      <c r="N409" s="5">
        <v>-12</v>
      </c>
      <c r="O409" s="5">
        <v>4</v>
      </c>
      <c r="P409" s="5">
        <v>18</v>
      </c>
      <c r="Q409" s="5">
        <v>-6</v>
      </c>
      <c r="R409" s="5">
        <v>-8</v>
      </c>
      <c r="S409" s="5">
        <v>18</v>
      </c>
      <c r="T409" s="5">
        <v>12</v>
      </c>
      <c r="U409" s="5">
        <v>-12</v>
      </c>
      <c r="V409" s="5">
        <v>26</v>
      </c>
      <c r="W409" s="5">
        <v>1</v>
      </c>
      <c r="X409" s="5">
        <v>25</v>
      </c>
      <c r="Y409" s="5">
        <v>5</v>
      </c>
      <c r="Z409" s="5">
        <v>13</v>
      </c>
      <c r="AA409" s="5">
        <v>-4</v>
      </c>
      <c r="AB409" s="5">
        <v>-12</v>
      </c>
      <c r="AC409" s="5">
        <v>-4</v>
      </c>
      <c r="AD409" s="5">
        <v>12</v>
      </c>
      <c r="AE409" s="5">
        <v>-13</v>
      </c>
      <c r="AF409" s="5">
        <v>3</v>
      </c>
      <c r="AG409" s="5">
        <v>21</v>
      </c>
      <c r="AH409" s="5">
        <v>13</v>
      </c>
      <c r="AI409" s="5">
        <v>-13</v>
      </c>
      <c r="AJ409" s="5">
        <v>-3</v>
      </c>
      <c r="AK409" s="5">
        <v>2</v>
      </c>
      <c r="AL409" s="6">
        <v>-6</v>
      </c>
    </row>
    <row r="410" spans="1:38">
      <c r="A410" s="4">
        <v>-9</v>
      </c>
      <c r="B410" s="5">
        <v>5</v>
      </c>
      <c r="C410" s="5">
        <v>9</v>
      </c>
      <c r="D410" s="5">
        <v>-17</v>
      </c>
      <c r="E410" s="5">
        <v>-5</v>
      </c>
      <c r="F410" s="5">
        <v>11</v>
      </c>
      <c r="G410" s="5">
        <v>-13</v>
      </c>
      <c r="H410" s="5">
        <v>-8</v>
      </c>
      <c r="I410" s="5">
        <v>-4</v>
      </c>
      <c r="J410" s="5">
        <v>20</v>
      </c>
      <c r="K410" s="5">
        <v>4</v>
      </c>
      <c r="L410" s="5">
        <v>-1</v>
      </c>
      <c r="M410" s="5">
        <v>26</v>
      </c>
      <c r="N410" s="5">
        <v>-1</v>
      </c>
      <c r="O410" s="5">
        <v>15</v>
      </c>
      <c r="P410" s="5">
        <v>2</v>
      </c>
      <c r="Q410" s="5">
        <v>9</v>
      </c>
      <c r="R410" s="5">
        <v>6</v>
      </c>
      <c r="S410" s="5">
        <v>19</v>
      </c>
      <c r="T410" s="5">
        <v>4</v>
      </c>
      <c r="U410" s="5">
        <v>-13</v>
      </c>
      <c r="V410" s="5">
        <v>-4</v>
      </c>
      <c r="W410" s="5">
        <v>4</v>
      </c>
      <c r="X410" s="5">
        <v>-4</v>
      </c>
      <c r="Y410" s="5">
        <v>13</v>
      </c>
      <c r="Z410" s="5">
        <v>4</v>
      </c>
      <c r="AA410" s="5">
        <v>-4</v>
      </c>
      <c r="AB410" s="5">
        <v>-11</v>
      </c>
      <c r="AC410" s="5">
        <v>13</v>
      </c>
      <c r="AD410" s="5">
        <v>7</v>
      </c>
      <c r="AE410" s="5">
        <v>-9</v>
      </c>
      <c r="AF410" s="5">
        <v>-15</v>
      </c>
      <c r="AG410" s="5">
        <v>10</v>
      </c>
      <c r="AH410" s="5">
        <v>4</v>
      </c>
      <c r="AI410" s="5">
        <v>14</v>
      </c>
      <c r="AJ410" s="5">
        <v>-1</v>
      </c>
      <c r="AK410" s="5">
        <v>-4</v>
      </c>
      <c r="AL410" s="6">
        <v>-3</v>
      </c>
    </row>
    <row r="411" spans="1:38">
      <c r="A411" s="4">
        <v>-10</v>
      </c>
      <c r="B411" s="5">
        <v>-2</v>
      </c>
      <c r="C411" s="5">
        <v>13</v>
      </c>
      <c r="D411" s="5">
        <v>5</v>
      </c>
      <c r="E411" s="5">
        <v>6</v>
      </c>
      <c r="F411" s="5">
        <v>3</v>
      </c>
      <c r="G411" s="5">
        <v>2</v>
      </c>
      <c r="H411" s="5">
        <v>-4</v>
      </c>
      <c r="I411" s="5">
        <v>-2</v>
      </c>
      <c r="J411" s="5">
        <v>-6</v>
      </c>
      <c r="K411" s="5">
        <v>-7</v>
      </c>
      <c r="L411" s="5">
        <v>-5</v>
      </c>
      <c r="M411" s="5">
        <v>12</v>
      </c>
      <c r="N411" s="5">
        <v>7</v>
      </c>
      <c r="O411" s="5">
        <v>4</v>
      </c>
      <c r="P411" s="5">
        <v>9</v>
      </c>
      <c r="Q411" s="5">
        <v>8</v>
      </c>
      <c r="R411" s="5">
        <v>-6</v>
      </c>
      <c r="S411" s="5">
        <v>17</v>
      </c>
      <c r="T411" s="5">
        <v>6</v>
      </c>
      <c r="U411" s="5">
        <v>-11</v>
      </c>
      <c r="V411" s="5">
        <v>10</v>
      </c>
      <c r="W411" s="5">
        <v>5</v>
      </c>
      <c r="X411" s="5">
        <v>18</v>
      </c>
      <c r="Y411" s="5">
        <v>-3</v>
      </c>
      <c r="Z411" s="5">
        <v>-6</v>
      </c>
      <c r="AA411" s="5">
        <v>5</v>
      </c>
      <c r="AB411" s="5">
        <v>-2</v>
      </c>
      <c r="AC411" s="5">
        <v>22</v>
      </c>
      <c r="AD411" s="5">
        <v>8</v>
      </c>
      <c r="AE411" s="5">
        <v>-3</v>
      </c>
      <c r="AF411" s="5">
        <v>-9</v>
      </c>
      <c r="AG411" s="5">
        <v>12</v>
      </c>
      <c r="AH411" s="5">
        <v>20</v>
      </c>
      <c r="AI411" s="5">
        <v>15</v>
      </c>
      <c r="AJ411" s="5">
        <v>-10</v>
      </c>
      <c r="AK411" s="5">
        <v>-10</v>
      </c>
      <c r="AL411" s="6">
        <v>5</v>
      </c>
    </row>
    <row r="412" spans="1:38">
      <c r="A412" s="4">
        <v>-17</v>
      </c>
      <c r="B412" s="5">
        <v>-12</v>
      </c>
      <c r="C412" s="5">
        <v>15</v>
      </c>
      <c r="D412" s="5">
        <v>-4</v>
      </c>
      <c r="E412" s="5">
        <v>-1</v>
      </c>
      <c r="F412" s="5">
        <v>3</v>
      </c>
      <c r="G412" s="5">
        <v>-6</v>
      </c>
      <c r="H412" s="5">
        <v>5</v>
      </c>
      <c r="I412" s="5">
        <v>-19</v>
      </c>
      <c r="J412" s="5">
        <v>2</v>
      </c>
      <c r="K412" s="5">
        <v>14</v>
      </c>
      <c r="L412" s="5">
        <v>13</v>
      </c>
      <c r="M412" s="5">
        <v>30</v>
      </c>
      <c r="N412" s="5">
        <v>21</v>
      </c>
      <c r="O412" s="5">
        <v>11</v>
      </c>
      <c r="P412" s="5">
        <v>-7</v>
      </c>
      <c r="Q412" s="5">
        <v>12</v>
      </c>
      <c r="R412" s="5">
        <v>-15</v>
      </c>
      <c r="S412" s="5">
        <v>9</v>
      </c>
      <c r="T412" s="5">
        <v>-3</v>
      </c>
      <c r="U412" s="5">
        <v>7</v>
      </c>
      <c r="V412" s="5">
        <v>3</v>
      </c>
      <c r="W412" s="5">
        <v>-9</v>
      </c>
      <c r="X412" s="5">
        <v>-2</v>
      </c>
      <c r="Y412" s="5">
        <v>2</v>
      </c>
      <c r="Z412" s="5">
        <v>37</v>
      </c>
      <c r="AA412" s="5">
        <v>16</v>
      </c>
      <c r="AB412" s="5">
        <v>-13</v>
      </c>
      <c r="AC412" s="5">
        <v>25</v>
      </c>
      <c r="AD412" s="5">
        <v>17</v>
      </c>
      <c r="AE412" s="5">
        <v>15</v>
      </c>
      <c r="AF412" s="5">
        <v>-11</v>
      </c>
      <c r="AG412" s="5">
        <v>-13</v>
      </c>
      <c r="AH412" s="5">
        <v>-3</v>
      </c>
      <c r="AI412" s="5">
        <v>-10</v>
      </c>
      <c r="AJ412" s="5">
        <v>3</v>
      </c>
      <c r="AK412" s="5">
        <v>10</v>
      </c>
      <c r="AL412" s="6">
        <v>1</v>
      </c>
    </row>
    <row r="413" spans="1:38">
      <c r="A413" s="4">
        <v>-5</v>
      </c>
      <c r="B413" s="5">
        <v>1</v>
      </c>
      <c r="C413" s="5">
        <v>-10</v>
      </c>
      <c r="D413" s="5">
        <v>2</v>
      </c>
      <c r="E413" s="5">
        <v>16</v>
      </c>
      <c r="F413" s="5">
        <v>11</v>
      </c>
      <c r="G413" s="5">
        <v>4</v>
      </c>
      <c r="H413" s="5">
        <v>21</v>
      </c>
      <c r="I413" s="5">
        <v>4</v>
      </c>
      <c r="J413" s="5">
        <v>-8</v>
      </c>
      <c r="K413" s="5">
        <v>11</v>
      </c>
      <c r="L413" s="5">
        <v>25</v>
      </c>
      <c r="M413" s="5">
        <v>30</v>
      </c>
      <c r="N413" s="5">
        <v>22</v>
      </c>
      <c r="O413" s="5">
        <v>-9</v>
      </c>
      <c r="P413" s="5">
        <v>-18</v>
      </c>
      <c r="Q413" s="5">
        <v>-9</v>
      </c>
      <c r="R413" s="5">
        <v>-7</v>
      </c>
      <c r="S413" s="5">
        <v>-2</v>
      </c>
      <c r="T413" s="5">
        <v>23</v>
      </c>
      <c r="U413" s="5">
        <v>-9</v>
      </c>
      <c r="V413" s="5">
        <v>-13</v>
      </c>
      <c r="W413" s="5">
        <v>-41</v>
      </c>
      <c r="X413" s="5">
        <v>-7</v>
      </c>
      <c r="Y413" s="5">
        <v>-13</v>
      </c>
      <c r="Z413" s="5">
        <v>52</v>
      </c>
      <c r="AA413" s="5">
        <v>17</v>
      </c>
      <c r="AB413" s="5">
        <v>-5</v>
      </c>
      <c r="AC413" s="5">
        <v>-3</v>
      </c>
      <c r="AD413" s="5">
        <v>27</v>
      </c>
      <c r="AE413" s="5">
        <v>-9</v>
      </c>
      <c r="AF413" s="5">
        <v>-2</v>
      </c>
      <c r="AG413" s="5">
        <v>-21</v>
      </c>
      <c r="AH413" s="5">
        <v>-16</v>
      </c>
      <c r="AI413" s="5">
        <v>23</v>
      </c>
      <c r="AJ413" s="5">
        <v>-20</v>
      </c>
      <c r="AK413" s="5">
        <v>3</v>
      </c>
      <c r="AL413" s="6">
        <v>-33</v>
      </c>
    </row>
    <row r="414" spans="1:38">
      <c r="A414" s="4">
        <v>-32</v>
      </c>
      <c r="B414" s="5">
        <v>23</v>
      </c>
      <c r="C414" s="5">
        <v>15</v>
      </c>
      <c r="D414" s="5">
        <v>-17</v>
      </c>
      <c r="E414" s="5">
        <v>16</v>
      </c>
      <c r="F414" s="5">
        <v>17</v>
      </c>
      <c r="G414" s="5">
        <v>-16</v>
      </c>
      <c r="H414" s="5">
        <v>-10</v>
      </c>
      <c r="I414" s="5">
        <v>15</v>
      </c>
      <c r="J414" s="5">
        <v>43</v>
      </c>
      <c r="K414" s="5">
        <v>27</v>
      </c>
      <c r="L414" s="5">
        <v>-13</v>
      </c>
      <c r="M414" s="5">
        <v>18</v>
      </c>
      <c r="N414" s="5">
        <v>-5</v>
      </c>
      <c r="O414" s="5">
        <v>5</v>
      </c>
      <c r="P414" s="5">
        <v>4</v>
      </c>
      <c r="Q414" s="5">
        <v>-25</v>
      </c>
      <c r="R414" s="5">
        <v>19</v>
      </c>
      <c r="S414" s="5">
        <v>23</v>
      </c>
      <c r="T414" s="5">
        <v>7</v>
      </c>
      <c r="U414" s="5">
        <v>-17</v>
      </c>
      <c r="V414" s="5">
        <v>-19</v>
      </c>
      <c r="W414" s="5">
        <v>4</v>
      </c>
      <c r="X414" s="5">
        <v>-20</v>
      </c>
      <c r="Y414" s="5">
        <v>20</v>
      </c>
      <c r="Z414" s="5">
        <v>16</v>
      </c>
      <c r="AA414" s="5">
        <v>-19</v>
      </c>
      <c r="AB414" s="5">
        <v>-18</v>
      </c>
      <c r="AC414" s="5">
        <v>38</v>
      </c>
      <c r="AD414" s="5">
        <v>8</v>
      </c>
      <c r="AE414" s="5">
        <v>5</v>
      </c>
      <c r="AF414" s="5">
        <v>43</v>
      </c>
      <c r="AG414" s="5">
        <v>-12</v>
      </c>
      <c r="AH414" s="5">
        <v>-22</v>
      </c>
      <c r="AI414" s="5">
        <v>16</v>
      </c>
      <c r="AJ414" s="5">
        <v>-18</v>
      </c>
      <c r="AK414" s="5">
        <v>-7</v>
      </c>
      <c r="AL414" s="6">
        <v>21</v>
      </c>
    </row>
    <row r="415" spans="1:38">
      <c r="A415" s="4">
        <v>12</v>
      </c>
      <c r="B415" s="5">
        <v>7</v>
      </c>
      <c r="C415" s="5">
        <v>0</v>
      </c>
      <c r="D415" s="5">
        <v>-9</v>
      </c>
      <c r="E415" s="5">
        <v>0</v>
      </c>
      <c r="F415" s="5">
        <v>-11</v>
      </c>
      <c r="G415" s="5">
        <v>15</v>
      </c>
      <c r="H415" s="5">
        <v>-8</v>
      </c>
      <c r="I415" s="5">
        <v>29</v>
      </c>
      <c r="J415" s="5">
        <v>-9</v>
      </c>
      <c r="K415" s="5">
        <v>-6</v>
      </c>
      <c r="L415" s="5">
        <v>10</v>
      </c>
      <c r="M415" s="5">
        <v>-20</v>
      </c>
      <c r="N415" s="5">
        <v>-23</v>
      </c>
      <c r="O415" s="5">
        <v>-17</v>
      </c>
      <c r="P415" s="5">
        <v>-1</v>
      </c>
      <c r="Q415" s="5">
        <v>-12</v>
      </c>
      <c r="R415" s="5">
        <v>20</v>
      </c>
      <c r="S415" s="5">
        <v>-14</v>
      </c>
      <c r="T415" s="5">
        <v>-27</v>
      </c>
      <c r="U415" s="5">
        <v>-5</v>
      </c>
      <c r="V415" s="5">
        <v>-8</v>
      </c>
      <c r="W415" s="5">
        <v>9</v>
      </c>
      <c r="X415" s="5">
        <v>-12</v>
      </c>
      <c r="Y415" s="5">
        <v>-2</v>
      </c>
      <c r="Z415" s="5">
        <v>-18</v>
      </c>
      <c r="AA415" s="5">
        <v>19</v>
      </c>
      <c r="AB415" s="5">
        <v>-6</v>
      </c>
      <c r="AC415" s="5">
        <v>0</v>
      </c>
      <c r="AD415" s="5">
        <v>24</v>
      </c>
      <c r="AE415" s="5">
        <v>-9</v>
      </c>
      <c r="AF415" s="5">
        <v>35</v>
      </c>
      <c r="AG415" s="5">
        <v>-1</v>
      </c>
      <c r="AH415" s="5">
        <v>-13</v>
      </c>
      <c r="AI415" s="5">
        <v>0</v>
      </c>
      <c r="AJ415" s="5">
        <v>9</v>
      </c>
      <c r="AK415" s="5">
        <v>-4</v>
      </c>
      <c r="AL415" s="6">
        <v>-14</v>
      </c>
    </row>
    <row r="416" spans="1:38">
      <c r="A416" s="4">
        <v>-2</v>
      </c>
      <c r="B416" s="5">
        <v>9</v>
      </c>
      <c r="C416" s="5">
        <v>-33</v>
      </c>
      <c r="D416" s="5">
        <v>-18</v>
      </c>
      <c r="E416" s="5">
        <v>7</v>
      </c>
      <c r="F416" s="5">
        <v>18</v>
      </c>
      <c r="G416" s="5">
        <v>8</v>
      </c>
      <c r="H416" s="5">
        <v>-6</v>
      </c>
      <c r="I416" s="5">
        <v>19</v>
      </c>
      <c r="J416" s="5">
        <v>1</v>
      </c>
      <c r="K416" s="5">
        <v>-12</v>
      </c>
      <c r="L416" s="5">
        <v>-14</v>
      </c>
      <c r="M416" s="5">
        <v>4</v>
      </c>
      <c r="N416" s="5">
        <v>10</v>
      </c>
      <c r="O416" s="5">
        <v>-7</v>
      </c>
      <c r="P416" s="5">
        <v>5</v>
      </c>
      <c r="Q416" s="5">
        <v>-3</v>
      </c>
      <c r="R416" s="5">
        <v>-4</v>
      </c>
      <c r="S416" s="5">
        <v>-5</v>
      </c>
      <c r="T416" s="5">
        <v>-5</v>
      </c>
      <c r="U416" s="5">
        <v>-11</v>
      </c>
      <c r="V416" s="5">
        <v>4</v>
      </c>
      <c r="W416" s="5">
        <v>-18</v>
      </c>
      <c r="X416" s="5">
        <v>16</v>
      </c>
      <c r="Y416" s="5">
        <v>22</v>
      </c>
      <c r="Z416" s="5">
        <v>-4</v>
      </c>
      <c r="AA416" s="5">
        <v>6</v>
      </c>
      <c r="AB416" s="5">
        <v>-19</v>
      </c>
      <c r="AC416" s="5">
        <v>-20</v>
      </c>
      <c r="AD416" s="5">
        <v>1</v>
      </c>
      <c r="AE416" s="5">
        <v>-32</v>
      </c>
      <c r="AF416" s="5">
        <v>17</v>
      </c>
      <c r="AG416" s="5">
        <v>11</v>
      </c>
      <c r="AH416" s="5">
        <v>8</v>
      </c>
      <c r="AI416" s="5">
        <v>2</v>
      </c>
      <c r="AJ416" s="5">
        <v>6</v>
      </c>
      <c r="AK416" s="5">
        <v>-12</v>
      </c>
      <c r="AL416" s="6">
        <v>12</v>
      </c>
    </row>
    <row r="417" spans="1:38">
      <c r="A417" s="4">
        <v>39</v>
      </c>
      <c r="B417" s="5">
        <v>17</v>
      </c>
      <c r="C417" s="5">
        <v>-26</v>
      </c>
      <c r="D417" s="5">
        <v>15</v>
      </c>
      <c r="E417" s="5">
        <v>-1</v>
      </c>
      <c r="F417" s="5">
        <v>-42</v>
      </c>
      <c r="G417" s="5">
        <v>17</v>
      </c>
      <c r="H417" s="5">
        <v>20</v>
      </c>
      <c r="I417" s="5">
        <v>-76</v>
      </c>
      <c r="J417" s="5">
        <v>-16</v>
      </c>
      <c r="K417" s="5">
        <v>9</v>
      </c>
      <c r="L417" s="5">
        <v>-11</v>
      </c>
      <c r="M417" s="5">
        <v>10</v>
      </c>
      <c r="N417" s="5">
        <v>23</v>
      </c>
      <c r="O417" s="5">
        <v>-15</v>
      </c>
      <c r="P417" s="5">
        <v>11</v>
      </c>
      <c r="Q417" s="5">
        <v>-8</v>
      </c>
      <c r="R417" s="5">
        <v>-18</v>
      </c>
      <c r="S417" s="5">
        <v>-2</v>
      </c>
      <c r="T417" s="5">
        <v>1</v>
      </c>
      <c r="U417" s="5">
        <v>-6</v>
      </c>
      <c r="V417" s="5">
        <v>-26</v>
      </c>
      <c r="W417" s="5">
        <v>22</v>
      </c>
      <c r="X417" s="5">
        <v>-21</v>
      </c>
      <c r="Y417" s="5">
        <v>-5</v>
      </c>
      <c r="Z417" s="5">
        <v>9</v>
      </c>
      <c r="AA417" s="5">
        <v>-9</v>
      </c>
      <c r="AB417" s="5">
        <v>-29</v>
      </c>
      <c r="AC417" s="5">
        <v>9</v>
      </c>
      <c r="AD417" s="5">
        <v>9</v>
      </c>
      <c r="AE417" s="5">
        <v>-12</v>
      </c>
      <c r="AF417" s="5">
        <v>23</v>
      </c>
      <c r="AG417" s="5">
        <v>3</v>
      </c>
      <c r="AH417" s="5">
        <v>-10</v>
      </c>
      <c r="AI417" s="5">
        <v>-5</v>
      </c>
      <c r="AJ417" s="5">
        <v>-1</v>
      </c>
      <c r="AK417" s="5">
        <v>-19</v>
      </c>
      <c r="AL417" s="6">
        <v>-13</v>
      </c>
    </row>
    <row r="418" spans="1:38">
      <c r="A418" s="4">
        <v>49</v>
      </c>
      <c r="B418" s="5">
        <v>33</v>
      </c>
      <c r="C418" s="5">
        <v>-23</v>
      </c>
      <c r="D418" s="5">
        <v>0</v>
      </c>
      <c r="E418" s="5">
        <v>7</v>
      </c>
      <c r="F418" s="5">
        <v>-46</v>
      </c>
      <c r="G418" s="5">
        <v>20</v>
      </c>
      <c r="H418" s="5">
        <v>32</v>
      </c>
      <c r="I418" s="5">
        <v>-78</v>
      </c>
      <c r="J418" s="5">
        <v>-32</v>
      </c>
      <c r="K418" s="5">
        <v>17</v>
      </c>
      <c r="L418" s="5">
        <v>-19</v>
      </c>
      <c r="M418" s="5">
        <v>11</v>
      </c>
      <c r="N418" s="5">
        <v>54</v>
      </c>
      <c r="O418" s="5">
        <v>11</v>
      </c>
      <c r="P418" s="5">
        <v>12</v>
      </c>
      <c r="Q418" s="5">
        <v>-18</v>
      </c>
      <c r="R418" s="5">
        <v>-9</v>
      </c>
      <c r="S418" s="5">
        <v>1</v>
      </c>
      <c r="T418" s="5">
        <v>-5</v>
      </c>
      <c r="U418" s="5">
        <v>17</v>
      </c>
      <c r="V418" s="5">
        <v>-17</v>
      </c>
      <c r="W418" s="5">
        <v>26</v>
      </c>
      <c r="X418" s="5">
        <v>-1</v>
      </c>
      <c r="Y418" s="5">
        <v>41</v>
      </c>
      <c r="Z418" s="5">
        <v>-22</v>
      </c>
      <c r="AA418" s="5">
        <v>-15</v>
      </c>
      <c r="AB418" s="5">
        <v>-18</v>
      </c>
      <c r="AC418" s="5">
        <v>14</v>
      </c>
      <c r="AD418" s="5">
        <v>-4</v>
      </c>
      <c r="AE418" s="5">
        <v>3</v>
      </c>
      <c r="AF418" s="5">
        <v>26</v>
      </c>
      <c r="AG418" s="5">
        <v>34</v>
      </c>
      <c r="AH418" s="5">
        <v>-14</v>
      </c>
      <c r="AI418" s="5">
        <v>22</v>
      </c>
      <c r="AJ418" s="5">
        <v>0</v>
      </c>
      <c r="AK418" s="5">
        <v>0</v>
      </c>
      <c r="AL418" s="6">
        <v>14</v>
      </c>
    </row>
    <row r="419" spans="1:38">
      <c r="A419" s="4">
        <v>35</v>
      </c>
      <c r="B419" s="5">
        <v>18</v>
      </c>
      <c r="C419" s="5">
        <v>-7</v>
      </c>
      <c r="D419" s="5">
        <v>13</v>
      </c>
      <c r="E419" s="5">
        <v>18</v>
      </c>
      <c r="F419" s="5">
        <v>-27</v>
      </c>
      <c r="G419" s="5">
        <v>14</v>
      </c>
      <c r="H419" s="5">
        <v>23</v>
      </c>
      <c r="I419" s="5">
        <v>-67</v>
      </c>
      <c r="J419" s="5">
        <v>-37</v>
      </c>
      <c r="K419" s="5">
        <v>8</v>
      </c>
      <c r="L419" s="5">
        <v>-20</v>
      </c>
      <c r="M419" s="5">
        <v>13</v>
      </c>
      <c r="N419" s="5">
        <v>44</v>
      </c>
      <c r="O419" s="5">
        <v>3</v>
      </c>
      <c r="P419" s="5">
        <v>26</v>
      </c>
      <c r="Q419" s="5">
        <v>-12</v>
      </c>
      <c r="R419" s="5">
        <v>-11</v>
      </c>
      <c r="S419" s="5">
        <v>9</v>
      </c>
      <c r="T419" s="5">
        <v>-11</v>
      </c>
      <c r="U419" s="5">
        <v>5</v>
      </c>
      <c r="V419" s="5">
        <v>-7</v>
      </c>
      <c r="W419" s="5">
        <v>31</v>
      </c>
      <c r="X419" s="5">
        <v>10</v>
      </c>
      <c r="Y419" s="5">
        <v>36</v>
      </c>
      <c r="Z419" s="5">
        <v>-14</v>
      </c>
      <c r="AA419" s="5">
        <v>-18</v>
      </c>
      <c r="AB419" s="5">
        <v>-11</v>
      </c>
      <c r="AC419" s="5">
        <v>16</v>
      </c>
      <c r="AD419" s="5">
        <v>-8</v>
      </c>
      <c r="AE419" s="5">
        <v>10</v>
      </c>
      <c r="AF419" s="5">
        <v>17</v>
      </c>
      <c r="AG419" s="5">
        <v>24</v>
      </c>
      <c r="AH419" s="5">
        <v>9</v>
      </c>
      <c r="AI419" s="5">
        <v>20</v>
      </c>
      <c r="AJ419" s="5">
        <v>-2</v>
      </c>
      <c r="AK419" s="5">
        <v>-4</v>
      </c>
      <c r="AL419" s="6">
        <v>24</v>
      </c>
    </row>
    <row r="420" spans="1:38">
      <c r="A420" s="4">
        <v>7</v>
      </c>
      <c r="B420" s="5">
        <v>4</v>
      </c>
      <c r="C420" s="5">
        <v>7</v>
      </c>
      <c r="D420" s="5">
        <v>15</v>
      </c>
      <c r="E420" s="5">
        <v>24</v>
      </c>
      <c r="F420" s="5">
        <v>-8</v>
      </c>
      <c r="G420" s="5">
        <v>5</v>
      </c>
      <c r="H420" s="5">
        <v>1</v>
      </c>
      <c r="I420" s="5">
        <v>-33</v>
      </c>
      <c r="J420" s="5">
        <v>-35</v>
      </c>
      <c r="K420" s="5">
        <v>0</v>
      </c>
      <c r="L420" s="5">
        <v>-1</v>
      </c>
      <c r="M420" s="5">
        <v>10</v>
      </c>
      <c r="N420" s="5">
        <v>11</v>
      </c>
      <c r="O420" s="5">
        <v>-9</v>
      </c>
      <c r="P420" s="5">
        <v>13</v>
      </c>
      <c r="Q420" s="5">
        <v>-8</v>
      </c>
      <c r="R420" s="5">
        <v>-12</v>
      </c>
      <c r="S420" s="5">
        <v>12</v>
      </c>
      <c r="T420" s="5">
        <v>-1</v>
      </c>
      <c r="U420" s="5">
        <v>-1</v>
      </c>
      <c r="V420" s="5">
        <v>3</v>
      </c>
      <c r="W420" s="5">
        <v>24</v>
      </c>
      <c r="X420" s="5">
        <v>22</v>
      </c>
      <c r="Y420" s="5">
        <v>14</v>
      </c>
      <c r="Z420" s="5">
        <v>0</v>
      </c>
      <c r="AA420" s="5">
        <v>-1</v>
      </c>
      <c r="AB420" s="5">
        <v>-12</v>
      </c>
      <c r="AC420" s="5">
        <v>26</v>
      </c>
      <c r="AD420" s="5">
        <v>-8</v>
      </c>
      <c r="AE420" s="5">
        <v>22</v>
      </c>
      <c r="AF420" s="5">
        <v>-2</v>
      </c>
      <c r="AG420" s="5">
        <v>8</v>
      </c>
      <c r="AH420" s="5">
        <v>17</v>
      </c>
      <c r="AI420" s="5">
        <v>14</v>
      </c>
      <c r="AJ420" s="5">
        <v>-7</v>
      </c>
      <c r="AK420" s="5">
        <v>-6</v>
      </c>
      <c r="AL420" s="6">
        <v>18</v>
      </c>
    </row>
    <row r="421" spans="1:38">
      <c r="A421" s="4">
        <v>6</v>
      </c>
      <c r="B421" s="5">
        <v>10</v>
      </c>
      <c r="C421" s="5">
        <v>9</v>
      </c>
      <c r="D421" s="5">
        <v>14</v>
      </c>
      <c r="E421" s="5">
        <v>11</v>
      </c>
      <c r="F421" s="5">
        <v>7</v>
      </c>
      <c r="G421" s="5">
        <v>35</v>
      </c>
      <c r="H421" s="5">
        <v>-5</v>
      </c>
      <c r="I421" s="5">
        <v>1</v>
      </c>
      <c r="J421" s="5">
        <v>2</v>
      </c>
      <c r="K421" s="5">
        <v>12</v>
      </c>
      <c r="L421" s="5">
        <v>9</v>
      </c>
      <c r="M421" s="5">
        <v>-1</v>
      </c>
      <c r="N421" s="5">
        <v>2</v>
      </c>
      <c r="O421" s="5">
        <v>-27</v>
      </c>
      <c r="P421" s="5">
        <v>20</v>
      </c>
      <c r="Q421" s="5">
        <v>0</v>
      </c>
      <c r="R421" s="5">
        <v>-7</v>
      </c>
      <c r="S421" s="5">
        <v>-1</v>
      </c>
      <c r="T421" s="5">
        <v>8</v>
      </c>
      <c r="U421" s="5">
        <v>0</v>
      </c>
      <c r="V421" s="5">
        <v>1</v>
      </c>
      <c r="W421" s="5">
        <v>3</v>
      </c>
      <c r="X421" s="5">
        <v>13</v>
      </c>
      <c r="Y421" s="5">
        <v>2</v>
      </c>
      <c r="Z421" s="5">
        <v>8</v>
      </c>
      <c r="AA421" s="5">
        <v>13</v>
      </c>
      <c r="AB421" s="5">
        <v>-18</v>
      </c>
      <c r="AC421" s="5">
        <v>5</v>
      </c>
      <c r="AD421" s="5">
        <v>-5</v>
      </c>
      <c r="AE421" s="5">
        <v>2</v>
      </c>
      <c r="AF421" s="5">
        <v>-9</v>
      </c>
      <c r="AG421" s="5">
        <v>2</v>
      </c>
      <c r="AH421" s="5">
        <v>20</v>
      </c>
      <c r="AI421" s="5">
        <v>0</v>
      </c>
      <c r="AJ421" s="5">
        <v>-2</v>
      </c>
      <c r="AK421" s="5">
        <v>-8</v>
      </c>
      <c r="AL421" s="6">
        <v>13</v>
      </c>
    </row>
    <row r="422" spans="1:38">
      <c r="A422" s="4">
        <v>21</v>
      </c>
      <c r="B422" s="5">
        <v>20</v>
      </c>
      <c r="C422" s="5">
        <v>-12</v>
      </c>
      <c r="D422" s="5">
        <v>-14</v>
      </c>
      <c r="E422" s="5">
        <v>-32</v>
      </c>
      <c r="F422" s="5">
        <v>-16</v>
      </c>
      <c r="G422" s="5">
        <v>9</v>
      </c>
      <c r="H422" s="5">
        <v>2</v>
      </c>
      <c r="I422" s="5">
        <v>-18</v>
      </c>
      <c r="J422" s="5">
        <v>-4</v>
      </c>
      <c r="K422" s="5">
        <v>-4</v>
      </c>
      <c r="L422" s="5">
        <v>-11</v>
      </c>
      <c r="M422" s="5">
        <v>9</v>
      </c>
      <c r="N422" s="5">
        <v>26</v>
      </c>
      <c r="O422" s="5">
        <v>-5</v>
      </c>
      <c r="P422" s="5">
        <v>-7</v>
      </c>
      <c r="Q422" s="5">
        <v>-8</v>
      </c>
      <c r="R422" s="5">
        <v>-20</v>
      </c>
      <c r="S422" s="5">
        <v>21</v>
      </c>
      <c r="T422" s="5">
        <v>1</v>
      </c>
      <c r="U422" s="5">
        <v>-26</v>
      </c>
      <c r="V422" s="5">
        <v>15</v>
      </c>
      <c r="W422" s="5">
        <v>2</v>
      </c>
      <c r="X422" s="5">
        <v>-11</v>
      </c>
      <c r="Y422" s="5">
        <v>-3</v>
      </c>
      <c r="Z422" s="5">
        <v>-12</v>
      </c>
      <c r="AA422" s="5">
        <v>9</v>
      </c>
      <c r="AB422" s="5">
        <v>7</v>
      </c>
      <c r="AC422" s="5">
        <v>8</v>
      </c>
      <c r="AD422" s="5">
        <v>-6</v>
      </c>
      <c r="AE422" s="5">
        <v>18</v>
      </c>
      <c r="AF422" s="5">
        <v>4</v>
      </c>
      <c r="AG422" s="5">
        <v>14</v>
      </c>
      <c r="AH422" s="5">
        <v>-3</v>
      </c>
      <c r="AI422" s="5">
        <v>14</v>
      </c>
      <c r="AJ422" s="5">
        <v>10</v>
      </c>
      <c r="AK422" s="5">
        <v>12</v>
      </c>
      <c r="AL422" s="6">
        <v>-25</v>
      </c>
    </row>
    <row r="423" spans="1:38">
      <c r="A423" s="4">
        <v>29</v>
      </c>
      <c r="B423" s="5">
        <v>38</v>
      </c>
      <c r="C423" s="5">
        <v>-2</v>
      </c>
      <c r="D423" s="5">
        <v>11</v>
      </c>
      <c r="E423" s="5">
        <v>-15</v>
      </c>
      <c r="F423" s="5">
        <v>-13</v>
      </c>
      <c r="G423" s="5">
        <v>16</v>
      </c>
      <c r="H423" s="5">
        <v>1</v>
      </c>
      <c r="I423" s="5">
        <v>-22</v>
      </c>
      <c r="J423" s="5">
        <v>-7</v>
      </c>
      <c r="K423" s="5">
        <v>8</v>
      </c>
      <c r="L423" s="5">
        <v>15</v>
      </c>
      <c r="M423" s="5">
        <v>13</v>
      </c>
      <c r="N423" s="5">
        <v>-3</v>
      </c>
      <c r="O423" s="5">
        <v>-14</v>
      </c>
      <c r="P423" s="5">
        <v>6</v>
      </c>
      <c r="Q423" s="5">
        <v>0</v>
      </c>
      <c r="R423" s="5">
        <v>7</v>
      </c>
      <c r="S423" s="5">
        <v>-2</v>
      </c>
      <c r="T423" s="5">
        <v>20</v>
      </c>
      <c r="U423" s="5">
        <v>17</v>
      </c>
      <c r="V423" s="5">
        <v>-3</v>
      </c>
      <c r="W423" s="5">
        <v>-6</v>
      </c>
      <c r="X423" s="5">
        <v>-11</v>
      </c>
      <c r="Y423" s="5">
        <v>-10</v>
      </c>
      <c r="Z423" s="5">
        <v>13</v>
      </c>
      <c r="AA423" s="5">
        <v>11</v>
      </c>
      <c r="AB423" s="5">
        <v>-12</v>
      </c>
      <c r="AC423" s="5">
        <v>-7</v>
      </c>
      <c r="AD423" s="5">
        <v>0</v>
      </c>
      <c r="AE423" s="5">
        <v>-9</v>
      </c>
      <c r="AF423" s="5">
        <v>21</v>
      </c>
      <c r="AG423" s="5">
        <v>-2</v>
      </c>
      <c r="AH423" s="5">
        <v>2</v>
      </c>
      <c r="AI423" s="5">
        <v>-17</v>
      </c>
      <c r="AJ423" s="5">
        <v>14</v>
      </c>
      <c r="AK423" s="5">
        <v>4</v>
      </c>
      <c r="AL423" s="6">
        <v>2</v>
      </c>
    </row>
    <row r="424" spans="1:38">
      <c r="A424" s="4">
        <v>31</v>
      </c>
      <c r="B424" s="5">
        <v>8</v>
      </c>
      <c r="C424" s="5">
        <v>-6</v>
      </c>
      <c r="D424" s="5">
        <v>-19</v>
      </c>
      <c r="E424" s="5">
        <v>-28</v>
      </c>
      <c r="F424" s="5">
        <v>-10</v>
      </c>
      <c r="G424" s="5">
        <v>21</v>
      </c>
      <c r="H424" s="5">
        <v>-4</v>
      </c>
      <c r="I424" s="5">
        <v>-9</v>
      </c>
      <c r="J424" s="5">
        <v>-3</v>
      </c>
      <c r="K424" s="5">
        <v>-9</v>
      </c>
      <c r="L424" s="5">
        <v>-22</v>
      </c>
      <c r="M424" s="5">
        <v>6</v>
      </c>
      <c r="N424" s="5">
        <v>25</v>
      </c>
      <c r="O424" s="5">
        <v>-7</v>
      </c>
      <c r="P424" s="5">
        <v>5</v>
      </c>
      <c r="Q424" s="5">
        <v>-16</v>
      </c>
      <c r="R424" s="5">
        <v>-8</v>
      </c>
      <c r="S424" s="5">
        <v>5</v>
      </c>
      <c r="T424" s="5">
        <v>10</v>
      </c>
      <c r="U424" s="5">
        <v>-11</v>
      </c>
      <c r="V424" s="5">
        <v>11</v>
      </c>
      <c r="W424" s="5">
        <v>-32</v>
      </c>
      <c r="X424" s="5">
        <v>-11</v>
      </c>
      <c r="Y424" s="5">
        <v>-5</v>
      </c>
      <c r="Z424" s="5">
        <v>7</v>
      </c>
      <c r="AA424" s="5">
        <v>5</v>
      </c>
      <c r="AB424" s="5">
        <v>-6</v>
      </c>
      <c r="AC424" s="5">
        <v>22</v>
      </c>
      <c r="AD424" s="5">
        <v>-28</v>
      </c>
      <c r="AE424" s="5">
        <v>32</v>
      </c>
      <c r="AF424" s="5">
        <v>18</v>
      </c>
      <c r="AG424" s="5">
        <v>3</v>
      </c>
      <c r="AH424" s="5">
        <v>-15</v>
      </c>
      <c r="AI424" s="5">
        <v>2</v>
      </c>
      <c r="AJ424" s="5">
        <v>7</v>
      </c>
      <c r="AK424" s="5">
        <v>-6</v>
      </c>
      <c r="AL424" s="6">
        <v>-7</v>
      </c>
    </row>
    <row r="425" spans="1:38">
      <c r="A425" s="4">
        <v>20</v>
      </c>
      <c r="B425" s="5">
        <v>14</v>
      </c>
      <c r="C425" s="5">
        <v>0</v>
      </c>
      <c r="D425" s="5">
        <v>-3</v>
      </c>
      <c r="E425" s="5">
        <v>-9</v>
      </c>
      <c r="F425" s="5">
        <v>-13</v>
      </c>
      <c r="G425" s="5">
        <v>6</v>
      </c>
      <c r="H425" s="5">
        <v>7</v>
      </c>
      <c r="I425" s="5">
        <v>-31</v>
      </c>
      <c r="J425" s="5">
        <v>-18</v>
      </c>
      <c r="K425" s="5">
        <v>-4</v>
      </c>
      <c r="L425" s="5">
        <v>-15</v>
      </c>
      <c r="M425" s="5">
        <v>6</v>
      </c>
      <c r="N425" s="5">
        <v>35</v>
      </c>
      <c r="O425" s="5">
        <v>-13</v>
      </c>
      <c r="P425" s="5">
        <v>6</v>
      </c>
      <c r="Q425" s="5">
        <v>-7</v>
      </c>
      <c r="R425" s="5">
        <v>-9</v>
      </c>
      <c r="S425" s="5">
        <v>12</v>
      </c>
      <c r="T425" s="5">
        <v>7</v>
      </c>
      <c r="U425" s="5">
        <v>-22</v>
      </c>
      <c r="V425" s="5">
        <v>-11</v>
      </c>
      <c r="W425" s="5">
        <v>5</v>
      </c>
      <c r="X425" s="5">
        <v>-6</v>
      </c>
      <c r="Y425" s="5">
        <v>-9</v>
      </c>
      <c r="Z425" s="5">
        <v>-13</v>
      </c>
      <c r="AA425" s="5">
        <v>-4</v>
      </c>
      <c r="AB425" s="5">
        <v>-13</v>
      </c>
      <c r="AC425" s="5">
        <v>13</v>
      </c>
      <c r="AD425" s="5">
        <v>4</v>
      </c>
      <c r="AE425" s="5">
        <v>17</v>
      </c>
      <c r="AF425" s="5">
        <v>9</v>
      </c>
      <c r="AG425" s="5">
        <v>18</v>
      </c>
      <c r="AH425" s="5">
        <v>-2</v>
      </c>
      <c r="AI425" s="5">
        <v>9</v>
      </c>
      <c r="AJ425" s="5">
        <v>-1</v>
      </c>
      <c r="AK425" s="5">
        <v>-4</v>
      </c>
      <c r="AL425" s="6">
        <v>-25</v>
      </c>
    </row>
    <row r="426" spans="1:38">
      <c r="A426" s="4">
        <v>-16</v>
      </c>
      <c r="B426" s="5">
        <v>35</v>
      </c>
      <c r="C426" s="5">
        <v>-22</v>
      </c>
      <c r="D426" s="5">
        <v>16</v>
      </c>
      <c r="E426" s="5">
        <v>-10</v>
      </c>
      <c r="F426" s="5">
        <v>24</v>
      </c>
      <c r="G426" s="5">
        <v>22</v>
      </c>
      <c r="H426" s="5">
        <v>16</v>
      </c>
      <c r="I426" s="5">
        <v>-7</v>
      </c>
      <c r="J426" s="5">
        <v>36</v>
      </c>
      <c r="K426" s="5">
        <v>-10</v>
      </c>
      <c r="L426" s="5">
        <v>22</v>
      </c>
      <c r="M426" s="5">
        <v>-21</v>
      </c>
      <c r="N426" s="5">
        <v>5</v>
      </c>
      <c r="O426" s="5">
        <v>20</v>
      </c>
      <c r="P426" s="5">
        <v>-1</v>
      </c>
      <c r="Q426" s="5">
        <v>14</v>
      </c>
      <c r="R426" s="5">
        <v>-7</v>
      </c>
      <c r="S426" s="5">
        <v>-27</v>
      </c>
      <c r="T426" s="5">
        <v>-30</v>
      </c>
      <c r="U426" s="5">
        <v>-11</v>
      </c>
      <c r="V426" s="5">
        <v>-4</v>
      </c>
      <c r="W426" s="5">
        <v>1</v>
      </c>
      <c r="X426" s="5">
        <v>36</v>
      </c>
      <c r="Y426" s="5">
        <v>20</v>
      </c>
      <c r="Z426" s="5">
        <v>15</v>
      </c>
      <c r="AA426" s="5">
        <v>-23</v>
      </c>
      <c r="AB426" s="5">
        <v>33</v>
      </c>
      <c r="AC426" s="5">
        <v>16</v>
      </c>
      <c r="AD426" s="5">
        <v>-2</v>
      </c>
      <c r="AE426" s="5">
        <v>-6</v>
      </c>
      <c r="AF426" s="5">
        <v>7</v>
      </c>
      <c r="AG426" s="5">
        <v>4</v>
      </c>
      <c r="AH426" s="5">
        <v>-48</v>
      </c>
      <c r="AI426" s="5">
        <v>20</v>
      </c>
      <c r="AJ426" s="5">
        <v>-14</v>
      </c>
      <c r="AK426" s="5">
        <v>21</v>
      </c>
      <c r="AL426" s="6">
        <v>7</v>
      </c>
    </row>
    <row r="427" spans="1:38">
      <c r="A427" s="4">
        <v>-30</v>
      </c>
      <c r="B427" s="5">
        <v>22</v>
      </c>
      <c r="C427" s="5">
        <v>-21</v>
      </c>
      <c r="D427" s="5">
        <v>50</v>
      </c>
      <c r="E427" s="5">
        <v>-49</v>
      </c>
      <c r="F427" s="5">
        <v>-8</v>
      </c>
      <c r="G427" s="5">
        <v>-1</v>
      </c>
      <c r="H427" s="5">
        <v>28</v>
      </c>
      <c r="I427" s="5">
        <v>6</v>
      </c>
      <c r="J427" s="5">
        <v>53</v>
      </c>
      <c r="K427" s="5">
        <v>-60</v>
      </c>
      <c r="L427" s="5">
        <v>-3</v>
      </c>
      <c r="M427" s="5">
        <v>-22</v>
      </c>
      <c r="N427" s="5">
        <v>6</v>
      </c>
      <c r="O427" s="5">
        <v>-1</v>
      </c>
      <c r="P427" s="5">
        <v>-8</v>
      </c>
      <c r="Q427" s="5">
        <v>21</v>
      </c>
      <c r="R427" s="5">
        <v>-20</v>
      </c>
      <c r="S427" s="5">
        <v>-3</v>
      </c>
      <c r="T427" s="5">
        <v>-15</v>
      </c>
      <c r="U427" s="5">
        <v>2</v>
      </c>
      <c r="V427" s="5">
        <v>29</v>
      </c>
      <c r="W427" s="5">
        <v>-17</v>
      </c>
      <c r="X427" s="5">
        <v>47</v>
      </c>
      <c r="Y427" s="5">
        <v>-21</v>
      </c>
      <c r="Z427" s="5">
        <v>12</v>
      </c>
      <c r="AA427" s="5">
        <v>-12</v>
      </c>
      <c r="AB427" s="5">
        <v>7</v>
      </c>
      <c r="AC427" s="5">
        <v>-3</v>
      </c>
      <c r="AD427" s="5">
        <v>-2</v>
      </c>
      <c r="AE427" s="5">
        <v>13</v>
      </c>
      <c r="AF427" s="5">
        <v>30</v>
      </c>
      <c r="AG427" s="5">
        <v>9</v>
      </c>
      <c r="AH427" s="5">
        <v>-27</v>
      </c>
      <c r="AI427" s="5">
        <v>-8</v>
      </c>
      <c r="AJ427" s="5">
        <v>-25</v>
      </c>
      <c r="AK427" s="5">
        <v>55</v>
      </c>
      <c r="AL427" s="6">
        <v>-14</v>
      </c>
    </row>
    <row r="428" spans="1:38">
      <c r="A428" s="4">
        <v>31</v>
      </c>
      <c r="B428" s="5">
        <v>33</v>
      </c>
      <c r="C428" s="5">
        <v>-29</v>
      </c>
      <c r="D428" s="5">
        <v>31</v>
      </c>
      <c r="E428" s="5">
        <v>-48</v>
      </c>
      <c r="F428" s="5">
        <v>-26</v>
      </c>
      <c r="G428" s="5">
        <v>-42</v>
      </c>
      <c r="H428" s="5">
        <v>16</v>
      </c>
      <c r="I428" s="5">
        <v>-52</v>
      </c>
      <c r="J428" s="5">
        <v>41</v>
      </c>
      <c r="K428" s="5">
        <v>-33</v>
      </c>
      <c r="L428" s="5">
        <v>-6</v>
      </c>
      <c r="M428" s="5">
        <v>-23</v>
      </c>
      <c r="N428" s="5">
        <v>51</v>
      </c>
      <c r="O428" s="5">
        <v>18</v>
      </c>
      <c r="P428" s="5">
        <v>-24</v>
      </c>
      <c r="Q428" s="5">
        <v>-1</v>
      </c>
      <c r="R428" s="5">
        <v>-5</v>
      </c>
      <c r="S428" s="5">
        <v>-33</v>
      </c>
      <c r="T428" s="5">
        <v>-36</v>
      </c>
      <c r="U428" s="5">
        <v>-25</v>
      </c>
      <c r="V428" s="5">
        <v>48</v>
      </c>
      <c r="W428" s="5">
        <v>-25</v>
      </c>
      <c r="X428" s="5">
        <v>13</v>
      </c>
      <c r="Y428" s="5">
        <v>-2</v>
      </c>
      <c r="Z428" s="5">
        <v>1</v>
      </c>
      <c r="AA428" s="5">
        <v>-11</v>
      </c>
      <c r="AB428" s="5">
        <v>9</v>
      </c>
      <c r="AC428" s="5">
        <v>10</v>
      </c>
      <c r="AD428" s="5">
        <v>18</v>
      </c>
      <c r="AE428" s="5">
        <v>-13</v>
      </c>
      <c r="AF428" s="5">
        <v>13</v>
      </c>
      <c r="AG428" s="5">
        <v>16</v>
      </c>
      <c r="AH428" s="5">
        <v>-1</v>
      </c>
      <c r="AI428" s="5">
        <v>-22</v>
      </c>
      <c r="AJ428" s="5">
        <v>-27</v>
      </c>
      <c r="AK428" s="5">
        <v>7</v>
      </c>
      <c r="AL428" s="6">
        <v>-11</v>
      </c>
    </row>
    <row r="429" spans="1:38">
      <c r="A429" s="4">
        <v>-5</v>
      </c>
      <c r="B429" s="5">
        <v>24</v>
      </c>
      <c r="C429" s="5">
        <v>-9</v>
      </c>
      <c r="D429" s="5">
        <v>28</v>
      </c>
      <c r="E429" s="5">
        <v>-19</v>
      </c>
      <c r="F429" s="5">
        <v>-13</v>
      </c>
      <c r="G429" s="5">
        <v>-51</v>
      </c>
      <c r="H429" s="5">
        <v>0</v>
      </c>
      <c r="I429" s="5">
        <v>-29</v>
      </c>
      <c r="J429" s="5">
        <v>16</v>
      </c>
      <c r="K429" s="5">
        <v>-38</v>
      </c>
      <c r="L429" s="5">
        <v>-15</v>
      </c>
      <c r="M429" s="5">
        <v>-25</v>
      </c>
      <c r="N429" s="5">
        <v>20</v>
      </c>
      <c r="O429" s="5">
        <v>16</v>
      </c>
      <c r="P429" s="5">
        <v>-23</v>
      </c>
      <c r="Q429" s="5">
        <v>-17</v>
      </c>
      <c r="R429" s="5">
        <v>-20</v>
      </c>
      <c r="S429" s="5">
        <v>-36</v>
      </c>
      <c r="T429" s="5">
        <v>-17</v>
      </c>
      <c r="U429" s="5">
        <v>-10</v>
      </c>
      <c r="V429" s="5">
        <v>31</v>
      </c>
      <c r="W429" s="5">
        <v>-26</v>
      </c>
      <c r="X429" s="5">
        <v>19</v>
      </c>
      <c r="Y429" s="5">
        <v>-20</v>
      </c>
      <c r="Z429" s="5">
        <v>-11</v>
      </c>
      <c r="AA429" s="5">
        <v>0</v>
      </c>
      <c r="AB429" s="5">
        <v>-4</v>
      </c>
      <c r="AC429" s="5">
        <v>2</v>
      </c>
      <c r="AD429" s="5">
        <v>7</v>
      </c>
      <c r="AE429" s="5">
        <v>1</v>
      </c>
      <c r="AF429" s="5">
        <v>16</v>
      </c>
      <c r="AG429" s="5">
        <v>9</v>
      </c>
      <c r="AH429" s="5">
        <v>17</v>
      </c>
      <c r="AI429" s="5">
        <v>-11</v>
      </c>
      <c r="AJ429" s="5">
        <v>-24</v>
      </c>
      <c r="AK429" s="5">
        <v>-4</v>
      </c>
      <c r="AL429" s="6">
        <v>13</v>
      </c>
    </row>
    <row r="430" spans="1:38">
      <c r="A430" s="4">
        <v>15</v>
      </c>
      <c r="B430" s="5">
        <v>-7</v>
      </c>
      <c r="C430" s="5">
        <v>18</v>
      </c>
      <c r="D430" s="5">
        <v>20</v>
      </c>
      <c r="E430" s="5">
        <v>14</v>
      </c>
      <c r="F430" s="5">
        <v>12</v>
      </c>
      <c r="G430" s="5">
        <v>-13</v>
      </c>
      <c r="H430" s="5">
        <v>-4</v>
      </c>
      <c r="I430" s="5">
        <v>20</v>
      </c>
      <c r="J430" s="5">
        <v>-20</v>
      </c>
      <c r="K430" s="5">
        <v>1</v>
      </c>
      <c r="L430" s="5">
        <v>-7</v>
      </c>
      <c r="M430" s="5">
        <v>2</v>
      </c>
      <c r="N430" s="5">
        <v>16</v>
      </c>
      <c r="O430" s="5">
        <v>1</v>
      </c>
      <c r="P430" s="5">
        <v>4</v>
      </c>
      <c r="Q430" s="5">
        <v>13</v>
      </c>
      <c r="R430" s="5">
        <v>0</v>
      </c>
      <c r="S430" s="5">
        <v>4</v>
      </c>
      <c r="T430" s="5">
        <v>3</v>
      </c>
      <c r="U430" s="5">
        <v>-15</v>
      </c>
      <c r="V430" s="5">
        <v>15</v>
      </c>
      <c r="W430" s="5">
        <v>15</v>
      </c>
      <c r="X430" s="5">
        <v>18</v>
      </c>
      <c r="Y430" s="5">
        <v>8</v>
      </c>
      <c r="Z430" s="5">
        <v>6</v>
      </c>
      <c r="AA430" s="5">
        <v>-11</v>
      </c>
      <c r="AB430" s="5">
        <v>-5</v>
      </c>
      <c r="AC430" s="5">
        <v>-7</v>
      </c>
      <c r="AD430" s="5">
        <v>3</v>
      </c>
      <c r="AE430" s="5">
        <v>-6</v>
      </c>
      <c r="AF430" s="5">
        <v>4</v>
      </c>
      <c r="AG430" s="5">
        <v>-8</v>
      </c>
      <c r="AH430" s="5">
        <v>18</v>
      </c>
      <c r="AI430" s="5">
        <v>-15</v>
      </c>
      <c r="AJ430" s="5">
        <v>-1</v>
      </c>
      <c r="AK430" s="5">
        <v>-21</v>
      </c>
      <c r="AL430" s="6">
        <v>18</v>
      </c>
    </row>
    <row r="431" spans="1:38">
      <c r="A431" s="4">
        <v>-12</v>
      </c>
      <c r="B431" s="5">
        <v>36</v>
      </c>
      <c r="C431" s="5">
        <v>-36</v>
      </c>
      <c r="D431" s="5">
        <v>108</v>
      </c>
      <c r="E431" s="5">
        <v>-41</v>
      </c>
      <c r="F431" s="5">
        <v>7</v>
      </c>
      <c r="G431" s="5">
        <v>12</v>
      </c>
      <c r="H431" s="5">
        <v>21</v>
      </c>
      <c r="I431" s="5">
        <v>1</v>
      </c>
      <c r="J431" s="5">
        <v>91</v>
      </c>
      <c r="K431" s="5">
        <v>-58</v>
      </c>
      <c r="L431" s="5">
        <v>11</v>
      </c>
      <c r="M431" s="5">
        <v>-24</v>
      </c>
      <c r="N431" s="5">
        <v>15</v>
      </c>
      <c r="O431" s="5">
        <v>31</v>
      </c>
      <c r="P431" s="5">
        <v>-4</v>
      </c>
      <c r="Q431" s="5">
        <v>38</v>
      </c>
      <c r="R431" s="5">
        <v>10</v>
      </c>
      <c r="S431" s="5">
        <v>-52</v>
      </c>
      <c r="T431" s="5">
        <v>-14</v>
      </c>
      <c r="U431" s="5">
        <v>0</v>
      </c>
      <c r="V431" s="5">
        <v>63</v>
      </c>
      <c r="W431" s="5">
        <v>-21</v>
      </c>
      <c r="X431" s="5">
        <v>41</v>
      </c>
      <c r="Y431" s="5">
        <v>26</v>
      </c>
      <c r="Z431" s="5">
        <v>-9</v>
      </c>
      <c r="AA431" s="5">
        <v>-26</v>
      </c>
      <c r="AB431" s="5">
        <v>14</v>
      </c>
      <c r="AC431" s="5">
        <v>-16</v>
      </c>
      <c r="AD431" s="5">
        <v>-17</v>
      </c>
      <c r="AE431" s="5">
        <v>-8</v>
      </c>
      <c r="AF431" s="5">
        <v>-19</v>
      </c>
      <c r="AG431" s="5">
        <v>17</v>
      </c>
      <c r="AH431" s="5">
        <v>-31</v>
      </c>
      <c r="AI431" s="5">
        <v>-5</v>
      </c>
      <c r="AJ431" s="5">
        <v>-4</v>
      </c>
      <c r="AK431" s="5">
        <v>11</v>
      </c>
      <c r="AL431" s="6">
        <v>19</v>
      </c>
    </row>
    <row r="432" spans="1:38">
      <c r="A432" s="4">
        <v>9</v>
      </c>
      <c r="B432" s="5">
        <v>22</v>
      </c>
      <c r="C432" s="5">
        <v>-18</v>
      </c>
      <c r="D432" s="5">
        <v>67</v>
      </c>
      <c r="E432" s="5">
        <v>-27</v>
      </c>
      <c r="F432" s="5">
        <v>16</v>
      </c>
      <c r="G432" s="5">
        <v>-7</v>
      </c>
      <c r="H432" s="5">
        <v>7</v>
      </c>
      <c r="I432" s="5">
        <v>17</v>
      </c>
      <c r="J432" s="5">
        <v>60</v>
      </c>
      <c r="K432" s="5">
        <v>-19</v>
      </c>
      <c r="L432" s="5">
        <v>-2</v>
      </c>
      <c r="M432" s="5">
        <v>-9</v>
      </c>
      <c r="N432" s="5">
        <v>24</v>
      </c>
      <c r="O432" s="5">
        <v>23</v>
      </c>
      <c r="P432" s="5">
        <v>-14</v>
      </c>
      <c r="Q432" s="5">
        <v>30</v>
      </c>
      <c r="R432" s="5">
        <v>32</v>
      </c>
      <c r="S432" s="5">
        <v>-45</v>
      </c>
      <c r="T432" s="5">
        <v>-3</v>
      </c>
      <c r="U432" s="5">
        <v>-17</v>
      </c>
      <c r="V432" s="5">
        <v>61</v>
      </c>
      <c r="W432" s="5">
        <v>0</v>
      </c>
      <c r="X432" s="5">
        <v>21</v>
      </c>
      <c r="Y432" s="5">
        <v>-15</v>
      </c>
      <c r="Z432" s="5">
        <v>2</v>
      </c>
      <c r="AA432" s="5">
        <v>-31</v>
      </c>
      <c r="AB432" s="5">
        <v>-12</v>
      </c>
      <c r="AC432" s="5">
        <v>-14</v>
      </c>
      <c r="AD432" s="5">
        <v>-6</v>
      </c>
      <c r="AE432" s="5">
        <v>-10</v>
      </c>
      <c r="AF432" s="5">
        <v>-48</v>
      </c>
      <c r="AG432" s="5">
        <v>0</v>
      </c>
      <c r="AH432" s="5">
        <v>-26</v>
      </c>
      <c r="AI432" s="5">
        <v>14</v>
      </c>
      <c r="AJ432" s="5">
        <v>-3</v>
      </c>
      <c r="AK432" s="5">
        <v>-7</v>
      </c>
      <c r="AL432" s="6">
        <v>34</v>
      </c>
    </row>
    <row r="433" spans="1:38">
      <c r="A433" s="4">
        <v>5</v>
      </c>
      <c r="B433" s="5">
        <v>25</v>
      </c>
      <c r="C433" s="5">
        <v>-29</v>
      </c>
      <c r="D433" s="5">
        <v>-4</v>
      </c>
      <c r="E433" s="5">
        <v>-9</v>
      </c>
      <c r="F433" s="5">
        <v>-5</v>
      </c>
      <c r="G433" s="5">
        <v>1</v>
      </c>
      <c r="H433" s="5">
        <v>13</v>
      </c>
      <c r="I433" s="5">
        <v>-9</v>
      </c>
      <c r="J433" s="5">
        <v>15</v>
      </c>
      <c r="K433" s="5">
        <v>1</v>
      </c>
      <c r="L433" s="5">
        <v>29</v>
      </c>
      <c r="M433" s="5">
        <v>5</v>
      </c>
      <c r="N433" s="5">
        <v>-7</v>
      </c>
      <c r="O433" s="5">
        <v>2</v>
      </c>
      <c r="P433" s="5">
        <v>-17</v>
      </c>
      <c r="Q433" s="5">
        <v>42</v>
      </c>
      <c r="R433" s="5">
        <v>9</v>
      </c>
      <c r="S433" s="5">
        <v>1</v>
      </c>
      <c r="T433" s="5">
        <v>5</v>
      </c>
      <c r="U433" s="5">
        <v>-20</v>
      </c>
      <c r="V433" s="5">
        <v>-2</v>
      </c>
      <c r="W433" s="5">
        <v>2</v>
      </c>
      <c r="X433" s="5">
        <v>6</v>
      </c>
      <c r="Y433" s="5">
        <v>16</v>
      </c>
      <c r="Z433" s="5">
        <v>13</v>
      </c>
      <c r="AA433" s="5">
        <v>-4</v>
      </c>
      <c r="AB433" s="5">
        <v>4</v>
      </c>
      <c r="AC433" s="5">
        <v>1</v>
      </c>
      <c r="AD433" s="5">
        <v>-9</v>
      </c>
      <c r="AE433" s="5">
        <v>0</v>
      </c>
      <c r="AF433" s="5">
        <v>-29</v>
      </c>
      <c r="AG433" s="5">
        <v>16</v>
      </c>
      <c r="AH433" s="5">
        <v>16</v>
      </c>
      <c r="AI433" s="5">
        <v>8</v>
      </c>
      <c r="AJ433" s="5">
        <v>-8</v>
      </c>
      <c r="AK433" s="5">
        <v>-3</v>
      </c>
      <c r="AL433" s="6">
        <v>19</v>
      </c>
    </row>
    <row r="434" spans="1:38">
      <c r="A434" s="4">
        <v>-25</v>
      </c>
      <c r="B434" s="5">
        <v>9</v>
      </c>
      <c r="C434" s="5">
        <v>-18</v>
      </c>
      <c r="D434" s="5">
        <v>38</v>
      </c>
      <c r="E434" s="5">
        <v>-29</v>
      </c>
      <c r="F434" s="5">
        <v>-3</v>
      </c>
      <c r="G434" s="5">
        <v>3</v>
      </c>
      <c r="H434" s="5">
        <v>17</v>
      </c>
      <c r="I434" s="5">
        <v>-1</v>
      </c>
      <c r="J434" s="5">
        <v>42</v>
      </c>
      <c r="K434" s="5">
        <v>-44</v>
      </c>
      <c r="L434" s="5">
        <v>-10</v>
      </c>
      <c r="M434" s="5">
        <v>-22</v>
      </c>
      <c r="N434" s="5">
        <v>0</v>
      </c>
      <c r="O434" s="5">
        <v>1</v>
      </c>
      <c r="P434" s="5">
        <v>-3</v>
      </c>
      <c r="Q434" s="5">
        <v>22</v>
      </c>
      <c r="R434" s="5">
        <v>-15</v>
      </c>
      <c r="S434" s="5">
        <v>4</v>
      </c>
      <c r="T434" s="5">
        <v>-5</v>
      </c>
      <c r="U434" s="5">
        <v>9</v>
      </c>
      <c r="V434" s="5">
        <v>19</v>
      </c>
      <c r="W434" s="5">
        <v>-2</v>
      </c>
      <c r="X434" s="5">
        <v>29</v>
      </c>
      <c r="Y434" s="5">
        <v>-8</v>
      </c>
      <c r="Z434" s="5">
        <v>7</v>
      </c>
      <c r="AA434" s="5">
        <v>-5</v>
      </c>
      <c r="AB434" s="5">
        <v>5</v>
      </c>
      <c r="AC434" s="5">
        <v>-1</v>
      </c>
      <c r="AD434" s="5">
        <v>-1</v>
      </c>
      <c r="AE434" s="5">
        <v>9</v>
      </c>
      <c r="AF434" s="5">
        <v>33</v>
      </c>
      <c r="AG434" s="5">
        <v>10</v>
      </c>
      <c r="AH434" s="5">
        <v>-16</v>
      </c>
      <c r="AI434" s="5">
        <v>7</v>
      </c>
      <c r="AJ434" s="5">
        <v>-23</v>
      </c>
      <c r="AK434" s="5">
        <v>31</v>
      </c>
      <c r="AL434" s="6">
        <v>-10</v>
      </c>
    </row>
    <row r="435" spans="1:38">
      <c r="A435" s="4">
        <v>-2</v>
      </c>
      <c r="B435" s="5">
        <v>-25</v>
      </c>
      <c r="C435" s="5">
        <v>-46</v>
      </c>
      <c r="D435" s="5">
        <v>-10</v>
      </c>
      <c r="E435" s="5">
        <v>1</v>
      </c>
      <c r="F435" s="5">
        <v>-2</v>
      </c>
      <c r="G435" s="5">
        <v>-3</v>
      </c>
      <c r="H435" s="5">
        <v>7</v>
      </c>
      <c r="I435" s="5">
        <v>20</v>
      </c>
      <c r="J435" s="5">
        <v>23</v>
      </c>
      <c r="K435" s="5">
        <v>14</v>
      </c>
      <c r="L435" s="5">
        <v>-12</v>
      </c>
      <c r="M435" s="5">
        <v>-20</v>
      </c>
      <c r="N435" s="5">
        <v>25</v>
      </c>
      <c r="O435" s="5">
        <v>3</v>
      </c>
      <c r="P435" s="5">
        <v>-29</v>
      </c>
      <c r="Q435" s="5">
        <v>-14</v>
      </c>
      <c r="R435" s="5">
        <v>-7</v>
      </c>
      <c r="S435" s="5">
        <v>-11</v>
      </c>
      <c r="T435" s="5">
        <v>-18</v>
      </c>
      <c r="U435" s="5">
        <v>-11</v>
      </c>
      <c r="V435" s="5">
        <v>-54</v>
      </c>
      <c r="W435" s="5">
        <v>6</v>
      </c>
      <c r="X435" s="5">
        <v>-9</v>
      </c>
      <c r="Y435" s="5">
        <v>12</v>
      </c>
      <c r="Z435" s="5">
        <v>29</v>
      </c>
      <c r="AA435" s="5">
        <v>25</v>
      </c>
      <c r="AB435" s="5">
        <v>0</v>
      </c>
      <c r="AC435" s="5">
        <v>9</v>
      </c>
      <c r="AD435" s="5">
        <v>21</v>
      </c>
      <c r="AE435" s="5">
        <v>-12</v>
      </c>
      <c r="AF435" s="5">
        <v>17</v>
      </c>
      <c r="AG435" s="5">
        <v>1</v>
      </c>
      <c r="AH435" s="5">
        <v>-20</v>
      </c>
      <c r="AI435" s="5">
        <v>-16</v>
      </c>
      <c r="AJ435" s="5">
        <v>-2</v>
      </c>
      <c r="AK435" s="5">
        <v>-25</v>
      </c>
      <c r="AL435" s="6">
        <v>-6</v>
      </c>
    </row>
    <row r="436" spans="1:38">
      <c r="A436" s="4">
        <v>20</v>
      </c>
      <c r="B436" s="5">
        <v>4</v>
      </c>
      <c r="C436" s="5">
        <v>-58</v>
      </c>
      <c r="D436" s="5">
        <v>-32</v>
      </c>
      <c r="E436" s="5">
        <v>-37</v>
      </c>
      <c r="F436" s="5">
        <v>38</v>
      </c>
      <c r="G436" s="5">
        <v>-26</v>
      </c>
      <c r="H436" s="5">
        <v>1</v>
      </c>
      <c r="I436" s="5">
        <v>22</v>
      </c>
      <c r="J436" s="5">
        <v>1</v>
      </c>
      <c r="K436" s="5">
        <v>16</v>
      </c>
      <c r="L436" s="5">
        <v>-16</v>
      </c>
      <c r="M436" s="5">
        <v>-13</v>
      </c>
      <c r="N436" s="5">
        <v>17</v>
      </c>
      <c r="O436" s="5">
        <v>-34</v>
      </c>
      <c r="P436" s="5">
        <v>2</v>
      </c>
      <c r="Q436" s="5">
        <v>4</v>
      </c>
      <c r="R436" s="5">
        <v>-20</v>
      </c>
      <c r="S436" s="5">
        <v>17</v>
      </c>
      <c r="T436" s="5">
        <v>-34</v>
      </c>
      <c r="U436" s="5">
        <v>-49</v>
      </c>
      <c r="V436" s="5">
        <v>5</v>
      </c>
      <c r="W436" s="5">
        <v>-11</v>
      </c>
      <c r="X436" s="5">
        <v>-3</v>
      </c>
      <c r="Y436" s="5">
        <v>37</v>
      </c>
      <c r="Z436" s="5">
        <v>2</v>
      </c>
      <c r="AA436" s="5">
        <v>-33</v>
      </c>
      <c r="AB436" s="5">
        <v>-8</v>
      </c>
      <c r="AC436" s="5">
        <v>-25</v>
      </c>
      <c r="AD436" s="5">
        <v>-17</v>
      </c>
      <c r="AE436" s="5">
        <v>-8</v>
      </c>
      <c r="AF436" s="5">
        <v>30</v>
      </c>
      <c r="AG436" s="5">
        <v>-26</v>
      </c>
      <c r="AH436" s="5">
        <v>-3</v>
      </c>
      <c r="AI436" s="5">
        <v>-3</v>
      </c>
      <c r="AJ436" s="5">
        <v>33</v>
      </c>
      <c r="AK436" s="5">
        <v>52</v>
      </c>
      <c r="AL436" s="6">
        <v>25</v>
      </c>
    </row>
    <row r="437" spans="1:38">
      <c r="A437" s="4">
        <v>23</v>
      </c>
      <c r="B437" s="5">
        <v>-11</v>
      </c>
      <c r="C437" s="5">
        <v>-19</v>
      </c>
      <c r="D437" s="5">
        <v>1</v>
      </c>
      <c r="E437" s="5">
        <v>0</v>
      </c>
      <c r="F437" s="5">
        <v>22</v>
      </c>
      <c r="G437" s="5">
        <v>-6</v>
      </c>
      <c r="H437" s="5">
        <v>35</v>
      </c>
      <c r="I437" s="5">
        <v>26</v>
      </c>
      <c r="J437" s="5">
        <v>3</v>
      </c>
      <c r="K437" s="5">
        <v>20</v>
      </c>
      <c r="L437" s="5">
        <v>-35</v>
      </c>
      <c r="M437" s="5">
        <v>-12</v>
      </c>
      <c r="N437" s="5">
        <v>27</v>
      </c>
      <c r="O437" s="5">
        <v>13</v>
      </c>
      <c r="P437" s="5">
        <v>2</v>
      </c>
      <c r="Q437" s="5">
        <v>-4</v>
      </c>
      <c r="R437" s="5">
        <v>11</v>
      </c>
      <c r="S437" s="5">
        <v>-1</v>
      </c>
      <c r="T437" s="5">
        <v>-19</v>
      </c>
      <c r="U437" s="5">
        <v>-13</v>
      </c>
      <c r="V437" s="5">
        <v>2</v>
      </c>
      <c r="W437" s="5">
        <v>-11</v>
      </c>
      <c r="X437" s="5">
        <v>3</v>
      </c>
      <c r="Y437" s="5">
        <v>27</v>
      </c>
      <c r="Z437" s="5">
        <v>-15</v>
      </c>
      <c r="AA437" s="5">
        <v>7</v>
      </c>
      <c r="AB437" s="5">
        <v>-5</v>
      </c>
      <c r="AC437" s="5">
        <v>-21</v>
      </c>
      <c r="AD437" s="5">
        <v>16</v>
      </c>
      <c r="AE437" s="5">
        <v>-22</v>
      </c>
      <c r="AF437" s="5">
        <v>7</v>
      </c>
      <c r="AG437" s="5">
        <v>-27</v>
      </c>
      <c r="AH437" s="5">
        <v>-6</v>
      </c>
      <c r="AI437" s="5">
        <v>-4</v>
      </c>
      <c r="AJ437" s="5">
        <v>9</v>
      </c>
      <c r="AK437" s="5">
        <v>6</v>
      </c>
      <c r="AL437" s="6">
        <v>-5</v>
      </c>
    </row>
    <row r="438" spans="1:38">
      <c r="A438" s="4">
        <v>-8</v>
      </c>
      <c r="B438" s="5">
        <v>16</v>
      </c>
      <c r="C438" s="5">
        <v>-12</v>
      </c>
      <c r="D438" s="5">
        <v>-36</v>
      </c>
      <c r="E438" s="5">
        <v>0</v>
      </c>
      <c r="F438" s="5">
        <v>11</v>
      </c>
      <c r="G438" s="5">
        <v>-1</v>
      </c>
      <c r="H438" s="5">
        <v>5</v>
      </c>
      <c r="I438" s="5">
        <v>9</v>
      </c>
      <c r="J438" s="5">
        <v>6</v>
      </c>
      <c r="K438" s="5">
        <v>5</v>
      </c>
      <c r="L438" s="5">
        <v>-19</v>
      </c>
      <c r="M438" s="5">
        <v>-38</v>
      </c>
      <c r="N438" s="5">
        <v>10</v>
      </c>
      <c r="O438" s="5">
        <v>3</v>
      </c>
      <c r="P438" s="5">
        <v>-3</v>
      </c>
      <c r="Q438" s="5">
        <v>-1</v>
      </c>
      <c r="R438" s="5">
        <v>19</v>
      </c>
      <c r="S438" s="5">
        <v>28</v>
      </c>
      <c r="T438" s="5">
        <v>-47</v>
      </c>
      <c r="U438" s="5">
        <v>-26</v>
      </c>
      <c r="V438" s="5">
        <v>-41</v>
      </c>
      <c r="W438" s="5">
        <v>12</v>
      </c>
      <c r="X438" s="5">
        <v>4</v>
      </c>
      <c r="Y438" s="5">
        <v>15</v>
      </c>
      <c r="Z438" s="5">
        <v>4</v>
      </c>
      <c r="AA438" s="5">
        <v>-18</v>
      </c>
      <c r="AB438" s="5">
        <v>6</v>
      </c>
      <c r="AC438" s="5">
        <v>-1</v>
      </c>
      <c r="AD438" s="5">
        <v>45</v>
      </c>
      <c r="AE438" s="5">
        <v>-15</v>
      </c>
      <c r="AF438" s="5">
        <v>33</v>
      </c>
      <c r="AG438" s="5">
        <v>-17</v>
      </c>
      <c r="AH438" s="5">
        <v>-30</v>
      </c>
      <c r="AI438" s="5">
        <v>4</v>
      </c>
      <c r="AJ438" s="5">
        <v>-10</v>
      </c>
      <c r="AK438" s="5">
        <v>1</v>
      </c>
      <c r="AL438" s="6">
        <v>27</v>
      </c>
    </row>
    <row r="439" spans="1:38">
      <c r="A439" s="4">
        <v>2</v>
      </c>
      <c r="B439" s="5">
        <v>-7</v>
      </c>
      <c r="C439" s="5">
        <v>-34</v>
      </c>
      <c r="D439" s="5">
        <v>-28</v>
      </c>
      <c r="E439" s="5">
        <v>-10</v>
      </c>
      <c r="F439" s="5">
        <v>3</v>
      </c>
      <c r="G439" s="5">
        <v>-4</v>
      </c>
      <c r="H439" s="5">
        <v>14</v>
      </c>
      <c r="I439" s="5">
        <v>39</v>
      </c>
      <c r="J439" s="5">
        <v>11</v>
      </c>
      <c r="K439" s="5">
        <v>14</v>
      </c>
      <c r="L439" s="5">
        <v>-3</v>
      </c>
      <c r="M439" s="5">
        <v>-10</v>
      </c>
      <c r="N439" s="5">
        <v>24</v>
      </c>
      <c r="O439" s="5">
        <v>1</v>
      </c>
      <c r="P439" s="5">
        <v>-20</v>
      </c>
      <c r="Q439" s="5">
        <v>-56</v>
      </c>
      <c r="R439" s="5">
        <v>-7</v>
      </c>
      <c r="S439" s="5">
        <v>-43</v>
      </c>
      <c r="T439" s="5">
        <v>-17</v>
      </c>
      <c r="U439" s="5">
        <v>24</v>
      </c>
      <c r="V439" s="5">
        <v>-19</v>
      </c>
      <c r="W439" s="5">
        <v>24</v>
      </c>
      <c r="X439" s="5">
        <v>-15</v>
      </c>
      <c r="Y439" s="5">
        <v>18</v>
      </c>
      <c r="Z439" s="5">
        <v>-10</v>
      </c>
      <c r="AA439" s="5">
        <v>48</v>
      </c>
      <c r="AB439" s="5">
        <v>29</v>
      </c>
      <c r="AC439" s="5">
        <v>4</v>
      </c>
      <c r="AD439" s="5">
        <v>40</v>
      </c>
      <c r="AE439" s="5">
        <v>-40</v>
      </c>
      <c r="AF439" s="5">
        <v>-3</v>
      </c>
      <c r="AG439" s="5">
        <v>4</v>
      </c>
      <c r="AH439" s="5">
        <v>18</v>
      </c>
      <c r="AI439" s="5">
        <v>-24</v>
      </c>
      <c r="AJ439" s="5">
        <v>-41</v>
      </c>
      <c r="AK439" s="5">
        <v>5</v>
      </c>
      <c r="AL439" s="6">
        <v>5</v>
      </c>
    </row>
    <row r="440" spans="1:38">
      <c r="A440" s="4">
        <v>-12</v>
      </c>
      <c r="B440" s="5">
        <v>1</v>
      </c>
      <c r="C440" s="5">
        <v>-23</v>
      </c>
      <c r="D440" s="5">
        <v>-18</v>
      </c>
      <c r="E440" s="5">
        <v>22</v>
      </c>
      <c r="F440" s="5">
        <v>19</v>
      </c>
      <c r="G440" s="5">
        <v>10</v>
      </c>
      <c r="H440" s="5">
        <v>-14</v>
      </c>
      <c r="I440" s="5">
        <v>-5</v>
      </c>
      <c r="J440" s="5">
        <v>-5</v>
      </c>
      <c r="K440" s="5">
        <v>-9</v>
      </c>
      <c r="L440" s="5">
        <v>-21</v>
      </c>
      <c r="M440" s="5">
        <v>5</v>
      </c>
      <c r="N440" s="5">
        <v>-2</v>
      </c>
      <c r="O440" s="5">
        <v>-1</v>
      </c>
      <c r="P440" s="5">
        <v>10</v>
      </c>
      <c r="Q440" s="5">
        <v>5</v>
      </c>
      <c r="R440" s="5">
        <v>-4</v>
      </c>
      <c r="S440" s="5">
        <v>-16</v>
      </c>
      <c r="T440" s="5">
        <v>-6</v>
      </c>
      <c r="U440" s="5">
        <v>-6</v>
      </c>
      <c r="V440" s="5">
        <v>2</v>
      </c>
      <c r="W440" s="5">
        <v>21</v>
      </c>
      <c r="X440" s="5">
        <v>8</v>
      </c>
      <c r="Y440" s="5">
        <v>7</v>
      </c>
      <c r="Z440" s="5">
        <v>29</v>
      </c>
      <c r="AA440" s="5">
        <v>-5</v>
      </c>
      <c r="AB440" s="5">
        <v>18</v>
      </c>
      <c r="AC440" s="5">
        <v>-17</v>
      </c>
      <c r="AD440" s="5">
        <v>-9</v>
      </c>
      <c r="AE440" s="5">
        <v>-19</v>
      </c>
      <c r="AF440" s="5">
        <v>2</v>
      </c>
      <c r="AG440" s="5">
        <v>-12</v>
      </c>
      <c r="AH440" s="5">
        <v>-7</v>
      </c>
      <c r="AI440" s="5">
        <v>-12</v>
      </c>
      <c r="AJ440" s="5">
        <v>-10</v>
      </c>
      <c r="AK440" s="5">
        <v>-8</v>
      </c>
      <c r="AL440" s="6">
        <v>22</v>
      </c>
    </row>
    <row r="441" spans="1:38">
      <c r="A441" s="4">
        <v>-11</v>
      </c>
      <c r="B441" s="5">
        <v>12</v>
      </c>
      <c r="C441" s="5">
        <v>-60</v>
      </c>
      <c r="D441" s="5">
        <v>-45</v>
      </c>
      <c r="E441" s="5">
        <v>21</v>
      </c>
      <c r="F441" s="5">
        <v>25</v>
      </c>
      <c r="G441" s="5">
        <v>9</v>
      </c>
      <c r="H441" s="5">
        <v>-57</v>
      </c>
      <c r="I441" s="5">
        <v>-2</v>
      </c>
      <c r="J441" s="5">
        <v>2</v>
      </c>
      <c r="K441" s="5">
        <v>-17</v>
      </c>
      <c r="L441" s="5">
        <v>-58</v>
      </c>
      <c r="M441" s="5">
        <v>18</v>
      </c>
      <c r="N441" s="5">
        <v>20</v>
      </c>
      <c r="O441" s="5">
        <v>-5</v>
      </c>
      <c r="P441" s="5">
        <v>25</v>
      </c>
      <c r="Q441" s="5">
        <v>25</v>
      </c>
      <c r="R441" s="5">
        <v>-1</v>
      </c>
      <c r="S441" s="5">
        <v>-38</v>
      </c>
      <c r="T441" s="5">
        <v>-6</v>
      </c>
      <c r="U441" s="5">
        <v>10</v>
      </c>
      <c r="V441" s="5">
        <v>5</v>
      </c>
      <c r="W441" s="5">
        <v>3</v>
      </c>
      <c r="X441" s="5">
        <v>-8</v>
      </c>
      <c r="Y441" s="5">
        <v>26</v>
      </c>
      <c r="Z441" s="5">
        <v>30</v>
      </c>
      <c r="AA441" s="5">
        <v>4</v>
      </c>
      <c r="AB441" s="5">
        <v>21</v>
      </c>
      <c r="AC441" s="5">
        <v>-2</v>
      </c>
      <c r="AD441" s="5">
        <v>-8</v>
      </c>
      <c r="AE441" s="5">
        <v>-34</v>
      </c>
      <c r="AF441" s="5">
        <v>-1</v>
      </c>
      <c r="AG441" s="5">
        <v>7</v>
      </c>
      <c r="AH441" s="5">
        <v>-2</v>
      </c>
      <c r="AI441" s="5">
        <v>-22</v>
      </c>
      <c r="AJ441" s="5">
        <v>5</v>
      </c>
      <c r="AK441" s="5">
        <v>-15</v>
      </c>
      <c r="AL441" s="6">
        <v>-7</v>
      </c>
    </row>
    <row r="442" spans="1:38">
      <c r="A442" s="4">
        <v>-6</v>
      </c>
      <c r="B442" s="5">
        <v>1</v>
      </c>
      <c r="C442" s="5">
        <v>9</v>
      </c>
      <c r="D442" s="5">
        <v>4</v>
      </c>
      <c r="E442" s="5">
        <v>19</v>
      </c>
      <c r="F442" s="5">
        <v>8</v>
      </c>
      <c r="G442" s="5">
        <v>7</v>
      </c>
      <c r="H442" s="5">
        <v>17</v>
      </c>
      <c r="I442" s="5">
        <v>-3</v>
      </c>
      <c r="J442" s="5">
        <v>-14</v>
      </c>
      <c r="K442" s="5">
        <v>-4</v>
      </c>
      <c r="L442" s="5">
        <v>-5</v>
      </c>
      <c r="M442" s="5">
        <v>9</v>
      </c>
      <c r="N442" s="5">
        <v>5</v>
      </c>
      <c r="O442" s="5">
        <v>3</v>
      </c>
      <c r="P442" s="5">
        <v>3</v>
      </c>
      <c r="Q442" s="5">
        <v>1</v>
      </c>
      <c r="R442" s="5">
        <v>-7</v>
      </c>
      <c r="S442" s="5">
        <v>2</v>
      </c>
      <c r="T442" s="5">
        <v>0</v>
      </c>
      <c r="U442" s="5">
        <v>-9</v>
      </c>
      <c r="V442" s="5">
        <v>-6</v>
      </c>
      <c r="W442" s="5">
        <v>1</v>
      </c>
      <c r="X442" s="5">
        <v>2</v>
      </c>
      <c r="Y442" s="5">
        <v>-13</v>
      </c>
      <c r="Z442" s="5">
        <v>2</v>
      </c>
      <c r="AA442" s="5">
        <v>6</v>
      </c>
      <c r="AB442" s="5">
        <v>19</v>
      </c>
      <c r="AC442" s="5">
        <v>-12</v>
      </c>
      <c r="AD442" s="5">
        <v>-16</v>
      </c>
      <c r="AE442" s="5">
        <v>-9</v>
      </c>
      <c r="AF442" s="5">
        <v>-9</v>
      </c>
      <c r="AG442" s="5">
        <v>1</v>
      </c>
      <c r="AH442" s="5">
        <v>4</v>
      </c>
      <c r="AI442" s="5">
        <v>-4</v>
      </c>
      <c r="AJ442" s="5">
        <v>-15</v>
      </c>
      <c r="AK442" s="5">
        <v>-1</v>
      </c>
      <c r="AL442" s="6">
        <v>15</v>
      </c>
    </row>
    <row r="443" spans="1:38">
      <c r="A443" s="4">
        <v>24</v>
      </c>
      <c r="B443" s="5">
        <v>16</v>
      </c>
      <c r="C443" s="5">
        <v>-26</v>
      </c>
      <c r="D443" s="5">
        <v>-31</v>
      </c>
      <c r="E443" s="5">
        <v>13</v>
      </c>
      <c r="F443" s="5">
        <v>44</v>
      </c>
      <c r="G443" s="5">
        <v>-24</v>
      </c>
      <c r="H443" s="5">
        <v>41</v>
      </c>
      <c r="I443" s="5">
        <v>63</v>
      </c>
      <c r="J443" s="5">
        <v>11</v>
      </c>
      <c r="K443" s="5">
        <v>30</v>
      </c>
      <c r="L443" s="5">
        <v>-10</v>
      </c>
      <c r="M443" s="5">
        <v>11</v>
      </c>
      <c r="N443" s="5">
        <v>43</v>
      </c>
      <c r="O443" s="5">
        <v>16</v>
      </c>
      <c r="P443" s="5">
        <v>17</v>
      </c>
      <c r="Q443" s="5">
        <v>-62</v>
      </c>
      <c r="R443" s="5">
        <v>-3</v>
      </c>
      <c r="S443" s="5">
        <v>-8</v>
      </c>
      <c r="T443" s="5">
        <v>-20</v>
      </c>
      <c r="U443" s="5">
        <v>-7</v>
      </c>
      <c r="V443" s="5">
        <v>2</v>
      </c>
      <c r="W443" s="5">
        <v>22</v>
      </c>
      <c r="X443" s="5">
        <v>27</v>
      </c>
      <c r="Y443" s="5">
        <v>37</v>
      </c>
      <c r="Z443" s="5">
        <v>-6</v>
      </c>
      <c r="AA443" s="5">
        <v>17</v>
      </c>
      <c r="AB443" s="5">
        <v>-2</v>
      </c>
      <c r="AC443" s="5">
        <v>-18</v>
      </c>
      <c r="AD443" s="5">
        <v>32</v>
      </c>
      <c r="AE443" s="5">
        <v>-28</v>
      </c>
      <c r="AF443" s="5">
        <v>-37</v>
      </c>
      <c r="AG443" s="5">
        <v>12</v>
      </c>
      <c r="AH443" s="5">
        <v>-7</v>
      </c>
      <c r="AI443" s="5">
        <v>-16</v>
      </c>
      <c r="AJ443" s="5">
        <v>0</v>
      </c>
      <c r="AK443" s="5">
        <v>6</v>
      </c>
      <c r="AL443" s="6">
        <v>45</v>
      </c>
    </row>
    <row r="444" spans="1:38">
      <c r="A444" s="4">
        <v>-30</v>
      </c>
      <c r="B444" s="5">
        <v>5</v>
      </c>
      <c r="C444" s="5">
        <v>-4</v>
      </c>
      <c r="D444" s="5">
        <v>-52</v>
      </c>
      <c r="E444" s="5">
        <v>30</v>
      </c>
      <c r="F444" s="5">
        <v>13</v>
      </c>
      <c r="G444" s="5">
        <v>-7</v>
      </c>
      <c r="H444" s="5">
        <v>6</v>
      </c>
      <c r="I444" s="5">
        <v>19</v>
      </c>
      <c r="J444" s="5">
        <v>38</v>
      </c>
      <c r="K444" s="5">
        <v>37</v>
      </c>
      <c r="L444" s="5">
        <v>-30</v>
      </c>
      <c r="M444" s="5">
        <v>-1</v>
      </c>
      <c r="N444" s="5">
        <v>42</v>
      </c>
      <c r="O444" s="5">
        <v>15</v>
      </c>
      <c r="P444" s="5">
        <v>-17</v>
      </c>
      <c r="Q444" s="5">
        <v>-15</v>
      </c>
      <c r="R444" s="5">
        <v>61</v>
      </c>
      <c r="S444" s="5">
        <v>37</v>
      </c>
      <c r="T444" s="5">
        <v>-9</v>
      </c>
      <c r="U444" s="5">
        <v>-2</v>
      </c>
      <c r="V444" s="5">
        <v>-2</v>
      </c>
      <c r="W444" s="5">
        <v>36</v>
      </c>
      <c r="X444" s="5">
        <v>12</v>
      </c>
      <c r="Y444" s="5">
        <v>-1</v>
      </c>
      <c r="Z444" s="5">
        <v>-54</v>
      </c>
      <c r="AA444" s="5">
        <v>1</v>
      </c>
      <c r="AB444" s="5">
        <v>-24</v>
      </c>
      <c r="AC444" s="5">
        <v>25</v>
      </c>
      <c r="AD444" s="5">
        <v>62</v>
      </c>
      <c r="AE444" s="5">
        <v>1</v>
      </c>
      <c r="AF444" s="5">
        <v>-54</v>
      </c>
      <c r="AG444" s="5">
        <v>-7</v>
      </c>
      <c r="AH444" s="5">
        <v>39</v>
      </c>
      <c r="AI444" s="5">
        <v>-44</v>
      </c>
      <c r="AJ444" s="5">
        <v>63</v>
      </c>
      <c r="AK444" s="5">
        <v>21</v>
      </c>
      <c r="AL444" s="6">
        <v>70</v>
      </c>
    </row>
    <row r="445" spans="1:38">
      <c r="A445" s="4">
        <v>-13</v>
      </c>
      <c r="B445" s="5">
        <v>-30</v>
      </c>
      <c r="C445" s="5">
        <v>-50</v>
      </c>
      <c r="D445" s="5">
        <v>-4</v>
      </c>
      <c r="E445" s="5">
        <v>5</v>
      </c>
      <c r="F445" s="5">
        <v>17</v>
      </c>
      <c r="G445" s="5">
        <v>-5</v>
      </c>
      <c r="H445" s="5">
        <v>4</v>
      </c>
      <c r="I445" s="5">
        <v>25</v>
      </c>
      <c r="J445" s="5">
        <v>16</v>
      </c>
      <c r="K445" s="5">
        <v>19</v>
      </c>
      <c r="L445" s="5">
        <v>3</v>
      </c>
      <c r="M445" s="5">
        <v>-28</v>
      </c>
      <c r="N445" s="5">
        <v>48</v>
      </c>
      <c r="O445" s="5">
        <v>14</v>
      </c>
      <c r="P445" s="5">
        <v>-32</v>
      </c>
      <c r="Q445" s="5">
        <v>-66</v>
      </c>
      <c r="R445" s="5">
        <v>7</v>
      </c>
      <c r="S445" s="5">
        <v>-29</v>
      </c>
      <c r="T445" s="5">
        <v>-5</v>
      </c>
      <c r="U445" s="5">
        <v>-9</v>
      </c>
      <c r="V445" s="5">
        <v>-41</v>
      </c>
      <c r="W445" s="5">
        <v>16</v>
      </c>
      <c r="X445" s="5">
        <v>13</v>
      </c>
      <c r="Y445" s="5">
        <v>13</v>
      </c>
      <c r="Z445" s="5">
        <v>18</v>
      </c>
      <c r="AA445" s="5">
        <v>68</v>
      </c>
      <c r="AB445" s="5">
        <v>37</v>
      </c>
      <c r="AC445" s="5">
        <v>14</v>
      </c>
      <c r="AD445" s="5">
        <v>52</v>
      </c>
      <c r="AE445" s="5">
        <v>-42</v>
      </c>
      <c r="AF445" s="5">
        <v>2</v>
      </c>
      <c r="AG445" s="5">
        <v>29</v>
      </c>
      <c r="AH445" s="5">
        <v>-42</v>
      </c>
      <c r="AI445" s="5">
        <v>-21</v>
      </c>
      <c r="AJ445" s="5">
        <v>-26</v>
      </c>
      <c r="AK445" s="5">
        <v>3</v>
      </c>
      <c r="AL445" s="6">
        <v>7</v>
      </c>
    </row>
    <row r="446" spans="1:38">
      <c r="A446" s="4">
        <v>-8</v>
      </c>
      <c r="B446" s="5">
        <v>10</v>
      </c>
      <c r="C446" s="5">
        <v>-40</v>
      </c>
      <c r="D446" s="5">
        <v>-34</v>
      </c>
      <c r="E446" s="5">
        <v>-32</v>
      </c>
      <c r="F446" s="5">
        <v>45</v>
      </c>
      <c r="G446" s="5">
        <v>-40</v>
      </c>
      <c r="H446" s="5">
        <v>-10</v>
      </c>
      <c r="I446" s="5">
        <v>47</v>
      </c>
      <c r="J446" s="5">
        <v>4</v>
      </c>
      <c r="K446" s="5">
        <v>43</v>
      </c>
      <c r="L446" s="5">
        <v>55</v>
      </c>
      <c r="M446" s="5">
        <v>1</v>
      </c>
      <c r="N446" s="5">
        <v>40</v>
      </c>
      <c r="O446" s="5">
        <v>-11</v>
      </c>
      <c r="P446" s="5">
        <v>7</v>
      </c>
      <c r="Q446" s="5">
        <v>-127</v>
      </c>
      <c r="R446" s="5">
        <v>-50</v>
      </c>
      <c r="S446" s="5">
        <v>22</v>
      </c>
      <c r="T446" s="5">
        <v>-1</v>
      </c>
      <c r="U446" s="5">
        <v>-69</v>
      </c>
      <c r="V446" s="5">
        <v>6</v>
      </c>
      <c r="W446" s="5">
        <v>37</v>
      </c>
      <c r="X446" s="5">
        <v>23</v>
      </c>
      <c r="Y446" s="5">
        <v>29</v>
      </c>
      <c r="Z446" s="5">
        <v>0</v>
      </c>
      <c r="AA446" s="5">
        <v>18</v>
      </c>
      <c r="AB446" s="5">
        <v>16</v>
      </c>
      <c r="AC446" s="5">
        <v>-32</v>
      </c>
      <c r="AD446" s="5">
        <v>14</v>
      </c>
      <c r="AE446" s="5">
        <v>-59</v>
      </c>
      <c r="AF446" s="5">
        <v>6</v>
      </c>
      <c r="AG446" s="5">
        <v>-2</v>
      </c>
      <c r="AH446" s="5">
        <v>-22</v>
      </c>
      <c r="AI446" s="5">
        <v>-19</v>
      </c>
      <c r="AJ446" s="5">
        <v>-23</v>
      </c>
      <c r="AK446" s="5">
        <v>35</v>
      </c>
      <c r="AL446" s="6">
        <v>80</v>
      </c>
    </row>
    <row r="447" spans="1:38">
      <c r="A447" s="4">
        <v>-14</v>
      </c>
      <c r="B447" s="5">
        <v>-50</v>
      </c>
      <c r="C447" s="5">
        <v>-36</v>
      </c>
      <c r="D447" s="5">
        <v>-23</v>
      </c>
      <c r="E447" s="5">
        <v>11</v>
      </c>
      <c r="F447" s="5">
        <v>23</v>
      </c>
      <c r="G447" s="5">
        <v>10</v>
      </c>
      <c r="H447" s="5">
        <v>-15</v>
      </c>
      <c r="I447" s="5">
        <v>7</v>
      </c>
      <c r="J447" s="5">
        <v>11</v>
      </c>
      <c r="K447" s="5">
        <v>2</v>
      </c>
      <c r="L447" s="5">
        <v>-46</v>
      </c>
      <c r="M447" s="5">
        <v>-30</v>
      </c>
      <c r="N447" s="5">
        <v>2</v>
      </c>
      <c r="O447" s="5">
        <v>-6</v>
      </c>
      <c r="P447" s="5">
        <v>27</v>
      </c>
      <c r="Q447" s="5">
        <v>15</v>
      </c>
      <c r="R447" s="5">
        <v>15</v>
      </c>
      <c r="S447" s="5">
        <v>-36</v>
      </c>
      <c r="T447" s="5">
        <v>3</v>
      </c>
      <c r="U447" s="5">
        <v>39</v>
      </c>
      <c r="V447" s="5">
        <v>7</v>
      </c>
      <c r="W447" s="5">
        <v>-29</v>
      </c>
      <c r="X447" s="5">
        <v>10</v>
      </c>
      <c r="Y447" s="5">
        <v>-10</v>
      </c>
      <c r="Z447" s="5">
        <v>-50</v>
      </c>
      <c r="AA447" s="5">
        <v>31</v>
      </c>
      <c r="AB447" s="5">
        <v>44</v>
      </c>
      <c r="AC447" s="5">
        <v>22</v>
      </c>
      <c r="AD447" s="5">
        <v>0</v>
      </c>
      <c r="AE447" s="5">
        <v>16</v>
      </c>
      <c r="AF447" s="5">
        <v>-5</v>
      </c>
      <c r="AG447" s="5">
        <v>-35</v>
      </c>
      <c r="AH447" s="5">
        <v>0</v>
      </c>
      <c r="AI447" s="5">
        <v>-54</v>
      </c>
      <c r="AJ447" s="5">
        <v>38</v>
      </c>
      <c r="AK447" s="5">
        <v>-4</v>
      </c>
      <c r="AL447" s="6">
        <v>3</v>
      </c>
    </row>
    <row r="448" spans="1:38">
      <c r="A448" s="4">
        <v>2</v>
      </c>
      <c r="B448" s="5">
        <v>-4</v>
      </c>
      <c r="C448" s="5">
        <v>2</v>
      </c>
      <c r="D448" s="5">
        <v>13</v>
      </c>
      <c r="E448" s="5">
        <v>-9</v>
      </c>
      <c r="F448" s="5">
        <v>-1</v>
      </c>
      <c r="G448" s="5">
        <v>-16</v>
      </c>
      <c r="H448" s="5">
        <v>1</v>
      </c>
      <c r="I448" s="5">
        <v>7</v>
      </c>
      <c r="J448" s="5">
        <v>-6</v>
      </c>
      <c r="K448" s="5">
        <v>13</v>
      </c>
      <c r="L448" s="5">
        <v>-7</v>
      </c>
      <c r="M448" s="5">
        <v>2</v>
      </c>
      <c r="N448" s="5">
        <v>9</v>
      </c>
      <c r="O448" s="5">
        <v>-13</v>
      </c>
      <c r="P448" s="5">
        <v>4</v>
      </c>
      <c r="Q448" s="5">
        <v>-3</v>
      </c>
      <c r="R448" s="5">
        <v>-25</v>
      </c>
      <c r="S448" s="5">
        <v>-17</v>
      </c>
      <c r="T448" s="5">
        <v>8</v>
      </c>
      <c r="U448" s="5">
        <v>-1</v>
      </c>
      <c r="V448" s="5">
        <v>-1</v>
      </c>
      <c r="W448" s="5">
        <v>7</v>
      </c>
      <c r="X448" s="5">
        <v>-13</v>
      </c>
      <c r="Y448" s="5">
        <v>-21</v>
      </c>
      <c r="Z448" s="5">
        <v>12</v>
      </c>
      <c r="AA448" s="5">
        <v>-36</v>
      </c>
      <c r="AB448" s="5">
        <v>-20</v>
      </c>
      <c r="AC448" s="5">
        <v>16</v>
      </c>
      <c r="AD448" s="5">
        <v>19</v>
      </c>
      <c r="AE448" s="5">
        <v>8</v>
      </c>
      <c r="AF448" s="5">
        <v>-12</v>
      </c>
      <c r="AG448" s="5">
        <v>-8</v>
      </c>
      <c r="AH448" s="5">
        <v>22</v>
      </c>
      <c r="AI448" s="5">
        <v>-19</v>
      </c>
      <c r="AJ448" s="5">
        <v>7</v>
      </c>
      <c r="AK448" s="5">
        <v>-19</v>
      </c>
      <c r="AL448" s="6">
        <v>47</v>
      </c>
    </row>
    <row r="449" spans="1:38">
      <c r="A449" s="4">
        <v>6</v>
      </c>
      <c r="B449" s="5">
        <v>-6</v>
      </c>
      <c r="C449" s="5">
        <v>-25</v>
      </c>
      <c r="D449" s="5">
        <v>7</v>
      </c>
      <c r="E449" s="5">
        <v>19</v>
      </c>
      <c r="F449" s="5">
        <v>0</v>
      </c>
      <c r="G449" s="5">
        <v>-33</v>
      </c>
      <c r="H449" s="5">
        <v>33</v>
      </c>
      <c r="I449" s="5">
        <v>0</v>
      </c>
      <c r="J449" s="5">
        <v>9</v>
      </c>
      <c r="K449" s="5">
        <v>27</v>
      </c>
      <c r="L449" s="5">
        <v>25</v>
      </c>
      <c r="M449" s="5">
        <v>15</v>
      </c>
      <c r="N449" s="5">
        <v>-40</v>
      </c>
      <c r="O449" s="5">
        <v>-4</v>
      </c>
      <c r="P449" s="5">
        <v>-11</v>
      </c>
      <c r="Q449" s="5">
        <v>21</v>
      </c>
      <c r="R449" s="5">
        <v>26</v>
      </c>
      <c r="S449" s="5">
        <v>-3</v>
      </c>
      <c r="T449" s="5">
        <v>-8</v>
      </c>
      <c r="U449" s="5">
        <v>-4</v>
      </c>
      <c r="V449" s="5">
        <v>-7</v>
      </c>
      <c r="W449" s="5">
        <v>9</v>
      </c>
      <c r="X449" s="5">
        <v>1</v>
      </c>
      <c r="Y449" s="5">
        <v>-7</v>
      </c>
      <c r="Z449" s="5">
        <v>6</v>
      </c>
      <c r="AA449" s="5">
        <v>-11</v>
      </c>
      <c r="AB449" s="5">
        <v>8</v>
      </c>
      <c r="AC449" s="5">
        <v>29</v>
      </c>
      <c r="AD449" s="5">
        <v>-30</v>
      </c>
      <c r="AE449" s="5">
        <v>-11</v>
      </c>
      <c r="AF449" s="5">
        <v>18</v>
      </c>
      <c r="AG449" s="5">
        <v>37</v>
      </c>
      <c r="AH449" s="5">
        <v>31</v>
      </c>
      <c r="AI449" s="5">
        <v>-23</v>
      </c>
      <c r="AJ449" s="5">
        <v>5</v>
      </c>
      <c r="AK449" s="5">
        <v>-16</v>
      </c>
      <c r="AL449" s="6">
        <v>-33</v>
      </c>
    </row>
    <row r="450" spans="1:38">
      <c r="A450" s="4">
        <v>-6</v>
      </c>
      <c r="B450" s="5">
        <v>-19</v>
      </c>
      <c r="C450" s="5">
        <v>-15</v>
      </c>
      <c r="D450" s="5">
        <v>11</v>
      </c>
      <c r="E450" s="5">
        <v>6</v>
      </c>
      <c r="F450" s="5">
        <v>-34</v>
      </c>
      <c r="G450" s="5">
        <v>9</v>
      </c>
      <c r="H450" s="5">
        <v>22</v>
      </c>
      <c r="I450" s="5">
        <v>22</v>
      </c>
      <c r="J450" s="5">
        <v>-25</v>
      </c>
      <c r="K450" s="5">
        <v>-6</v>
      </c>
      <c r="L450" s="5">
        <v>-9</v>
      </c>
      <c r="M450" s="5">
        <v>-6</v>
      </c>
      <c r="N450" s="5">
        <v>-1</v>
      </c>
      <c r="O450" s="5">
        <v>-17</v>
      </c>
      <c r="P450" s="5">
        <v>20</v>
      </c>
      <c r="Q450" s="5">
        <v>-8</v>
      </c>
      <c r="R450" s="5">
        <v>3</v>
      </c>
      <c r="S450" s="5">
        <v>18</v>
      </c>
      <c r="T450" s="5">
        <v>4</v>
      </c>
      <c r="U450" s="5">
        <v>4</v>
      </c>
      <c r="V450" s="5">
        <v>1</v>
      </c>
      <c r="W450" s="5">
        <v>-10</v>
      </c>
      <c r="X450" s="5">
        <v>-2</v>
      </c>
      <c r="Y450" s="5">
        <v>11</v>
      </c>
      <c r="Z450" s="5">
        <v>-7</v>
      </c>
      <c r="AA450" s="5">
        <v>22</v>
      </c>
      <c r="AB450" s="5">
        <v>-21</v>
      </c>
      <c r="AC450" s="5">
        <v>-36</v>
      </c>
      <c r="AD450" s="5">
        <v>-15</v>
      </c>
      <c r="AE450" s="5">
        <v>10</v>
      </c>
      <c r="AF450" s="5">
        <v>-30</v>
      </c>
      <c r="AG450" s="5">
        <v>-21</v>
      </c>
      <c r="AH450" s="5">
        <v>-32</v>
      </c>
      <c r="AI450" s="5">
        <v>2</v>
      </c>
      <c r="AJ450" s="5">
        <v>-4</v>
      </c>
      <c r="AK450" s="5">
        <v>18</v>
      </c>
      <c r="AL450" s="6">
        <v>-2</v>
      </c>
    </row>
    <row r="451" spans="1:38">
      <c r="A451" s="4">
        <v>4</v>
      </c>
      <c r="B451" s="5">
        <v>-20</v>
      </c>
      <c r="C451" s="5">
        <v>-26</v>
      </c>
      <c r="D451" s="5">
        <v>1</v>
      </c>
      <c r="E451" s="5">
        <v>10</v>
      </c>
      <c r="F451" s="5">
        <v>-44</v>
      </c>
      <c r="G451" s="5">
        <v>14</v>
      </c>
      <c r="H451" s="5">
        <v>33</v>
      </c>
      <c r="I451" s="5">
        <v>18</v>
      </c>
      <c r="J451" s="5">
        <v>-28</v>
      </c>
      <c r="K451" s="5">
        <v>-18</v>
      </c>
      <c r="L451" s="5">
        <v>0</v>
      </c>
      <c r="M451" s="5">
        <v>6</v>
      </c>
      <c r="N451" s="5">
        <v>-17</v>
      </c>
      <c r="O451" s="5">
        <v>-35</v>
      </c>
      <c r="P451" s="5">
        <v>28</v>
      </c>
      <c r="Q451" s="5">
        <v>-1</v>
      </c>
      <c r="R451" s="5">
        <v>15</v>
      </c>
      <c r="S451" s="5">
        <v>13</v>
      </c>
      <c r="T451" s="5">
        <v>16</v>
      </c>
      <c r="U451" s="5">
        <v>-6</v>
      </c>
      <c r="V451" s="5">
        <v>5</v>
      </c>
      <c r="W451" s="5">
        <v>-6</v>
      </c>
      <c r="X451" s="5">
        <v>-18</v>
      </c>
      <c r="Y451" s="5">
        <v>-8</v>
      </c>
      <c r="Z451" s="5">
        <v>-19</v>
      </c>
      <c r="AA451" s="5">
        <v>30</v>
      </c>
      <c r="AB451" s="5">
        <v>-30</v>
      </c>
      <c r="AC451" s="5">
        <v>-58</v>
      </c>
      <c r="AD451" s="5">
        <v>-21</v>
      </c>
      <c r="AE451" s="5">
        <v>15</v>
      </c>
      <c r="AF451" s="5">
        <v>-35</v>
      </c>
      <c r="AG451" s="5">
        <v>-30</v>
      </c>
      <c r="AH451" s="5">
        <v>-33</v>
      </c>
      <c r="AI451" s="5">
        <v>-8</v>
      </c>
      <c r="AJ451" s="5">
        <v>-15</v>
      </c>
      <c r="AK451" s="5">
        <v>23</v>
      </c>
      <c r="AL451" s="6">
        <v>13</v>
      </c>
    </row>
    <row r="452" spans="1:38">
      <c r="A452" s="4">
        <v>6</v>
      </c>
      <c r="B452" s="5">
        <v>-3</v>
      </c>
      <c r="C452" s="5">
        <v>-23</v>
      </c>
      <c r="D452" s="5">
        <v>2</v>
      </c>
      <c r="E452" s="5">
        <v>24</v>
      </c>
      <c r="F452" s="5">
        <v>0</v>
      </c>
      <c r="G452" s="5">
        <v>-30</v>
      </c>
      <c r="H452" s="5">
        <v>29</v>
      </c>
      <c r="I452" s="5">
        <v>-1</v>
      </c>
      <c r="J452" s="5">
        <v>21</v>
      </c>
      <c r="K452" s="5">
        <v>39</v>
      </c>
      <c r="L452" s="5">
        <v>31</v>
      </c>
      <c r="M452" s="5">
        <v>17</v>
      </c>
      <c r="N452" s="5">
        <v>-47</v>
      </c>
      <c r="O452" s="5">
        <v>3</v>
      </c>
      <c r="P452" s="5">
        <v>-17</v>
      </c>
      <c r="Q452" s="5">
        <v>31</v>
      </c>
      <c r="R452" s="5">
        <v>21</v>
      </c>
      <c r="S452" s="5">
        <v>-8</v>
      </c>
      <c r="T452" s="5">
        <v>-5</v>
      </c>
      <c r="U452" s="5">
        <v>-13</v>
      </c>
      <c r="V452" s="5">
        <v>-5</v>
      </c>
      <c r="W452" s="5">
        <v>-2</v>
      </c>
      <c r="X452" s="5">
        <v>2</v>
      </c>
      <c r="Y452" s="5">
        <v>-3</v>
      </c>
      <c r="Z452" s="5">
        <v>8</v>
      </c>
      <c r="AA452" s="5">
        <v>-8</v>
      </c>
      <c r="AB452" s="5">
        <v>33</v>
      </c>
      <c r="AC452" s="5">
        <v>27</v>
      </c>
      <c r="AD452" s="5">
        <v>-19</v>
      </c>
      <c r="AE452" s="5">
        <v>-12</v>
      </c>
      <c r="AF452" s="5">
        <v>15</v>
      </c>
      <c r="AG452" s="5">
        <v>34</v>
      </c>
      <c r="AH452" s="5">
        <v>46</v>
      </c>
      <c r="AI452" s="5">
        <v>-32</v>
      </c>
      <c r="AJ452" s="5">
        <v>11</v>
      </c>
      <c r="AK452" s="5">
        <v>-25</v>
      </c>
      <c r="AL452" s="6">
        <v>-26</v>
      </c>
    </row>
    <row r="453" spans="1:38">
      <c r="A453" s="4">
        <v>-4</v>
      </c>
      <c r="B453" s="5">
        <v>-13</v>
      </c>
      <c r="C453" s="5">
        <v>-23</v>
      </c>
      <c r="D453" s="5">
        <v>7</v>
      </c>
      <c r="E453" s="5">
        <v>49</v>
      </c>
      <c r="F453" s="5">
        <v>-22</v>
      </c>
      <c r="G453" s="5">
        <v>-10</v>
      </c>
      <c r="H453" s="5">
        <v>29</v>
      </c>
      <c r="I453" s="5">
        <v>14</v>
      </c>
      <c r="J453" s="5">
        <v>-1</v>
      </c>
      <c r="K453" s="5">
        <v>24</v>
      </c>
      <c r="L453" s="5">
        <v>2</v>
      </c>
      <c r="M453" s="5">
        <v>7</v>
      </c>
      <c r="N453" s="5">
        <v>-25</v>
      </c>
      <c r="O453" s="5">
        <v>-12</v>
      </c>
      <c r="P453" s="5">
        <v>8</v>
      </c>
      <c r="Q453" s="5">
        <v>20</v>
      </c>
      <c r="R453" s="5">
        <v>29</v>
      </c>
      <c r="S453" s="5">
        <v>13</v>
      </c>
      <c r="T453" s="5">
        <v>-12</v>
      </c>
      <c r="U453" s="5">
        <v>-25</v>
      </c>
      <c r="V453" s="5">
        <v>21</v>
      </c>
      <c r="W453" s="5">
        <v>-16</v>
      </c>
      <c r="X453" s="5">
        <v>19</v>
      </c>
      <c r="Y453" s="5">
        <v>10</v>
      </c>
      <c r="Z453" s="5">
        <v>5</v>
      </c>
      <c r="AA453" s="5">
        <v>21</v>
      </c>
      <c r="AB453" s="5">
        <v>6</v>
      </c>
      <c r="AC453" s="5">
        <v>17</v>
      </c>
      <c r="AD453" s="5">
        <v>-10</v>
      </c>
      <c r="AE453" s="5">
        <v>9</v>
      </c>
      <c r="AF453" s="5">
        <v>-5</v>
      </c>
      <c r="AG453" s="5">
        <v>29</v>
      </c>
      <c r="AH453" s="5">
        <v>19</v>
      </c>
      <c r="AI453" s="5">
        <v>4</v>
      </c>
      <c r="AJ453" s="5">
        <v>-6</v>
      </c>
      <c r="AK453" s="5">
        <v>-22</v>
      </c>
      <c r="AL453" s="6">
        <v>-8</v>
      </c>
    </row>
    <row r="454" spans="1:38">
      <c r="A454" s="4">
        <v>-35</v>
      </c>
      <c r="B454" s="5">
        <v>-32</v>
      </c>
      <c r="C454" s="5">
        <v>-13</v>
      </c>
      <c r="D454" s="5">
        <v>-8</v>
      </c>
      <c r="E454" s="5">
        <v>18</v>
      </c>
      <c r="F454" s="5">
        <v>-22</v>
      </c>
      <c r="G454" s="5">
        <v>-20</v>
      </c>
      <c r="H454" s="5">
        <v>23</v>
      </c>
      <c r="I454" s="5">
        <v>-7</v>
      </c>
      <c r="J454" s="5">
        <v>29</v>
      </c>
      <c r="K454" s="5">
        <v>11</v>
      </c>
      <c r="L454" s="5">
        <v>-23</v>
      </c>
      <c r="M454" s="5">
        <v>7</v>
      </c>
      <c r="N454" s="5">
        <v>-47</v>
      </c>
      <c r="O454" s="5">
        <v>2</v>
      </c>
      <c r="P454" s="5">
        <v>5</v>
      </c>
      <c r="Q454" s="5">
        <v>15</v>
      </c>
      <c r="R454" s="5">
        <v>1</v>
      </c>
      <c r="S454" s="5">
        <v>27</v>
      </c>
      <c r="T454" s="5">
        <v>10</v>
      </c>
      <c r="U454" s="5">
        <v>-45</v>
      </c>
      <c r="V454" s="5">
        <v>9</v>
      </c>
      <c r="W454" s="5">
        <v>-24</v>
      </c>
      <c r="X454" s="5">
        <v>13</v>
      </c>
      <c r="Y454" s="5">
        <v>-3</v>
      </c>
      <c r="Z454" s="5">
        <v>6</v>
      </c>
      <c r="AA454" s="5">
        <v>8</v>
      </c>
      <c r="AB454" s="5">
        <v>-5</v>
      </c>
      <c r="AC454" s="5">
        <v>0</v>
      </c>
      <c r="AD454" s="5">
        <v>-2</v>
      </c>
      <c r="AE454" s="5">
        <v>6</v>
      </c>
      <c r="AF454" s="5">
        <v>29</v>
      </c>
      <c r="AG454" s="5">
        <v>-8</v>
      </c>
      <c r="AH454" s="5">
        <v>-17</v>
      </c>
      <c r="AI454" s="5">
        <v>7</v>
      </c>
      <c r="AJ454" s="5">
        <v>-21</v>
      </c>
      <c r="AK454" s="5">
        <v>18</v>
      </c>
      <c r="AL454" s="6">
        <v>3</v>
      </c>
    </row>
    <row r="455" spans="1:38">
      <c r="A455" s="4">
        <v>-15</v>
      </c>
      <c r="B455" s="5">
        <v>10</v>
      </c>
      <c r="C455" s="5">
        <v>6</v>
      </c>
      <c r="D455" s="5">
        <v>10</v>
      </c>
      <c r="E455" s="5">
        <v>17</v>
      </c>
      <c r="F455" s="5">
        <v>-10</v>
      </c>
      <c r="G455" s="5">
        <v>11</v>
      </c>
      <c r="H455" s="5">
        <v>23</v>
      </c>
      <c r="I455" s="5">
        <v>7</v>
      </c>
      <c r="J455" s="5">
        <v>-3</v>
      </c>
      <c r="K455" s="5">
        <v>25</v>
      </c>
      <c r="L455" s="5">
        <v>-8</v>
      </c>
      <c r="M455" s="5">
        <v>25</v>
      </c>
      <c r="N455" s="5">
        <v>-35</v>
      </c>
      <c r="O455" s="5">
        <v>9</v>
      </c>
      <c r="P455" s="5">
        <v>6</v>
      </c>
      <c r="Q455" s="5">
        <v>21</v>
      </c>
      <c r="R455" s="5">
        <v>24</v>
      </c>
      <c r="S455" s="5">
        <v>-15</v>
      </c>
      <c r="T455" s="5">
        <v>-26</v>
      </c>
      <c r="U455" s="5">
        <v>30</v>
      </c>
      <c r="V455" s="5">
        <v>-33</v>
      </c>
      <c r="W455" s="5">
        <v>-18</v>
      </c>
      <c r="X455" s="5">
        <v>19</v>
      </c>
      <c r="Y455" s="5">
        <v>4</v>
      </c>
      <c r="Z455" s="5">
        <v>-7</v>
      </c>
      <c r="AA455" s="5">
        <v>9</v>
      </c>
      <c r="AB455" s="5">
        <v>2</v>
      </c>
      <c r="AC455" s="5">
        <v>-8</v>
      </c>
      <c r="AD455" s="5">
        <v>-8</v>
      </c>
      <c r="AE455" s="5">
        <v>-10</v>
      </c>
      <c r="AF455" s="5">
        <v>67</v>
      </c>
      <c r="AG455" s="5">
        <v>3</v>
      </c>
      <c r="AH455" s="5">
        <v>-16</v>
      </c>
      <c r="AI455" s="5">
        <v>29</v>
      </c>
      <c r="AJ455" s="5">
        <v>5</v>
      </c>
      <c r="AK455" s="5">
        <v>26</v>
      </c>
      <c r="AL455" s="6">
        <v>23</v>
      </c>
    </row>
    <row r="456" spans="1:38">
      <c r="A456" s="4">
        <v>12</v>
      </c>
      <c r="B456" s="5">
        <v>0</v>
      </c>
      <c r="C456" s="5">
        <v>-5</v>
      </c>
      <c r="D456" s="5">
        <v>-1</v>
      </c>
      <c r="E456" s="5">
        <v>50</v>
      </c>
      <c r="F456" s="5">
        <v>-38</v>
      </c>
      <c r="G456" s="5">
        <v>-2</v>
      </c>
      <c r="H456" s="5">
        <v>27</v>
      </c>
      <c r="I456" s="5">
        <v>-12</v>
      </c>
      <c r="J456" s="5">
        <v>-11</v>
      </c>
      <c r="K456" s="5">
        <v>-3</v>
      </c>
      <c r="L456" s="5">
        <v>-23</v>
      </c>
      <c r="M456" s="5">
        <v>31</v>
      </c>
      <c r="N456" s="5">
        <v>-46</v>
      </c>
      <c r="O456" s="5">
        <v>24</v>
      </c>
      <c r="P456" s="5">
        <v>8</v>
      </c>
      <c r="Q456" s="5">
        <v>-15</v>
      </c>
      <c r="R456" s="5">
        <v>28</v>
      </c>
      <c r="S456" s="5">
        <v>-8</v>
      </c>
      <c r="T456" s="5">
        <v>-29</v>
      </c>
      <c r="U456" s="5">
        <v>32</v>
      </c>
      <c r="V456" s="5">
        <v>-2</v>
      </c>
      <c r="W456" s="5">
        <v>17</v>
      </c>
      <c r="X456" s="5">
        <v>16</v>
      </c>
      <c r="Y456" s="5">
        <v>13</v>
      </c>
      <c r="Z456" s="5">
        <v>-7</v>
      </c>
      <c r="AA456" s="5">
        <v>9</v>
      </c>
      <c r="AB456" s="5">
        <v>24</v>
      </c>
      <c r="AC456" s="5">
        <v>-20</v>
      </c>
      <c r="AD456" s="5">
        <v>-31</v>
      </c>
      <c r="AE456" s="5">
        <v>25</v>
      </c>
      <c r="AF456" s="5">
        <v>-4</v>
      </c>
      <c r="AG456" s="5">
        <v>-7</v>
      </c>
      <c r="AH456" s="5">
        <v>8</v>
      </c>
      <c r="AI456" s="5">
        <v>10</v>
      </c>
      <c r="AJ456" s="5">
        <v>-53</v>
      </c>
      <c r="AK456" s="5">
        <v>17</v>
      </c>
      <c r="AL456" s="6">
        <v>59</v>
      </c>
    </row>
    <row r="457" spans="1:38">
      <c r="A457" s="4">
        <v>12</v>
      </c>
      <c r="B457" s="5">
        <v>-14</v>
      </c>
      <c r="C457" s="5">
        <v>-22</v>
      </c>
      <c r="D457" s="5">
        <v>-20</v>
      </c>
      <c r="E457" s="5">
        <v>55</v>
      </c>
      <c r="F457" s="5">
        <v>-17</v>
      </c>
      <c r="G457" s="5">
        <v>-10</v>
      </c>
      <c r="H457" s="5">
        <v>55</v>
      </c>
      <c r="I457" s="5">
        <v>-10</v>
      </c>
      <c r="J457" s="5">
        <v>14</v>
      </c>
      <c r="K457" s="5">
        <v>21</v>
      </c>
      <c r="L457" s="5">
        <v>-26</v>
      </c>
      <c r="M457" s="5">
        <v>40</v>
      </c>
      <c r="N457" s="5">
        <v>-62</v>
      </c>
      <c r="O457" s="5">
        <v>8</v>
      </c>
      <c r="P457" s="5">
        <v>19</v>
      </c>
      <c r="Q457" s="5">
        <v>13</v>
      </c>
      <c r="R457" s="5">
        <v>40</v>
      </c>
      <c r="S457" s="5">
        <v>5</v>
      </c>
      <c r="T457" s="5">
        <v>29</v>
      </c>
      <c r="U457" s="5">
        <v>-5</v>
      </c>
      <c r="V457" s="5">
        <v>18</v>
      </c>
      <c r="W457" s="5">
        <v>15</v>
      </c>
      <c r="X457" s="5">
        <v>32</v>
      </c>
      <c r="Y457" s="5">
        <v>0</v>
      </c>
      <c r="Z457" s="5">
        <v>-24</v>
      </c>
      <c r="AA457" s="5">
        <v>-5</v>
      </c>
      <c r="AB457" s="5">
        <v>-1</v>
      </c>
      <c r="AC457" s="5">
        <v>-10</v>
      </c>
      <c r="AD457" s="5">
        <v>-17</v>
      </c>
      <c r="AE457" s="5">
        <v>41</v>
      </c>
      <c r="AF457" s="5">
        <v>23</v>
      </c>
      <c r="AG457" s="5">
        <v>11</v>
      </c>
      <c r="AH457" s="5">
        <v>-32</v>
      </c>
      <c r="AI457" s="5">
        <v>-11</v>
      </c>
      <c r="AJ457" s="5">
        <v>-8</v>
      </c>
      <c r="AK457" s="5">
        <v>8</v>
      </c>
      <c r="AL457" s="6">
        <v>-2</v>
      </c>
    </row>
    <row r="458" spans="1:38">
      <c r="A458" s="4">
        <v>-16</v>
      </c>
      <c r="B458" s="5">
        <v>-5</v>
      </c>
      <c r="C458" s="5">
        <v>6</v>
      </c>
      <c r="D458" s="5">
        <v>-26</v>
      </c>
      <c r="E458" s="5">
        <v>27</v>
      </c>
      <c r="F458" s="5">
        <v>-26</v>
      </c>
      <c r="G458" s="5">
        <v>-22</v>
      </c>
      <c r="H458" s="5">
        <v>28</v>
      </c>
      <c r="I458" s="5">
        <v>-24</v>
      </c>
      <c r="J458" s="5">
        <v>18</v>
      </c>
      <c r="K458" s="5">
        <v>18</v>
      </c>
      <c r="L458" s="5">
        <v>-18</v>
      </c>
      <c r="M458" s="5">
        <v>8</v>
      </c>
      <c r="N458" s="5">
        <v>-26</v>
      </c>
      <c r="O458" s="5">
        <v>3</v>
      </c>
      <c r="P458" s="5">
        <v>-2</v>
      </c>
      <c r="Q458" s="5">
        <v>14</v>
      </c>
      <c r="R458" s="5">
        <v>26</v>
      </c>
      <c r="S458" s="5">
        <v>-2</v>
      </c>
      <c r="T458" s="5">
        <v>16</v>
      </c>
      <c r="U458" s="5">
        <v>-19</v>
      </c>
      <c r="V458" s="5">
        <v>21</v>
      </c>
      <c r="W458" s="5">
        <v>-4</v>
      </c>
      <c r="X458" s="5">
        <v>22</v>
      </c>
      <c r="Y458" s="5">
        <v>-9</v>
      </c>
      <c r="Z458" s="5">
        <v>-2</v>
      </c>
      <c r="AA458" s="5">
        <v>-9</v>
      </c>
      <c r="AB458" s="5">
        <v>-19</v>
      </c>
      <c r="AC458" s="5">
        <v>30</v>
      </c>
      <c r="AD458" s="5">
        <v>-2</v>
      </c>
      <c r="AE458" s="5">
        <v>3</v>
      </c>
      <c r="AF458" s="5">
        <v>1</v>
      </c>
      <c r="AG458" s="5">
        <v>18</v>
      </c>
      <c r="AH458" s="5">
        <v>3</v>
      </c>
      <c r="AI458" s="5">
        <v>-29</v>
      </c>
      <c r="AJ458" s="5">
        <v>-13</v>
      </c>
      <c r="AK458" s="5">
        <v>35</v>
      </c>
      <c r="AL458" s="6">
        <v>8</v>
      </c>
    </row>
    <row r="459" spans="1:38">
      <c r="A459" s="4">
        <v>24</v>
      </c>
      <c r="B459" s="5">
        <v>-16</v>
      </c>
      <c r="C459" s="5">
        <v>-29</v>
      </c>
      <c r="D459" s="5">
        <v>12</v>
      </c>
      <c r="E459" s="5">
        <v>48</v>
      </c>
      <c r="F459" s="5">
        <v>14</v>
      </c>
      <c r="G459" s="5">
        <v>-29</v>
      </c>
      <c r="H459" s="5">
        <v>65</v>
      </c>
      <c r="I459" s="5">
        <v>26</v>
      </c>
      <c r="J459" s="5">
        <v>-3</v>
      </c>
      <c r="K459" s="5">
        <v>22</v>
      </c>
      <c r="L459" s="5">
        <v>-10</v>
      </c>
      <c r="M459" s="5">
        <v>7</v>
      </c>
      <c r="N459" s="5">
        <v>-38</v>
      </c>
      <c r="O459" s="5">
        <v>0</v>
      </c>
      <c r="P459" s="5">
        <v>24</v>
      </c>
      <c r="Q459" s="5">
        <v>-11</v>
      </c>
      <c r="R459" s="5">
        <v>11</v>
      </c>
      <c r="S459" s="5">
        <v>20</v>
      </c>
      <c r="T459" s="5">
        <v>2</v>
      </c>
      <c r="U459" s="5">
        <v>5</v>
      </c>
      <c r="V459" s="5">
        <v>26</v>
      </c>
      <c r="W459" s="5">
        <v>-17</v>
      </c>
      <c r="X459" s="5">
        <v>-6</v>
      </c>
      <c r="Y459" s="5">
        <v>12</v>
      </c>
      <c r="Z459" s="5">
        <v>5</v>
      </c>
      <c r="AA459" s="5">
        <v>-1</v>
      </c>
      <c r="AB459" s="5">
        <v>-10</v>
      </c>
      <c r="AC459" s="5">
        <v>-7</v>
      </c>
      <c r="AD459" s="5">
        <v>-47</v>
      </c>
      <c r="AE459" s="5">
        <v>9</v>
      </c>
      <c r="AF459" s="5">
        <v>-9</v>
      </c>
      <c r="AG459" s="5">
        <v>-11</v>
      </c>
      <c r="AH459" s="5">
        <v>-5</v>
      </c>
      <c r="AI459" s="5">
        <v>6</v>
      </c>
      <c r="AJ459" s="5">
        <v>-2</v>
      </c>
      <c r="AK459" s="5">
        <v>0</v>
      </c>
      <c r="AL459" s="6">
        <v>-31</v>
      </c>
    </row>
    <row r="460" spans="1:38">
      <c r="A460" s="4">
        <v>-6</v>
      </c>
      <c r="B460" s="5">
        <v>3</v>
      </c>
      <c r="C460" s="5">
        <v>3</v>
      </c>
      <c r="D460" s="5">
        <v>0</v>
      </c>
      <c r="E460" s="5">
        <v>10</v>
      </c>
      <c r="F460" s="5">
        <v>-20</v>
      </c>
      <c r="G460" s="5">
        <v>24</v>
      </c>
      <c r="H460" s="5">
        <v>25</v>
      </c>
      <c r="I460" s="5">
        <v>-9</v>
      </c>
      <c r="J460" s="5">
        <v>6</v>
      </c>
      <c r="K460" s="5">
        <v>-12</v>
      </c>
      <c r="L460" s="5">
        <v>-5</v>
      </c>
      <c r="M460" s="5">
        <v>22</v>
      </c>
      <c r="N460" s="5">
        <v>-1</v>
      </c>
      <c r="O460" s="5">
        <v>31</v>
      </c>
      <c r="P460" s="5">
        <v>-3</v>
      </c>
      <c r="Q460" s="5">
        <v>0</v>
      </c>
      <c r="R460" s="5">
        <v>5</v>
      </c>
      <c r="S460" s="5">
        <v>6</v>
      </c>
      <c r="T460" s="5">
        <v>13</v>
      </c>
      <c r="U460" s="5">
        <v>27</v>
      </c>
      <c r="V460" s="5">
        <v>-34</v>
      </c>
      <c r="W460" s="5">
        <v>-9</v>
      </c>
      <c r="X460" s="5">
        <v>0</v>
      </c>
      <c r="Y460" s="5">
        <v>8</v>
      </c>
      <c r="Z460" s="5">
        <v>24</v>
      </c>
      <c r="AA460" s="5">
        <v>10</v>
      </c>
      <c r="AB460" s="5">
        <v>-2</v>
      </c>
      <c r="AC460" s="5">
        <v>-34</v>
      </c>
      <c r="AD460" s="5">
        <v>0</v>
      </c>
      <c r="AE460" s="5">
        <v>-34</v>
      </c>
      <c r="AF460" s="5">
        <v>9</v>
      </c>
      <c r="AG460" s="5">
        <v>-3</v>
      </c>
      <c r="AH460" s="5">
        <v>13</v>
      </c>
      <c r="AI460" s="5">
        <v>2</v>
      </c>
      <c r="AJ460" s="5">
        <v>13</v>
      </c>
      <c r="AK460" s="5">
        <v>-39</v>
      </c>
      <c r="AL460" s="6">
        <v>6</v>
      </c>
    </row>
    <row r="461" spans="1:38">
      <c r="A461" s="4">
        <v>11</v>
      </c>
      <c r="B461" s="5">
        <v>-32</v>
      </c>
      <c r="C461" s="5">
        <v>19</v>
      </c>
      <c r="D461" s="5">
        <v>-22</v>
      </c>
      <c r="E461" s="5">
        <v>-26</v>
      </c>
      <c r="F461" s="5">
        <v>-6</v>
      </c>
      <c r="G461" s="5">
        <v>15</v>
      </c>
      <c r="H461" s="5">
        <v>-3</v>
      </c>
      <c r="I461" s="5">
        <v>-24</v>
      </c>
      <c r="J461" s="5">
        <v>2</v>
      </c>
      <c r="K461" s="5">
        <v>-17</v>
      </c>
      <c r="L461" s="5">
        <v>-17</v>
      </c>
      <c r="M461" s="5">
        <v>-19</v>
      </c>
      <c r="N461" s="5">
        <v>-34</v>
      </c>
      <c r="O461" s="5">
        <v>-5</v>
      </c>
      <c r="P461" s="5">
        <v>-19</v>
      </c>
      <c r="Q461" s="5">
        <v>-22</v>
      </c>
      <c r="R461" s="5">
        <v>20</v>
      </c>
      <c r="S461" s="5">
        <v>-23</v>
      </c>
      <c r="T461" s="5">
        <v>-14</v>
      </c>
      <c r="U461" s="5">
        <v>35</v>
      </c>
      <c r="V461" s="5">
        <v>-31</v>
      </c>
      <c r="W461" s="5">
        <v>-43</v>
      </c>
      <c r="X461" s="5">
        <v>21</v>
      </c>
      <c r="Y461" s="5">
        <v>-6</v>
      </c>
      <c r="Z461" s="5">
        <v>34</v>
      </c>
      <c r="AA461" s="5">
        <v>-7</v>
      </c>
      <c r="AB461" s="5">
        <v>-28</v>
      </c>
      <c r="AC461" s="5">
        <v>-29</v>
      </c>
      <c r="AD461" s="5">
        <v>-1</v>
      </c>
      <c r="AE461" s="5">
        <v>-10</v>
      </c>
      <c r="AF461" s="5">
        <v>-31</v>
      </c>
      <c r="AG461" s="5">
        <v>42</v>
      </c>
      <c r="AH461" s="5">
        <v>17</v>
      </c>
      <c r="AI461" s="5">
        <v>-14</v>
      </c>
      <c r="AJ461" s="5">
        <v>-3</v>
      </c>
      <c r="AK461" s="5">
        <v>39</v>
      </c>
      <c r="AL461" s="6">
        <v>4</v>
      </c>
    </row>
    <row r="462" spans="1:38">
      <c r="A462" s="4">
        <v>32</v>
      </c>
      <c r="B462" s="5">
        <v>-33</v>
      </c>
      <c r="C462" s="5">
        <v>42</v>
      </c>
      <c r="D462" s="5">
        <v>-17</v>
      </c>
      <c r="E462" s="5">
        <v>23</v>
      </c>
      <c r="F462" s="5">
        <v>-18</v>
      </c>
      <c r="G462" s="5">
        <v>-17</v>
      </c>
      <c r="H462" s="5">
        <v>10</v>
      </c>
      <c r="I462" s="5">
        <v>-9</v>
      </c>
      <c r="J462" s="5">
        <v>28</v>
      </c>
      <c r="K462" s="5">
        <v>4</v>
      </c>
      <c r="L462" s="5">
        <v>21</v>
      </c>
      <c r="M462" s="5">
        <v>22</v>
      </c>
      <c r="N462" s="5">
        <v>-12</v>
      </c>
      <c r="O462" s="5">
        <v>1</v>
      </c>
      <c r="P462" s="5">
        <v>-18</v>
      </c>
      <c r="Q462" s="5">
        <v>4</v>
      </c>
      <c r="R462" s="5">
        <v>3</v>
      </c>
      <c r="S462" s="5">
        <v>-28</v>
      </c>
      <c r="T462" s="5">
        <v>-40</v>
      </c>
      <c r="U462" s="5">
        <v>34</v>
      </c>
      <c r="V462" s="5">
        <v>-8</v>
      </c>
      <c r="W462" s="5">
        <v>-13</v>
      </c>
      <c r="X462" s="5">
        <v>17</v>
      </c>
      <c r="Y462" s="5">
        <v>10</v>
      </c>
      <c r="Z462" s="5">
        <v>46</v>
      </c>
      <c r="AA462" s="5">
        <v>13</v>
      </c>
      <c r="AB462" s="5">
        <v>-2</v>
      </c>
      <c r="AC462" s="5">
        <v>-4</v>
      </c>
      <c r="AD462" s="5">
        <v>-31</v>
      </c>
      <c r="AE462" s="5">
        <v>-15</v>
      </c>
      <c r="AF462" s="5">
        <v>-16</v>
      </c>
      <c r="AG462" s="5">
        <v>77</v>
      </c>
      <c r="AH462" s="5">
        <v>-23</v>
      </c>
      <c r="AI462" s="5">
        <v>-12</v>
      </c>
      <c r="AJ462" s="5">
        <v>39</v>
      </c>
      <c r="AK462" s="5">
        <v>60</v>
      </c>
      <c r="AL462" s="6">
        <v>-26</v>
      </c>
    </row>
    <row r="463" spans="1:38">
      <c r="A463" s="4">
        <v>-2</v>
      </c>
      <c r="B463" s="5">
        <v>-17</v>
      </c>
      <c r="C463" s="5">
        <v>-1</v>
      </c>
      <c r="D463" s="5">
        <v>-12</v>
      </c>
      <c r="E463" s="5">
        <v>-15</v>
      </c>
      <c r="F463" s="5">
        <v>-12</v>
      </c>
      <c r="G463" s="5">
        <v>12</v>
      </c>
      <c r="H463" s="5">
        <v>9</v>
      </c>
      <c r="I463" s="5">
        <v>-7</v>
      </c>
      <c r="J463" s="5">
        <v>-10</v>
      </c>
      <c r="K463" s="5">
        <v>-3</v>
      </c>
      <c r="L463" s="5">
        <v>-19</v>
      </c>
      <c r="M463" s="5">
        <v>-18</v>
      </c>
      <c r="N463" s="5">
        <v>-28</v>
      </c>
      <c r="O463" s="5">
        <v>-11</v>
      </c>
      <c r="P463" s="5">
        <v>1</v>
      </c>
      <c r="Q463" s="5">
        <v>-5</v>
      </c>
      <c r="R463" s="5">
        <v>32</v>
      </c>
      <c r="S463" s="5">
        <v>-19</v>
      </c>
      <c r="T463" s="5">
        <v>1</v>
      </c>
      <c r="U463" s="5">
        <v>7</v>
      </c>
      <c r="V463" s="5">
        <v>-1</v>
      </c>
      <c r="W463" s="5">
        <v>-25</v>
      </c>
      <c r="X463" s="5">
        <v>13</v>
      </c>
      <c r="Y463" s="5">
        <v>-6</v>
      </c>
      <c r="Z463" s="5">
        <v>-4</v>
      </c>
      <c r="AA463" s="5">
        <v>5</v>
      </c>
      <c r="AB463" s="5">
        <v>-44</v>
      </c>
      <c r="AC463" s="5">
        <v>-10</v>
      </c>
      <c r="AD463" s="5">
        <v>22</v>
      </c>
      <c r="AE463" s="5">
        <v>-13</v>
      </c>
      <c r="AF463" s="5">
        <v>-26</v>
      </c>
      <c r="AG463" s="5">
        <v>6</v>
      </c>
      <c r="AH463" s="5">
        <v>-10</v>
      </c>
      <c r="AI463" s="5">
        <v>-11</v>
      </c>
      <c r="AJ463" s="5">
        <v>-8</v>
      </c>
      <c r="AK463" s="5">
        <v>13</v>
      </c>
      <c r="AL463" s="6">
        <v>21</v>
      </c>
    </row>
    <row r="464" spans="1:38">
      <c r="A464" s="4">
        <v>-1</v>
      </c>
      <c r="B464" s="5">
        <v>20</v>
      </c>
      <c r="C464" s="5">
        <v>6</v>
      </c>
      <c r="D464" s="5">
        <v>-51</v>
      </c>
      <c r="E464" s="5">
        <v>11</v>
      </c>
      <c r="F464" s="5">
        <v>6</v>
      </c>
      <c r="G464" s="5">
        <v>15</v>
      </c>
      <c r="H464" s="5">
        <v>36</v>
      </c>
      <c r="I464" s="5">
        <v>-4</v>
      </c>
      <c r="J464" s="5">
        <v>27</v>
      </c>
      <c r="K464" s="5">
        <v>-21</v>
      </c>
      <c r="L464" s="5">
        <v>2</v>
      </c>
      <c r="M464" s="5">
        <v>-12</v>
      </c>
      <c r="N464" s="5">
        <v>-4</v>
      </c>
      <c r="O464" s="5">
        <v>-4</v>
      </c>
      <c r="P464" s="5">
        <v>5</v>
      </c>
      <c r="Q464" s="5">
        <v>-1</v>
      </c>
      <c r="R464" s="5">
        <v>-19</v>
      </c>
      <c r="S464" s="5">
        <v>3</v>
      </c>
      <c r="T464" s="5">
        <v>-2</v>
      </c>
      <c r="U464" s="5">
        <v>12</v>
      </c>
      <c r="V464" s="5">
        <v>-1</v>
      </c>
      <c r="W464" s="5">
        <v>20</v>
      </c>
      <c r="X464" s="5">
        <v>-29</v>
      </c>
      <c r="Y464" s="5">
        <v>-11</v>
      </c>
      <c r="Z464" s="5">
        <v>-14</v>
      </c>
      <c r="AA464" s="5">
        <v>-19</v>
      </c>
      <c r="AB464" s="5">
        <v>4</v>
      </c>
      <c r="AC464" s="5">
        <v>-17</v>
      </c>
      <c r="AD464" s="5">
        <v>-28</v>
      </c>
      <c r="AE464" s="5">
        <v>-37</v>
      </c>
      <c r="AF464" s="5">
        <v>7</v>
      </c>
      <c r="AG464" s="5">
        <v>4</v>
      </c>
      <c r="AH464" s="5">
        <v>-8</v>
      </c>
      <c r="AI464" s="5">
        <v>-24</v>
      </c>
      <c r="AJ464" s="5">
        <v>-13</v>
      </c>
      <c r="AK464" s="5">
        <v>-6</v>
      </c>
      <c r="AL464" s="6">
        <v>-7</v>
      </c>
    </row>
    <row r="465" spans="1:38">
      <c r="A465" s="4">
        <v>-7</v>
      </c>
      <c r="B465" s="5">
        <v>12</v>
      </c>
      <c r="C465" s="5">
        <v>32</v>
      </c>
      <c r="D465" s="5">
        <v>-65</v>
      </c>
      <c r="E465" s="5">
        <v>29</v>
      </c>
      <c r="F465" s="5">
        <v>-11</v>
      </c>
      <c r="G465" s="5">
        <v>20</v>
      </c>
      <c r="H465" s="5">
        <v>57</v>
      </c>
      <c r="I465" s="5">
        <v>-1</v>
      </c>
      <c r="J465" s="5">
        <v>70</v>
      </c>
      <c r="K465" s="5">
        <v>-34</v>
      </c>
      <c r="L465" s="5">
        <v>10</v>
      </c>
      <c r="M465" s="5">
        <v>-19</v>
      </c>
      <c r="N465" s="5">
        <v>9</v>
      </c>
      <c r="O465" s="5">
        <v>-39</v>
      </c>
      <c r="P465" s="5">
        <v>4</v>
      </c>
      <c r="Q465" s="5">
        <v>-2</v>
      </c>
      <c r="R465" s="5">
        <v>-36</v>
      </c>
      <c r="S465" s="5">
        <v>21</v>
      </c>
      <c r="T465" s="5">
        <v>20</v>
      </c>
      <c r="U465" s="5">
        <v>25</v>
      </c>
      <c r="V465" s="5">
        <v>16</v>
      </c>
      <c r="W465" s="5">
        <v>13</v>
      </c>
      <c r="X465" s="5">
        <v>13</v>
      </c>
      <c r="Y465" s="5">
        <v>-11</v>
      </c>
      <c r="Z465" s="5">
        <v>9</v>
      </c>
      <c r="AA465" s="5">
        <v>-19</v>
      </c>
      <c r="AB465" s="5">
        <v>-11</v>
      </c>
      <c r="AC465" s="5">
        <v>-13</v>
      </c>
      <c r="AD465" s="5">
        <v>-6</v>
      </c>
      <c r="AE465" s="5">
        <v>-7</v>
      </c>
      <c r="AF465" s="5">
        <v>-33</v>
      </c>
      <c r="AG465" s="5">
        <v>14</v>
      </c>
      <c r="AH465" s="5">
        <v>4</v>
      </c>
      <c r="AI465" s="5">
        <v>14</v>
      </c>
      <c r="AJ465" s="5">
        <v>18</v>
      </c>
      <c r="AK465" s="5">
        <v>-20</v>
      </c>
      <c r="AL465" s="6">
        <v>15</v>
      </c>
    </row>
    <row r="466" spans="1:38">
      <c r="A466" s="4">
        <v>-15</v>
      </c>
      <c r="B466" s="5">
        <v>15</v>
      </c>
      <c r="C466" s="5">
        <v>39</v>
      </c>
      <c r="D466" s="5">
        <v>-52</v>
      </c>
      <c r="E466" s="5">
        <v>25</v>
      </c>
      <c r="F466" s="5">
        <v>-20</v>
      </c>
      <c r="G466" s="5">
        <v>14</v>
      </c>
      <c r="H466" s="5">
        <v>46</v>
      </c>
      <c r="I466" s="5">
        <v>0</v>
      </c>
      <c r="J466" s="5">
        <v>61</v>
      </c>
      <c r="K466" s="5">
        <v>-25</v>
      </c>
      <c r="L466" s="5">
        <v>11</v>
      </c>
      <c r="M466" s="5">
        <v>-25</v>
      </c>
      <c r="N466" s="5">
        <v>15</v>
      </c>
      <c r="O466" s="5">
        <v>-25</v>
      </c>
      <c r="P466" s="5">
        <v>-1</v>
      </c>
      <c r="Q466" s="5">
        <v>-5</v>
      </c>
      <c r="R466" s="5">
        <v>-39</v>
      </c>
      <c r="S466" s="5">
        <v>14</v>
      </c>
      <c r="T466" s="5">
        <v>-6</v>
      </c>
      <c r="U466" s="5">
        <v>1</v>
      </c>
      <c r="V466" s="5">
        <v>-2</v>
      </c>
      <c r="W466" s="5">
        <v>7</v>
      </c>
      <c r="X466" s="5">
        <v>26</v>
      </c>
      <c r="Y466" s="5">
        <v>-10</v>
      </c>
      <c r="Z466" s="5">
        <v>11</v>
      </c>
      <c r="AA466" s="5">
        <v>0</v>
      </c>
      <c r="AB466" s="5">
        <v>8</v>
      </c>
      <c r="AC466" s="5">
        <v>7</v>
      </c>
      <c r="AD466" s="5">
        <v>7</v>
      </c>
      <c r="AE466" s="5">
        <v>-23</v>
      </c>
      <c r="AF466" s="5">
        <v>-4</v>
      </c>
      <c r="AG466" s="5">
        <v>-9</v>
      </c>
      <c r="AH466" s="5">
        <v>19</v>
      </c>
      <c r="AI466" s="5">
        <v>14</v>
      </c>
      <c r="AJ466" s="5">
        <v>9</v>
      </c>
      <c r="AK466" s="5">
        <v>-15</v>
      </c>
      <c r="AL466" s="6">
        <v>-2</v>
      </c>
    </row>
    <row r="467" spans="1:38">
      <c r="A467" s="4">
        <v>-7</v>
      </c>
      <c r="B467" s="5">
        <v>5</v>
      </c>
      <c r="C467" s="5">
        <v>26</v>
      </c>
      <c r="D467" s="5">
        <v>-28</v>
      </c>
      <c r="E467" s="5">
        <v>18</v>
      </c>
      <c r="F467" s="5">
        <v>-12</v>
      </c>
      <c r="G467" s="5">
        <v>5</v>
      </c>
      <c r="H467" s="5">
        <v>25</v>
      </c>
      <c r="I467" s="5">
        <v>-3</v>
      </c>
      <c r="J467" s="5">
        <v>31</v>
      </c>
      <c r="K467" s="5">
        <v>-14</v>
      </c>
      <c r="L467" s="5">
        <v>12</v>
      </c>
      <c r="M467" s="5">
        <v>-25</v>
      </c>
      <c r="N467" s="5">
        <v>15</v>
      </c>
      <c r="O467" s="5">
        <v>-16</v>
      </c>
      <c r="P467" s="5">
        <v>-4</v>
      </c>
      <c r="Q467" s="5">
        <v>3</v>
      </c>
      <c r="R467" s="5">
        <v>-15</v>
      </c>
      <c r="S467" s="5">
        <v>1</v>
      </c>
      <c r="T467" s="5">
        <v>-15</v>
      </c>
      <c r="U467" s="5">
        <v>15</v>
      </c>
      <c r="V467" s="5">
        <v>2</v>
      </c>
      <c r="W467" s="5">
        <v>0</v>
      </c>
      <c r="X467" s="5">
        <v>13</v>
      </c>
      <c r="Y467" s="5">
        <v>2</v>
      </c>
      <c r="Z467" s="5">
        <v>17</v>
      </c>
      <c r="AA467" s="5">
        <v>11</v>
      </c>
      <c r="AB467" s="5">
        <v>3</v>
      </c>
      <c r="AC467" s="5">
        <v>6</v>
      </c>
      <c r="AD467" s="5">
        <v>-4</v>
      </c>
      <c r="AE467" s="5">
        <v>-16</v>
      </c>
      <c r="AF467" s="5">
        <v>3</v>
      </c>
      <c r="AG467" s="5">
        <v>-10</v>
      </c>
      <c r="AH467" s="5">
        <v>7</v>
      </c>
      <c r="AI467" s="5">
        <v>17</v>
      </c>
      <c r="AJ467" s="5">
        <v>9</v>
      </c>
      <c r="AK467" s="5">
        <v>-18</v>
      </c>
      <c r="AL467" s="6">
        <v>1</v>
      </c>
    </row>
    <row r="468" spans="1:38">
      <c r="A468" s="4">
        <v>-5</v>
      </c>
      <c r="B468" s="5">
        <v>-8</v>
      </c>
      <c r="C468" s="5">
        <v>23</v>
      </c>
      <c r="D468" s="5">
        <v>-33</v>
      </c>
      <c r="E468" s="5">
        <v>27</v>
      </c>
      <c r="F468" s="5">
        <v>-5</v>
      </c>
      <c r="G468" s="5">
        <v>26</v>
      </c>
      <c r="H468" s="5">
        <v>42</v>
      </c>
      <c r="I468" s="5">
        <v>-5</v>
      </c>
      <c r="J468" s="5">
        <v>29</v>
      </c>
      <c r="K468" s="5">
        <v>-29</v>
      </c>
      <c r="L468" s="5">
        <v>4</v>
      </c>
      <c r="M468" s="5">
        <v>-5</v>
      </c>
      <c r="N468" s="5">
        <v>14</v>
      </c>
      <c r="O468" s="5">
        <v>-18</v>
      </c>
      <c r="P468" s="5">
        <v>18</v>
      </c>
      <c r="Q468" s="5">
        <v>-12</v>
      </c>
      <c r="R468" s="5">
        <v>-7</v>
      </c>
      <c r="S468" s="5">
        <v>5</v>
      </c>
      <c r="T468" s="5">
        <v>1</v>
      </c>
      <c r="U468" s="5">
        <v>-4</v>
      </c>
      <c r="V468" s="5">
        <v>18</v>
      </c>
      <c r="W468" s="5">
        <v>8</v>
      </c>
      <c r="X468" s="5">
        <v>17</v>
      </c>
      <c r="Y468" s="5">
        <v>-17</v>
      </c>
      <c r="Z468" s="5">
        <v>18</v>
      </c>
      <c r="AA468" s="5">
        <v>-15</v>
      </c>
      <c r="AB468" s="5">
        <v>-11</v>
      </c>
      <c r="AC468" s="5">
        <v>-17</v>
      </c>
      <c r="AD468" s="5">
        <v>7</v>
      </c>
      <c r="AE468" s="5">
        <v>7</v>
      </c>
      <c r="AF468" s="5">
        <v>-16</v>
      </c>
      <c r="AG468" s="5">
        <v>7</v>
      </c>
      <c r="AH468" s="5">
        <v>-1</v>
      </c>
      <c r="AI468" s="5">
        <v>12</v>
      </c>
      <c r="AJ468" s="5">
        <v>4</v>
      </c>
      <c r="AK468" s="5">
        <v>-19</v>
      </c>
      <c r="AL468" s="6">
        <v>0</v>
      </c>
    </row>
    <row r="469" spans="1:38">
      <c r="A469" s="4">
        <v>12</v>
      </c>
      <c r="B469" s="5">
        <v>-1</v>
      </c>
      <c r="C469" s="5">
        <v>29</v>
      </c>
      <c r="D469" s="5">
        <v>-28</v>
      </c>
      <c r="E469" s="5">
        <v>10</v>
      </c>
      <c r="F469" s="5">
        <v>0</v>
      </c>
      <c r="G469" s="5">
        <v>15</v>
      </c>
      <c r="H469" s="5">
        <v>26</v>
      </c>
      <c r="I469" s="5">
        <v>3</v>
      </c>
      <c r="J469" s="5">
        <v>33</v>
      </c>
      <c r="K469" s="5">
        <v>-28</v>
      </c>
      <c r="L469" s="5">
        <v>0</v>
      </c>
      <c r="M469" s="5">
        <v>-34</v>
      </c>
      <c r="N469" s="5">
        <v>9</v>
      </c>
      <c r="O469" s="5">
        <v>-7</v>
      </c>
      <c r="P469" s="5">
        <v>10</v>
      </c>
      <c r="Q469" s="5">
        <v>8</v>
      </c>
      <c r="R469" s="5">
        <v>1</v>
      </c>
      <c r="S469" s="5">
        <v>7</v>
      </c>
      <c r="T469" s="5">
        <v>26</v>
      </c>
      <c r="U469" s="5">
        <v>27</v>
      </c>
      <c r="V469" s="5">
        <v>-7</v>
      </c>
      <c r="W469" s="5">
        <v>-21</v>
      </c>
      <c r="X469" s="5">
        <v>5</v>
      </c>
      <c r="Y469" s="5">
        <v>-17</v>
      </c>
      <c r="Z469" s="5">
        <v>-4</v>
      </c>
      <c r="AA469" s="5">
        <v>14</v>
      </c>
      <c r="AB469" s="5">
        <v>13</v>
      </c>
      <c r="AC469" s="5">
        <v>2</v>
      </c>
      <c r="AD469" s="5">
        <v>-5</v>
      </c>
      <c r="AE469" s="5">
        <v>3</v>
      </c>
      <c r="AF469" s="5">
        <v>-6</v>
      </c>
      <c r="AG469" s="5">
        <v>-3</v>
      </c>
      <c r="AH469" s="5">
        <v>4</v>
      </c>
      <c r="AI469" s="5">
        <v>15</v>
      </c>
      <c r="AJ469" s="5">
        <v>-2</v>
      </c>
      <c r="AK469" s="5">
        <v>-42</v>
      </c>
      <c r="AL469" s="6">
        <v>-9</v>
      </c>
    </row>
    <row r="470" spans="1:38">
      <c r="A470" s="4">
        <v>4</v>
      </c>
      <c r="B470" s="5">
        <v>-9</v>
      </c>
      <c r="C470" s="5">
        <v>18</v>
      </c>
      <c r="D470" s="5">
        <v>-7</v>
      </c>
      <c r="E470" s="5">
        <v>0</v>
      </c>
      <c r="F470" s="5">
        <v>-2</v>
      </c>
      <c r="G470" s="5">
        <v>1</v>
      </c>
      <c r="H470" s="5">
        <v>9</v>
      </c>
      <c r="I470" s="5">
        <v>7</v>
      </c>
      <c r="J470" s="5">
        <v>23</v>
      </c>
      <c r="K470" s="5">
        <v>-21</v>
      </c>
      <c r="L470" s="5">
        <v>25</v>
      </c>
      <c r="M470" s="5">
        <v>-36</v>
      </c>
      <c r="N470" s="5">
        <v>-6</v>
      </c>
      <c r="O470" s="5">
        <v>-2</v>
      </c>
      <c r="P470" s="5">
        <v>27</v>
      </c>
      <c r="Q470" s="5">
        <v>19</v>
      </c>
      <c r="R470" s="5">
        <v>-5</v>
      </c>
      <c r="S470" s="5">
        <v>0</v>
      </c>
      <c r="T470" s="5">
        <v>31</v>
      </c>
      <c r="U470" s="5">
        <v>-8</v>
      </c>
      <c r="V470" s="5">
        <v>10</v>
      </c>
      <c r="W470" s="5">
        <v>-24</v>
      </c>
      <c r="X470" s="5">
        <v>-17</v>
      </c>
      <c r="Y470" s="5">
        <v>-28</v>
      </c>
      <c r="Z470" s="5">
        <v>29</v>
      </c>
      <c r="AA470" s="5">
        <v>-7</v>
      </c>
      <c r="AB470" s="5">
        <v>-38</v>
      </c>
      <c r="AC470" s="5">
        <v>-14</v>
      </c>
      <c r="AD470" s="5">
        <v>17</v>
      </c>
      <c r="AE470" s="5">
        <v>4</v>
      </c>
      <c r="AF470" s="5">
        <v>0</v>
      </c>
      <c r="AG470" s="5">
        <v>-17</v>
      </c>
      <c r="AH470" s="5">
        <v>4</v>
      </c>
      <c r="AI470" s="5">
        <v>13</v>
      </c>
      <c r="AJ470" s="5">
        <v>-23</v>
      </c>
      <c r="AK470" s="5">
        <v>2</v>
      </c>
      <c r="AL470" s="6">
        <v>23</v>
      </c>
    </row>
    <row r="471" spans="1:38">
      <c r="A471" s="4">
        <v>2</v>
      </c>
      <c r="B471" s="5">
        <v>34</v>
      </c>
      <c r="C471" s="5">
        <v>17</v>
      </c>
      <c r="D471" s="5">
        <v>-58</v>
      </c>
      <c r="E471" s="5">
        <v>-15</v>
      </c>
      <c r="F471" s="5">
        <v>0</v>
      </c>
      <c r="G471" s="5">
        <v>16</v>
      </c>
      <c r="H471" s="5">
        <v>11</v>
      </c>
      <c r="I471" s="5">
        <v>0</v>
      </c>
      <c r="J471" s="5">
        <v>25</v>
      </c>
      <c r="K471" s="5">
        <v>-30</v>
      </c>
      <c r="L471" s="5">
        <v>-4</v>
      </c>
      <c r="M471" s="5">
        <v>12</v>
      </c>
      <c r="N471" s="5">
        <v>4</v>
      </c>
      <c r="O471" s="5">
        <v>-1</v>
      </c>
      <c r="P471" s="5">
        <v>15</v>
      </c>
      <c r="Q471" s="5">
        <v>-1</v>
      </c>
      <c r="R471" s="5">
        <v>-11</v>
      </c>
      <c r="S471" s="5">
        <v>1</v>
      </c>
      <c r="T471" s="5">
        <v>2</v>
      </c>
      <c r="U471" s="5">
        <v>-9</v>
      </c>
      <c r="V471" s="5">
        <v>5</v>
      </c>
      <c r="W471" s="5">
        <v>1</v>
      </c>
      <c r="X471" s="5">
        <v>-32</v>
      </c>
      <c r="Y471" s="5">
        <v>-19</v>
      </c>
      <c r="Z471" s="5">
        <v>-29</v>
      </c>
      <c r="AA471" s="5">
        <v>-2</v>
      </c>
      <c r="AB471" s="5">
        <v>-12</v>
      </c>
      <c r="AC471" s="5">
        <v>13</v>
      </c>
      <c r="AD471" s="5">
        <v>-20</v>
      </c>
      <c r="AE471" s="5">
        <v>-10</v>
      </c>
      <c r="AF471" s="5">
        <v>-14</v>
      </c>
      <c r="AG471" s="5">
        <v>-17</v>
      </c>
      <c r="AH471" s="5">
        <v>4</v>
      </c>
      <c r="AI471" s="5">
        <v>-13</v>
      </c>
      <c r="AJ471" s="5">
        <v>5</v>
      </c>
      <c r="AK471" s="5">
        <v>27</v>
      </c>
      <c r="AL471" s="6">
        <v>-7</v>
      </c>
    </row>
    <row r="472" spans="1:38">
      <c r="A472" s="4">
        <v>9</v>
      </c>
      <c r="B472" s="5">
        <v>-8</v>
      </c>
      <c r="C472" s="5">
        <v>-1</v>
      </c>
      <c r="D472" s="5">
        <v>-12</v>
      </c>
      <c r="E472" s="5">
        <v>0</v>
      </c>
      <c r="F472" s="5">
        <v>6</v>
      </c>
      <c r="G472" s="5">
        <v>15</v>
      </c>
      <c r="H472" s="5">
        <v>10</v>
      </c>
      <c r="I472" s="5">
        <v>-12</v>
      </c>
      <c r="J472" s="5">
        <v>3</v>
      </c>
      <c r="K472" s="5">
        <v>-14</v>
      </c>
      <c r="L472" s="5">
        <v>12</v>
      </c>
      <c r="M472" s="5">
        <v>13</v>
      </c>
      <c r="N472" s="5">
        <v>2</v>
      </c>
      <c r="O472" s="5">
        <v>-9</v>
      </c>
      <c r="P472" s="5">
        <v>4</v>
      </c>
      <c r="Q472" s="5">
        <v>-11</v>
      </c>
      <c r="R472" s="5">
        <v>3</v>
      </c>
      <c r="S472" s="5">
        <v>-1</v>
      </c>
      <c r="T472" s="5">
        <v>-13</v>
      </c>
      <c r="U472" s="5">
        <v>-5</v>
      </c>
      <c r="V472" s="5">
        <v>8</v>
      </c>
      <c r="W472" s="5">
        <v>-16</v>
      </c>
      <c r="X472" s="5">
        <v>-24</v>
      </c>
      <c r="Y472" s="5">
        <v>-21</v>
      </c>
      <c r="Z472" s="5">
        <v>8</v>
      </c>
      <c r="AA472" s="5">
        <v>-16</v>
      </c>
      <c r="AB472" s="5">
        <v>18</v>
      </c>
      <c r="AC472" s="5">
        <v>1</v>
      </c>
      <c r="AD472" s="5">
        <v>14</v>
      </c>
      <c r="AE472" s="5">
        <v>-9</v>
      </c>
      <c r="AF472" s="5">
        <v>19</v>
      </c>
      <c r="AG472" s="5">
        <v>-33</v>
      </c>
      <c r="AH472" s="5">
        <v>-16</v>
      </c>
      <c r="AI472" s="5">
        <v>-37</v>
      </c>
      <c r="AJ472" s="5">
        <v>-13</v>
      </c>
      <c r="AK472" s="5">
        <v>-2</v>
      </c>
      <c r="AL472" s="6">
        <v>-18</v>
      </c>
    </row>
    <row r="473" spans="1:38">
      <c r="A473" s="4">
        <v>-2</v>
      </c>
      <c r="B473" s="5">
        <v>18</v>
      </c>
      <c r="C473" s="5">
        <v>-1</v>
      </c>
      <c r="D473" s="5">
        <v>-48</v>
      </c>
      <c r="E473" s="5">
        <v>-3</v>
      </c>
      <c r="F473" s="5">
        <v>-6</v>
      </c>
      <c r="G473" s="5">
        <v>5</v>
      </c>
      <c r="H473" s="5">
        <v>30</v>
      </c>
      <c r="I473" s="5">
        <v>-11</v>
      </c>
      <c r="J473" s="5">
        <v>24</v>
      </c>
      <c r="K473" s="5">
        <v>-9</v>
      </c>
      <c r="L473" s="5">
        <v>11</v>
      </c>
      <c r="M473" s="5">
        <v>2</v>
      </c>
      <c r="N473" s="5">
        <v>-1</v>
      </c>
      <c r="O473" s="5">
        <v>-7</v>
      </c>
      <c r="P473" s="5">
        <v>-4</v>
      </c>
      <c r="Q473" s="5">
        <v>21</v>
      </c>
      <c r="R473" s="5">
        <v>-3</v>
      </c>
      <c r="S473" s="5">
        <v>7</v>
      </c>
      <c r="T473" s="5">
        <v>20</v>
      </c>
      <c r="U473" s="5">
        <v>-1</v>
      </c>
      <c r="V473" s="5">
        <v>16</v>
      </c>
      <c r="W473" s="5">
        <v>16</v>
      </c>
      <c r="X473" s="5">
        <v>-6</v>
      </c>
      <c r="Y473" s="5">
        <v>2</v>
      </c>
      <c r="Z473" s="5">
        <v>-15</v>
      </c>
      <c r="AA473" s="5">
        <v>-18</v>
      </c>
      <c r="AB473" s="5">
        <v>-1</v>
      </c>
      <c r="AC473" s="5">
        <v>-1</v>
      </c>
      <c r="AD473" s="5">
        <v>-13</v>
      </c>
      <c r="AE473" s="5">
        <v>-23</v>
      </c>
      <c r="AF473" s="5">
        <v>-20</v>
      </c>
      <c r="AG473" s="5">
        <v>12</v>
      </c>
      <c r="AH473" s="5">
        <v>-3</v>
      </c>
      <c r="AI473" s="5">
        <v>-4</v>
      </c>
      <c r="AJ473" s="5">
        <v>-17</v>
      </c>
      <c r="AK473" s="5">
        <v>-7</v>
      </c>
      <c r="AL473" s="6">
        <v>12</v>
      </c>
    </row>
    <row r="474" spans="1:38">
      <c r="A474" s="4">
        <v>1</v>
      </c>
      <c r="B474" s="5">
        <v>25</v>
      </c>
      <c r="C474" s="5">
        <v>14</v>
      </c>
      <c r="D474" s="5">
        <v>-30</v>
      </c>
      <c r="E474" s="5">
        <v>-2</v>
      </c>
      <c r="F474" s="5">
        <v>2</v>
      </c>
      <c r="G474" s="5">
        <v>-4</v>
      </c>
      <c r="H474" s="5">
        <v>11</v>
      </c>
      <c r="I474" s="5">
        <v>-15</v>
      </c>
      <c r="J474" s="5">
        <v>-4</v>
      </c>
      <c r="K474" s="5">
        <v>-19</v>
      </c>
      <c r="L474" s="5">
        <v>15</v>
      </c>
      <c r="M474" s="5">
        <v>11</v>
      </c>
      <c r="N474" s="5">
        <v>-10</v>
      </c>
      <c r="O474" s="5">
        <v>-2</v>
      </c>
      <c r="P474" s="5">
        <v>20</v>
      </c>
      <c r="Q474" s="5">
        <v>-8</v>
      </c>
      <c r="R474" s="5">
        <v>-9</v>
      </c>
      <c r="S474" s="5">
        <v>26</v>
      </c>
      <c r="T474" s="5">
        <v>4</v>
      </c>
      <c r="U474" s="5">
        <v>-15</v>
      </c>
      <c r="V474" s="5">
        <v>-14</v>
      </c>
      <c r="W474" s="5">
        <v>12</v>
      </c>
      <c r="X474" s="5">
        <v>-29</v>
      </c>
      <c r="Y474" s="5">
        <v>-22</v>
      </c>
      <c r="Z474" s="5">
        <v>-14</v>
      </c>
      <c r="AA474" s="5">
        <v>-19</v>
      </c>
      <c r="AB474" s="5">
        <v>3</v>
      </c>
      <c r="AC474" s="5">
        <v>-13</v>
      </c>
      <c r="AD474" s="5">
        <v>-8</v>
      </c>
      <c r="AE474" s="5">
        <v>-9</v>
      </c>
      <c r="AF474" s="5">
        <v>6</v>
      </c>
      <c r="AG474" s="5">
        <v>0</v>
      </c>
      <c r="AH474" s="5">
        <v>-21</v>
      </c>
      <c r="AI474" s="5">
        <v>-28</v>
      </c>
      <c r="AJ474" s="5">
        <v>-26</v>
      </c>
      <c r="AK474" s="5">
        <v>7</v>
      </c>
      <c r="AL474" s="6">
        <v>-11</v>
      </c>
    </row>
    <row r="475" spans="1:38">
      <c r="A475" s="4">
        <v>-3</v>
      </c>
      <c r="B475" s="5">
        <v>-5</v>
      </c>
      <c r="C475" s="5">
        <v>-9</v>
      </c>
      <c r="D475" s="5">
        <v>-38</v>
      </c>
      <c r="E475" s="5">
        <v>-10</v>
      </c>
      <c r="F475" s="5">
        <v>5</v>
      </c>
      <c r="G475" s="5">
        <v>8</v>
      </c>
      <c r="H475" s="5">
        <v>19</v>
      </c>
      <c r="I475" s="5">
        <v>-12</v>
      </c>
      <c r="J475" s="5">
        <v>3</v>
      </c>
      <c r="K475" s="5">
        <v>-22</v>
      </c>
      <c r="L475" s="5">
        <v>19</v>
      </c>
      <c r="M475" s="5">
        <v>-13</v>
      </c>
      <c r="N475" s="5">
        <v>3</v>
      </c>
      <c r="O475" s="5">
        <v>-9</v>
      </c>
      <c r="P475" s="5">
        <v>17</v>
      </c>
      <c r="Q475" s="5">
        <v>1</v>
      </c>
      <c r="R475" s="5">
        <v>3</v>
      </c>
      <c r="S475" s="5">
        <v>-34</v>
      </c>
      <c r="T475" s="5">
        <v>19</v>
      </c>
      <c r="U475" s="5">
        <v>30</v>
      </c>
      <c r="V475" s="5">
        <v>3</v>
      </c>
      <c r="W475" s="5">
        <v>16</v>
      </c>
      <c r="X475" s="5">
        <v>-34</v>
      </c>
      <c r="Y475" s="5">
        <v>-4</v>
      </c>
      <c r="Z475" s="5">
        <v>-6</v>
      </c>
      <c r="AA475" s="5">
        <v>-20</v>
      </c>
      <c r="AB475" s="5">
        <v>-10</v>
      </c>
      <c r="AC475" s="5">
        <v>-14</v>
      </c>
      <c r="AD475" s="5">
        <v>13</v>
      </c>
      <c r="AE475" s="5">
        <v>-15</v>
      </c>
      <c r="AF475" s="5">
        <v>-1</v>
      </c>
      <c r="AG475" s="5">
        <v>-6</v>
      </c>
      <c r="AH475" s="5">
        <v>14</v>
      </c>
      <c r="AI475" s="5">
        <v>2</v>
      </c>
      <c r="AJ475" s="5">
        <v>-37</v>
      </c>
      <c r="AK475" s="5">
        <v>20</v>
      </c>
      <c r="AL475" s="6">
        <v>0</v>
      </c>
    </row>
    <row r="476" spans="1:38">
      <c r="A476" s="4">
        <v>15</v>
      </c>
      <c r="B476" s="5">
        <v>6</v>
      </c>
      <c r="C476" s="5">
        <v>13</v>
      </c>
      <c r="D476" s="5">
        <v>17</v>
      </c>
      <c r="E476" s="5">
        <v>-5</v>
      </c>
      <c r="F476" s="5">
        <v>14</v>
      </c>
      <c r="G476" s="5">
        <v>10</v>
      </c>
      <c r="H476" s="5">
        <v>5</v>
      </c>
      <c r="I476" s="5">
        <v>10</v>
      </c>
      <c r="J476" s="5">
        <v>-13</v>
      </c>
      <c r="K476" s="5">
        <v>9</v>
      </c>
      <c r="L476" s="5">
        <v>-6</v>
      </c>
      <c r="M476" s="5">
        <v>-4</v>
      </c>
      <c r="N476" s="5">
        <v>6</v>
      </c>
      <c r="O476" s="5">
        <v>7</v>
      </c>
      <c r="P476" s="5">
        <v>12</v>
      </c>
      <c r="Q476" s="5">
        <v>11</v>
      </c>
      <c r="R476" s="5">
        <v>-7</v>
      </c>
      <c r="S476" s="5">
        <v>9</v>
      </c>
      <c r="T476" s="5">
        <v>-4</v>
      </c>
      <c r="U476" s="5">
        <v>11</v>
      </c>
      <c r="V476" s="5">
        <v>10</v>
      </c>
      <c r="W476" s="5">
        <v>5</v>
      </c>
      <c r="X476" s="5">
        <v>-2</v>
      </c>
      <c r="Y476" s="5">
        <v>-12</v>
      </c>
      <c r="Z476" s="5">
        <v>18</v>
      </c>
      <c r="AA476" s="5">
        <v>3</v>
      </c>
      <c r="AB476" s="5">
        <v>-8</v>
      </c>
      <c r="AC476" s="5">
        <v>3</v>
      </c>
      <c r="AD476" s="5">
        <v>8</v>
      </c>
      <c r="AE476" s="5">
        <v>21</v>
      </c>
      <c r="AF476" s="5">
        <v>5</v>
      </c>
      <c r="AG476" s="5">
        <v>-1</v>
      </c>
      <c r="AH476" s="5">
        <v>0</v>
      </c>
      <c r="AI476" s="5">
        <v>11</v>
      </c>
      <c r="AJ476" s="5">
        <v>-4</v>
      </c>
      <c r="AK476" s="5">
        <v>17</v>
      </c>
      <c r="AL476" s="6">
        <v>-4</v>
      </c>
    </row>
    <row r="477" spans="1:38">
      <c r="A477" s="4">
        <v>0</v>
      </c>
      <c r="B477" s="5">
        <v>10</v>
      </c>
      <c r="C477" s="5">
        <v>-3</v>
      </c>
      <c r="D477" s="5">
        <v>-6</v>
      </c>
      <c r="E477" s="5">
        <v>0</v>
      </c>
      <c r="F477" s="5">
        <v>8</v>
      </c>
      <c r="G477" s="5">
        <v>2</v>
      </c>
      <c r="H477" s="5">
        <v>6</v>
      </c>
      <c r="I477" s="5">
        <v>4</v>
      </c>
      <c r="J477" s="5">
        <v>-12</v>
      </c>
      <c r="K477" s="5">
        <v>-7</v>
      </c>
      <c r="L477" s="5">
        <v>7</v>
      </c>
      <c r="M477" s="5">
        <v>-8</v>
      </c>
      <c r="N477" s="5">
        <v>-7</v>
      </c>
      <c r="O477" s="5">
        <v>-7</v>
      </c>
      <c r="P477" s="5">
        <v>-8</v>
      </c>
      <c r="Q477" s="5">
        <v>-7</v>
      </c>
      <c r="R477" s="5">
        <v>-5</v>
      </c>
      <c r="S477" s="5">
        <v>4</v>
      </c>
      <c r="T477" s="5">
        <v>-2</v>
      </c>
      <c r="U477" s="5">
        <v>18</v>
      </c>
      <c r="V477" s="5">
        <v>19</v>
      </c>
      <c r="W477" s="5">
        <v>-1</v>
      </c>
      <c r="X477" s="5">
        <v>-2</v>
      </c>
      <c r="Y477" s="5">
        <v>0</v>
      </c>
      <c r="Z477" s="5">
        <v>-6</v>
      </c>
      <c r="AA477" s="5">
        <v>-11</v>
      </c>
      <c r="AB477" s="5">
        <v>6</v>
      </c>
      <c r="AC477" s="5">
        <v>12</v>
      </c>
      <c r="AD477" s="5">
        <v>-6</v>
      </c>
      <c r="AE477" s="5">
        <v>3</v>
      </c>
      <c r="AF477" s="5">
        <v>-18</v>
      </c>
      <c r="AG477" s="5">
        <v>-6</v>
      </c>
      <c r="AH477" s="5">
        <v>-14</v>
      </c>
      <c r="AI477" s="5">
        <v>-19</v>
      </c>
      <c r="AJ477" s="5">
        <v>15</v>
      </c>
      <c r="AK477" s="5">
        <v>-13</v>
      </c>
      <c r="AL477" s="6">
        <v>1</v>
      </c>
    </row>
    <row r="478" spans="1:38">
      <c r="A478" s="4">
        <v>6</v>
      </c>
      <c r="B478" s="5">
        <v>-2</v>
      </c>
      <c r="C478" s="5">
        <v>-3</v>
      </c>
      <c r="D478" s="5">
        <v>5</v>
      </c>
      <c r="E478" s="5">
        <v>-5</v>
      </c>
      <c r="F478" s="5">
        <v>22</v>
      </c>
      <c r="G478" s="5">
        <v>31</v>
      </c>
      <c r="H478" s="5">
        <v>9</v>
      </c>
      <c r="I478" s="5">
        <v>-1</v>
      </c>
      <c r="J478" s="5">
        <v>-26</v>
      </c>
      <c r="K478" s="5">
        <v>-1</v>
      </c>
      <c r="L478" s="5">
        <v>-5</v>
      </c>
      <c r="M478" s="5">
        <v>-12</v>
      </c>
      <c r="N478" s="5">
        <v>-9</v>
      </c>
      <c r="O478" s="5">
        <v>11</v>
      </c>
      <c r="P478" s="5">
        <v>-5</v>
      </c>
      <c r="Q478" s="5">
        <v>0</v>
      </c>
      <c r="R478" s="5">
        <v>0</v>
      </c>
      <c r="S478" s="5">
        <v>19</v>
      </c>
      <c r="T478" s="5">
        <v>-19</v>
      </c>
      <c r="U478" s="5">
        <v>14</v>
      </c>
      <c r="V478" s="5">
        <v>24</v>
      </c>
      <c r="W478" s="5">
        <v>10</v>
      </c>
      <c r="X478" s="5">
        <v>-8</v>
      </c>
      <c r="Y478" s="5">
        <v>-2</v>
      </c>
      <c r="Z478" s="5">
        <v>21</v>
      </c>
      <c r="AA478" s="5">
        <v>-3</v>
      </c>
      <c r="AB478" s="5">
        <v>9</v>
      </c>
      <c r="AC478" s="5">
        <v>13</v>
      </c>
      <c r="AD478" s="5">
        <v>9</v>
      </c>
      <c r="AE478" s="5">
        <v>6</v>
      </c>
      <c r="AF478" s="5">
        <v>-3</v>
      </c>
      <c r="AG478" s="5">
        <v>-7</v>
      </c>
      <c r="AH478" s="5">
        <v>-10</v>
      </c>
      <c r="AI478" s="5">
        <v>13</v>
      </c>
      <c r="AJ478" s="5">
        <v>-3</v>
      </c>
      <c r="AK478" s="5">
        <v>17</v>
      </c>
      <c r="AL478" s="6">
        <v>-9</v>
      </c>
    </row>
    <row r="479" spans="1:38">
      <c r="A479" s="4">
        <v>10</v>
      </c>
      <c r="B479" s="5">
        <v>-6</v>
      </c>
      <c r="C479" s="5">
        <v>-25</v>
      </c>
      <c r="D479" s="5">
        <v>-20</v>
      </c>
      <c r="E479" s="5">
        <v>0</v>
      </c>
      <c r="F479" s="5">
        <v>42</v>
      </c>
      <c r="G479" s="5">
        <v>30</v>
      </c>
      <c r="H479" s="5">
        <v>0</v>
      </c>
      <c r="I479" s="5">
        <v>-2</v>
      </c>
      <c r="J479" s="5">
        <v>-19</v>
      </c>
      <c r="K479" s="5">
        <v>-18</v>
      </c>
      <c r="L479" s="5">
        <v>-14</v>
      </c>
      <c r="M479" s="5">
        <v>-16</v>
      </c>
      <c r="N479" s="5">
        <v>-5</v>
      </c>
      <c r="O479" s="5">
        <v>20</v>
      </c>
      <c r="P479" s="5">
        <v>4</v>
      </c>
      <c r="Q479" s="5">
        <v>11</v>
      </c>
      <c r="R479" s="5">
        <v>-15</v>
      </c>
      <c r="S479" s="5">
        <v>1</v>
      </c>
      <c r="T479" s="5">
        <v>-29</v>
      </c>
      <c r="U479" s="5">
        <v>15</v>
      </c>
      <c r="V479" s="5">
        <v>7</v>
      </c>
      <c r="W479" s="5">
        <v>1</v>
      </c>
      <c r="X479" s="5">
        <v>2</v>
      </c>
      <c r="Y479" s="5">
        <v>8</v>
      </c>
      <c r="Z479" s="5">
        <v>36</v>
      </c>
      <c r="AA479" s="5">
        <v>-19</v>
      </c>
      <c r="AB479" s="5">
        <v>11</v>
      </c>
      <c r="AC479" s="5">
        <v>3</v>
      </c>
      <c r="AD479" s="5">
        <v>-6</v>
      </c>
      <c r="AE479" s="5">
        <v>-9</v>
      </c>
      <c r="AF479" s="5">
        <v>6</v>
      </c>
      <c r="AG479" s="5">
        <v>-3</v>
      </c>
      <c r="AH479" s="5">
        <v>-19</v>
      </c>
      <c r="AI479" s="5">
        <v>5</v>
      </c>
      <c r="AJ479" s="5">
        <v>5</v>
      </c>
      <c r="AK479" s="5">
        <v>15</v>
      </c>
      <c r="AL479" s="6">
        <v>-23</v>
      </c>
    </row>
    <row r="480" spans="1:38">
      <c r="A480" s="4">
        <v>-6</v>
      </c>
      <c r="B480" s="5">
        <v>-27</v>
      </c>
      <c r="C480" s="5">
        <v>-31</v>
      </c>
      <c r="D480" s="5">
        <v>-43</v>
      </c>
      <c r="E480" s="5">
        <v>23</v>
      </c>
      <c r="F480" s="5">
        <v>25</v>
      </c>
      <c r="G480" s="5">
        <v>29</v>
      </c>
      <c r="H480" s="5">
        <v>31</v>
      </c>
      <c r="I480" s="5">
        <v>-13</v>
      </c>
      <c r="J480" s="5">
        <v>1</v>
      </c>
      <c r="K480" s="5">
        <v>-5</v>
      </c>
      <c r="L480" s="5">
        <v>4</v>
      </c>
      <c r="M480" s="5">
        <v>-46</v>
      </c>
      <c r="N480" s="5">
        <v>-27</v>
      </c>
      <c r="O480" s="5">
        <v>41</v>
      </c>
      <c r="P480" s="5">
        <v>-6</v>
      </c>
      <c r="Q480" s="5">
        <v>-9</v>
      </c>
      <c r="R480" s="5">
        <v>13</v>
      </c>
      <c r="S480" s="5">
        <v>-8</v>
      </c>
      <c r="T480" s="5">
        <v>-5</v>
      </c>
      <c r="U480" s="5">
        <v>18</v>
      </c>
      <c r="V480" s="5">
        <v>22</v>
      </c>
      <c r="W480" s="5">
        <v>10</v>
      </c>
      <c r="X480" s="5">
        <v>1</v>
      </c>
      <c r="Y480" s="5">
        <v>11</v>
      </c>
      <c r="Z480" s="5">
        <v>-6</v>
      </c>
      <c r="AA480" s="5">
        <v>-4</v>
      </c>
      <c r="AB480" s="5">
        <v>-46</v>
      </c>
      <c r="AC480" s="5">
        <v>-12</v>
      </c>
      <c r="AD480" s="5">
        <v>-21</v>
      </c>
      <c r="AE480" s="5">
        <v>26</v>
      </c>
      <c r="AF480" s="5">
        <v>8</v>
      </c>
      <c r="AG480" s="5">
        <v>14</v>
      </c>
      <c r="AH480" s="5">
        <v>-4</v>
      </c>
      <c r="AI480" s="5">
        <v>-42</v>
      </c>
      <c r="AJ480" s="5">
        <v>58</v>
      </c>
      <c r="AK480" s="5">
        <v>5</v>
      </c>
      <c r="AL480" s="6">
        <v>-30</v>
      </c>
    </row>
    <row r="481" spans="1:38">
      <c r="A481" s="4">
        <v>-4</v>
      </c>
      <c r="B481" s="5">
        <v>-2</v>
      </c>
      <c r="C481" s="5">
        <v>6</v>
      </c>
      <c r="D481" s="5">
        <v>0</v>
      </c>
      <c r="E481" s="5">
        <v>0</v>
      </c>
      <c r="F481" s="5">
        <v>9</v>
      </c>
      <c r="G481" s="5">
        <v>-1</v>
      </c>
      <c r="H481" s="5">
        <v>8</v>
      </c>
      <c r="I481" s="5">
        <v>0</v>
      </c>
      <c r="J481" s="5">
        <v>-5</v>
      </c>
      <c r="K481" s="5">
        <v>6</v>
      </c>
      <c r="L481" s="5">
        <v>4</v>
      </c>
      <c r="M481" s="5">
        <v>-12</v>
      </c>
      <c r="N481" s="5">
        <v>-2</v>
      </c>
      <c r="O481" s="5">
        <v>16</v>
      </c>
      <c r="P481" s="5">
        <v>-2</v>
      </c>
      <c r="Q481" s="5">
        <v>13</v>
      </c>
      <c r="R481" s="5">
        <v>-4</v>
      </c>
      <c r="S481" s="5">
        <v>11</v>
      </c>
      <c r="T481" s="5">
        <v>-13</v>
      </c>
      <c r="U481" s="5">
        <v>10</v>
      </c>
      <c r="V481" s="5">
        <v>-4</v>
      </c>
      <c r="W481" s="5">
        <v>4</v>
      </c>
      <c r="X481" s="5">
        <v>7</v>
      </c>
      <c r="Y481" s="5">
        <v>0</v>
      </c>
      <c r="Z481" s="5">
        <v>13</v>
      </c>
      <c r="AA481" s="5">
        <v>9</v>
      </c>
      <c r="AB481" s="5">
        <v>-5</v>
      </c>
      <c r="AC481" s="5">
        <v>12</v>
      </c>
      <c r="AD481" s="5">
        <v>7</v>
      </c>
      <c r="AE481" s="5">
        <v>-1</v>
      </c>
      <c r="AF481" s="5">
        <v>9</v>
      </c>
      <c r="AG481" s="5">
        <v>-4</v>
      </c>
      <c r="AH481" s="5">
        <v>-8</v>
      </c>
      <c r="AI481" s="5">
        <v>-2</v>
      </c>
      <c r="AJ481" s="5">
        <v>0</v>
      </c>
      <c r="AK481" s="5">
        <v>6</v>
      </c>
      <c r="AL481" s="6">
        <v>-12</v>
      </c>
    </row>
    <row r="482" spans="1:38">
      <c r="A482" s="4">
        <v>1</v>
      </c>
      <c r="B482" s="5">
        <v>1</v>
      </c>
      <c r="C482" s="5">
        <v>-9</v>
      </c>
      <c r="D482" s="5">
        <v>-28</v>
      </c>
      <c r="E482" s="5">
        <v>8</v>
      </c>
      <c r="F482" s="5">
        <v>31</v>
      </c>
      <c r="G482" s="5">
        <v>26</v>
      </c>
      <c r="H482" s="5">
        <v>16</v>
      </c>
      <c r="I482" s="5">
        <v>-3</v>
      </c>
      <c r="J482" s="5">
        <v>-29</v>
      </c>
      <c r="K482" s="5">
        <v>-7</v>
      </c>
      <c r="L482" s="5">
        <v>16</v>
      </c>
      <c r="M482" s="5">
        <v>-23</v>
      </c>
      <c r="N482" s="5">
        <v>-21</v>
      </c>
      <c r="O482" s="5">
        <v>49</v>
      </c>
      <c r="P482" s="5">
        <v>-19</v>
      </c>
      <c r="Q482" s="5">
        <v>5</v>
      </c>
      <c r="R482" s="5">
        <v>-8</v>
      </c>
      <c r="S482" s="5">
        <v>-9</v>
      </c>
      <c r="T482" s="5">
        <v>-18</v>
      </c>
      <c r="U482" s="5">
        <v>14</v>
      </c>
      <c r="V482" s="5">
        <v>14</v>
      </c>
      <c r="W482" s="5">
        <v>-3</v>
      </c>
      <c r="X482" s="5">
        <v>1</v>
      </c>
      <c r="Y482" s="5">
        <v>11</v>
      </c>
      <c r="Z482" s="5">
        <v>0</v>
      </c>
      <c r="AA482" s="5">
        <v>-17</v>
      </c>
      <c r="AB482" s="5">
        <v>-16</v>
      </c>
      <c r="AC482" s="5">
        <v>0</v>
      </c>
      <c r="AD482" s="5">
        <v>-2</v>
      </c>
      <c r="AE482" s="5">
        <v>17</v>
      </c>
      <c r="AF482" s="5">
        <v>6</v>
      </c>
      <c r="AG482" s="5">
        <v>-8</v>
      </c>
      <c r="AH482" s="5">
        <v>-17</v>
      </c>
      <c r="AI482" s="5">
        <v>-6</v>
      </c>
      <c r="AJ482" s="5">
        <v>34</v>
      </c>
      <c r="AK482" s="5">
        <v>16</v>
      </c>
      <c r="AL482" s="6">
        <v>-29</v>
      </c>
    </row>
    <row r="483" spans="1:38">
      <c r="A483" s="4">
        <v>4</v>
      </c>
      <c r="B483" s="5">
        <v>4</v>
      </c>
      <c r="C483" s="5">
        <v>-14</v>
      </c>
      <c r="D483" s="5">
        <v>-13</v>
      </c>
      <c r="E483" s="5">
        <v>12</v>
      </c>
      <c r="F483" s="5">
        <v>19</v>
      </c>
      <c r="G483" s="5">
        <v>4</v>
      </c>
      <c r="H483" s="5">
        <v>26</v>
      </c>
      <c r="I483" s="5">
        <v>-6</v>
      </c>
      <c r="J483" s="5">
        <v>-12</v>
      </c>
      <c r="K483" s="5">
        <v>-1</v>
      </c>
      <c r="L483" s="5">
        <v>-3</v>
      </c>
      <c r="M483" s="5">
        <v>-9</v>
      </c>
      <c r="N483" s="5">
        <v>-2</v>
      </c>
      <c r="O483" s="5">
        <v>21</v>
      </c>
      <c r="P483" s="5">
        <v>-3</v>
      </c>
      <c r="Q483" s="5">
        <v>-6</v>
      </c>
      <c r="R483" s="5">
        <v>2</v>
      </c>
      <c r="S483" s="5">
        <v>3</v>
      </c>
      <c r="T483" s="5">
        <v>13</v>
      </c>
      <c r="U483" s="5">
        <v>20</v>
      </c>
      <c r="V483" s="5">
        <v>4</v>
      </c>
      <c r="W483" s="5">
        <v>1</v>
      </c>
      <c r="X483" s="5">
        <v>-1</v>
      </c>
      <c r="Y483" s="5">
        <v>6</v>
      </c>
      <c r="Z483" s="5">
        <v>12</v>
      </c>
      <c r="AA483" s="5">
        <v>2</v>
      </c>
      <c r="AB483" s="5">
        <v>-19</v>
      </c>
      <c r="AC483" s="5">
        <v>2</v>
      </c>
      <c r="AD483" s="5">
        <v>-5</v>
      </c>
      <c r="AE483" s="5">
        <v>4</v>
      </c>
      <c r="AF483" s="5">
        <v>15</v>
      </c>
      <c r="AG483" s="5">
        <v>-16</v>
      </c>
      <c r="AH483" s="5">
        <v>-9</v>
      </c>
      <c r="AI483" s="5">
        <v>13</v>
      </c>
      <c r="AJ483" s="5">
        <v>4</v>
      </c>
      <c r="AK483" s="5">
        <v>-3</v>
      </c>
      <c r="AL483" s="6">
        <v>-10</v>
      </c>
    </row>
    <row r="484" spans="1:38">
      <c r="A484" s="4">
        <v>0</v>
      </c>
      <c r="B484" s="5">
        <v>-4</v>
      </c>
      <c r="C484" s="5">
        <v>1</v>
      </c>
      <c r="D484" s="5">
        <v>7</v>
      </c>
      <c r="E484" s="5">
        <v>9</v>
      </c>
      <c r="F484" s="5">
        <v>10</v>
      </c>
      <c r="G484" s="5">
        <v>-3</v>
      </c>
      <c r="H484" s="5">
        <v>-7</v>
      </c>
      <c r="I484" s="5">
        <v>-2</v>
      </c>
      <c r="J484" s="5">
        <v>-9</v>
      </c>
      <c r="K484" s="5">
        <v>-2</v>
      </c>
      <c r="L484" s="5">
        <v>3</v>
      </c>
      <c r="M484" s="5">
        <v>-11</v>
      </c>
      <c r="N484" s="5">
        <v>0</v>
      </c>
      <c r="O484" s="5">
        <v>15</v>
      </c>
      <c r="P484" s="5">
        <v>-7</v>
      </c>
      <c r="Q484" s="5">
        <v>2</v>
      </c>
      <c r="R484" s="5">
        <v>1</v>
      </c>
      <c r="S484" s="5">
        <v>4</v>
      </c>
      <c r="T484" s="5">
        <v>4</v>
      </c>
      <c r="U484" s="5">
        <v>13</v>
      </c>
      <c r="V484" s="5">
        <v>-6</v>
      </c>
      <c r="W484" s="5">
        <v>4</v>
      </c>
      <c r="X484" s="5">
        <v>15</v>
      </c>
      <c r="Y484" s="5">
        <v>8</v>
      </c>
      <c r="Z484" s="5">
        <v>-11</v>
      </c>
      <c r="AA484" s="5">
        <v>-10</v>
      </c>
      <c r="AB484" s="5">
        <v>-15</v>
      </c>
      <c r="AC484" s="5">
        <v>1</v>
      </c>
      <c r="AD484" s="5">
        <v>-10</v>
      </c>
      <c r="AE484" s="5">
        <v>-2</v>
      </c>
      <c r="AF484" s="5">
        <v>-7</v>
      </c>
      <c r="AG484" s="5">
        <v>5</v>
      </c>
      <c r="AH484" s="5">
        <v>2</v>
      </c>
      <c r="AI484" s="5">
        <v>-27</v>
      </c>
      <c r="AJ484" s="5">
        <v>11</v>
      </c>
      <c r="AK484" s="5">
        <v>-6</v>
      </c>
      <c r="AL484" s="6">
        <v>0</v>
      </c>
    </row>
    <row r="485" spans="1:38">
      <c r="A485" s="4">
        <v>-5</v>
      </c>
      <c r="B485" s="5">
        <v>-4</v>
      </c>
      <c r="C485" s="5">
        <v>10</v>
      </c>
      <c r="D485" s="5">
        <v>10</v>
      </c>
      <c r="E485" s="5">
        <v>22</v>
      </c>
      <c r="F485" s="5">
        <v>15</v>
      </c>
      <c r="G485" s="5">
        <v>10</v>
      </c>
      <c r="H485" s="5">
        <v>-12</v>
      </c>
      <c r="I485" s="5">
        <v>-7</v>
      </c>
      <c r="J485" s="5">
        <v>-17</v>
      </c>
      <c r="K485" s="5">
        <v>-7</v>
      </c>
      <c r="L485" s="5">
        <v>7</v>
      </c>
      <c r="M485" s="5">
        <v>-18</v>
      </c>
      <c r="N485" s="5">
        <v>7</v>
      </c>
      <c r="O485" s="5">
        <v>9</v>
      </c>
      <c r="P485" s="5">
        <v>13</v>
      </c>
      <c r="Q485" s="5">
        <v>6</v>
      </c>
      <c r="R485" s="5">
        <v>-3</v>
      </c>
      <c r="S485" s="5">
        <v>5</v>
      </c>
      <c r="T485" s="5">
        <v>0</v>
      </c>
      <c r="U485" s="5">
        <v>-8</v>
      </c>
      <c r="V485" s="5">
        <v>-5</v>
      </c>
      <c r="W485" s="5">
        <v>8</v>
      </c>
      <c r="X485" s="5">
        <v>19</v>
      </c>
      <c r="Y485" s="5">
        <v>8</v>
      </c>
      <c r="Z485" s="5">
        <v>4</v>
      </c>
      <c r="AA485" s="5">
        <v>-12</v>
      </c>
      <c r="AB485" s="5">
        <v>-2</v>
      </c>
      <c r="AC485" s="5">
        <v>11</v>
      </c>
      <c r="AD485" s="5">
        <v>0</v>
      </c>
      <c r="AE485" s="5">
        <v>15</v>
      </c>
      <c r="AF485" s="5">
        <v>-8</v>
      </c>
      <c r="AG485" s="5">
        <v>-1</v>
      </c>
      <c r="AH485" s="5">
        <v>12</v>
      </c>
      <c r="AI485" s="5">
        <v>5</v>
      </c>
      <c r="AJ485" s="5">
        <v>5</v>
      </c>
      <c r="AK485" s="5">
        <v>4</v>
      </c>
      <c r="AL485" s="6">
        <v>10</v>
      </c>
    </row>
    <row r="486" spans="1:38">
      <c r="A486" s="4">
        <v>-12</v>
      </c>
      <c r="B486" s="5">
        <v>-7</v>
      </c>
      <c r="C486" s="5">
        <v>6</v>
      </c>
      <c r="D486" s="5">
        <v>7</v>
      </c>
      <c r="E486" s="5">
        <v>16</v>
      </c>
      <c r="F486" s="5">
        <v>-4</v>
      </c>
      <c r="G486" s="5">
        <v>8</v>
      </c>
      <c r="H486" s="5">
        <v>-7</v>
      </c>
      <c r="I486" s="5">
        <v>-3</v>
      </c>
      <c r="J486" s="5">
        <v>-20</v>
      </c>
      <c r="K486" s="5">
        <v>-6</v>
      </c>
      <c r="L486" s="5">
        <v>17</v>
      </c>
      <c r="M486" s="5">
        <v>-15</v>
      </c>
      <c r="N486" s="5">
        <v>-3</v>
      </c>
      <c r="O486" s="5">
        <v>24</v>
      </c>
      <c r="P486" s="5">
        <v>3</v>
      </c>
      <c r="Q486" s="5">
        <v>-8</v>
      </c>
      <c r="R486" s="5">
        <v>-16</v>
      </c>
      <c r="S486" s="5">
        <v>-5</v>
      </c>
      <c r="T486" s="5">
        <v>8</v>
      </c>
      <c r="U486" s="5">
        <v>-22</v>
      </c>
      <c r="V486" s="5">
        <v>4</v>
      </c>
      <c r="W486" s="5">
        <v>11</v>
      </c>
      <c r="X486" s="5">
        <v>9</v>
      </c>
      <c r="Y486" s="5">
        <v>2</v>
      </c>
      <c r="Z486" s="5">
        <v>-8</v>
      </c>
      <c r="AA486" s="5">
        <v>-3</v>
      </c>
      <c r="AB486" s="5">
        <v>-18</v>
      </c>
      <c r="AC486" s="5">
        <v>-1</v>
      </c>
      <c r="AD486" s="5">
        <v>-3</v>
      </c>
      <c r="AE486" s="5">
        <v>2</v>
      </c>
      <c r="AF486" s="5">
        <v>4</v>
      </c>
      <c r="AG486" s="5">
        <v>12</v>
      </c>
      <c r="AH486" s="5">
        <v>22</v>
      </c>
      <c r="AI486" s="5">
        <v>8</v>
      </c>
      <c r="AJ486" s="5">
        <v>11</v>
      </c>
      <c r="AK486" s="5">
        <v>-7</v>
      </c>
      <c r="AL486" s="6">
        <v>7</v>
      </c>
    </row>
    <row r="487" spans="1:38">
      <c r="A487" s="4">
        <v>-3</v>
      </c>
      <c r="B487" s="5">
        <v>-4</v>
      </c>
      <c r="C487" s="5">
        <v>-12</v>
      </c>
      <c r="D487" s="5">
        <v>2</v>
      </c>
      <c r="E487" s="5">
        <v>13</v>
      </c>
      <c r="F487" s="5">
        <v>-8</v>
      </c>
      <c r="G487" s="5">
        <v>13</v>
      </c>
      <c r="H487" s="5">
        <v>-19</v>
      </c>
      <c r="I487" s="5">
        <v>-7</v>
      </c>
      <c r="J487" s="5">
        <v>10</v>
      </c>
      <c r="K487" s="5">
        <v>25</v>
      </c>
      <c r="L487" s="5">
        <v>12</v>
      </c>
      <c r="M487" s="5">
        <v>-25</v>
      </c>
      <c r="N487" s="5">
        <v>-5</v>
      </c>
      <c r="O487" s="5">
        <v>-3</v>
      </c>
      <c r="P487" s="5">
        <v>-3</v>
      </c>
      <c r="Q487" s="5">
        <v>6</v>
      </c>
      <c r="R487" s="5">
        <v>-6</v>
      </c>
      <c r="S487" s="5">
        <v>-5</v>
      </c>
      <c r="T487" s="5">
        <v>-3</v>
      </c>
      <c r="U487" s="5">
        <v>1</v>
      </c>
      <c r="V487" s="5">
        <v>17</v>
      </c>
      <c r="W487" s="5">
        <v>-11</v>
      </c>
      <c r="X487" s="5">
        <v>-17</v>
      </c>
      <c r="Y487" s="5">
        <v>9</v>
      </c>
      <c r="Z487" s="5">
        <v>21</v>
      </c>
      <c r="AA487" s="5">
        <v>-25</v>
      </c>
      <c r="AB487" s="5">
        <v>1</v>
      </c>
      <c r="AC487" s="5">
        <v>14</v>
      </c>
      <c r="AD487" s="5">
        <v>25</v>
      </c>
      <c r="AE487" s="5">
        <v>13</v>
      </c>
      <c r="AF487" s="5">
        <v>-4</v>
      </c>
      <c r="AG487" s="5">
        <v>4</v>
      </c>
      <c r="AH487" s="5">
        <v>5</v>
      </c>
      <c r="AI487" s="5">
        <v>-8</v>
      </c>
      <c r="AJ487" s="5">
        <v>-21</v>
      </c>
      <c r="AK487" s="5">
        <v>14</v>
      </c>
      <c r="AL487" s="6">
        <v>-8</v>
      </c>
    </row>
    <row r="488" spans="1:38">
      <c r="A488" s="4">
        <v>19</v>
      </c>
      <c r="B488" s="5">
        <v>2</v>
      </c>
      <c r="C488" s="5">
        <v>-21</v>
      </c>
      <c r="D488" s="5">
        <v>-8</v>
      </c>
      <c r="E488" s="5">
        <v>-40</v>
      </c>
      <c r="F488" s="5">
        <v>-17</v>
      </c>
      <c r="G488" s="5">
        <v>6</v>
      </c>
      <c r="H488" s="5">
        <v>3</v>
      </c>
      <c r="I488" s="5">
        <v>6</v>
      </c>
      <c r="J488" s="5">
        <v>6</v>
      </c>
      <c r="K488" s="5">
        <v>28</v>
      </c>
      <c r="L488" s="5">
        <v>-7</v>
      </c>
      <c r="M488" s="5">
        <v>5</v>
      </c>
      <c r="N488" s="5">
        <v>9</v>
      </c>
      <c r="O488" s="5">
        <v>1</v>
      </c>
      <c r="P488" s="5">
        <v>6</v>
      </c>
      <c r="Q488" s="5">
        <v>4</v>
      </c>
      <c r="R488" s="5">
        <v>-33</v>
      </c>
      <c r="S488" s="5">
        <v>4</v>
      </c>
      <c r="T488" s="5">
        <v>-7</v>
      </c>
      <c r="U488" s="5">
        <v>28</v>
      </c>
      <c r="V488" s="5">
        <v>16</v>
      </c>
      <c r="W488" s="5">
        <v>-8</v>
      </c>
      <c r="X488" s="5">
        <v>-13</v>
      </c>
      <c r="Y488" s="5">
        <v>-9</v>
      </c>
      <c r="Z488" s="5">
        <v>2</v>
      </c>
      <c r="AA488" s="5">
        <v>-7</v>
      </c>
      <c r="AB488" s="5">
        <v>4</v>
      </c>
      <c r="AC488" s="5">
        <v>11</v>
      </c>
      <c r="AD488" s="5">
        <v>-15</v>
      </c>
      <c r="AE488" s="5">
        <v>13</v>
      </c>
      <c r="AF488" s="5">
        <v>-32</v>
      </c>
      <c r="AG488" s="5">
        <v>11</v>
      </c>
      <c r="AH488" s="5">
        <v>3</v>
      </c>
      <c r="AI488" s="5">
        <v>-15</v>
      </c>
      <c r="AJ488" s="5">
        <v>15</v>
      </c>
      <c r="AK488" s="5">
        <v>-5</v>
      </c>
      <c r="AL488" s="6">
        <v>1</v>
      </c>
    </row>
    <row r="489" spans="1:38">
      <c r="A489" s="4">
        <v>-9</v>
      </c>
      <c r="B489" s="5">
        <v>-10</v>
      </c>
      <c r="C489" s="5">
        <v>9</v>
      </c>
      <c r="D489" s="5">
        <v>5</v>
      </c>
      <c r="E489" s="5">
        <v>-26</v>
      </c>
      <c r="F489" s="5">
        <v>-2</v>
      </c>
      <c r="G489" s="5">
        <v>-2</v>
      </c>
      <c r="H489" s="5">
        <v>12</v>
      </c>
      <c r="I489" s="5">
        <v>-2</v>
      </c>
      <c r="J489" s="5">
        <v>-6</v>
      </c>
      <c r="K489" s="5">
        <v>22</v>
      </c>
      <c r="L489" s="5">
        <v>-18</v>
      </c>
      <c r="M489" s="5">
        <v>9</v>
      </c>
      <c r="N489" s="5">
        <v>1</v>
      </c>
      <c r="O489" s="5">
        <v>-2</v>
      </c>
      <c r="P489" s="5">
        <v>-2</v>
      </c>
      <c r="Q489" s="5">
        <v>6</v>
      </c>
      <c r="R489" s="5">
        <v>-29</v>
      </c>
      <c r="S489" s="5">
        <v>-14</v>
      </c>
      <c r="T489" s="5">
        <v>-11</v>
      </c>
      <c r="U489" s="5">
        <v>27</v>
      </c>
      <c r="V489" s="5">
        <v>3</v>
      </c>
      <c r="W489" s="5">
        <v>-8</v>
      </c>
      <c r="X489" s="5">
        <v>-8</v>
      </c>
      <c r="Y489" s="5">
        <v>-8</v>
      </c>
      <c r="Z489" s="5">
        <v>-13</v>
      </c>
      <c r="AA489" s="5">
        <v>-20</v>
      </c>
      <c r="AB489" s="5">
        <v>-1</v>
      </c>
      <c r="AC489" s="5">
        <v>24</v>
      </c>
      <c r="AD489" s="5">
        <v>6</v>
      </c>
      <c r="AE489" s="5">
        <v>-1</v>
      </c>
      <c r="AF489" s="5">
        <v>-14</v>
      </c>
      <c r="AG489" s="5">
        <v>-14</v>
      </c>
      <c r="AH489" s="5">
        <v>15</v>
      </c>
      <c r="AI489" s="5">
        <v>-23</v>
      </c>
      <c r="AJ489" s="5">
        <v>-1</v>
      </c>
      <c r="AK489" s="5">
        <v>23</v>
      </c>
      <c r="AL489" s="6">
        <v>-6</v>
      </c>
    </row>
    <row r="490" spans="1:38">
      <c r="A490" s="4">
        <v>73</v>
      </c>
      <c r="B490" s="5">
        <v>-3</v>
      </c>
      <c r="C490" s="5">
        <v>41</v>
      </c>
      <c r="D490" s="5">
        <v>16</v>
      </c>
      <c r="E490" s="5">
        <v>-3</v>
      </c>
      <c r="F490" s="5">
        <v>14</v>
      </c>
      <c r="G490" s="5">
        <v>-18</v>
      </c>
      <c r="H490" s="5">
        <v>8</v>
      </c>
      <c r="I490" s="5">
        <v>50</v>
      </c>
      <c r="J490" s="5">
        <v>6</v>
      </c>
      <c r="K490" s="5">
        <v>28</v>
      </c>
      <c r="L490" s="5">
        <v>-35</v>
      </c>
      <c r="M490" s="5">
        <v>-15</v>
      </c>
      <c r="N490" s="5">
        <v>27</v>
      </c>
      <c r="O490" s="5">
        <v>24</v>
      </c>
      <c r="P490" s="5">
        <v>21</v>
      </c>
      <c r="Q490" s="5">
        <v>22</v>
      </c>
      <c r="R490" s="5">
        <v>-10</v>
      </c>
      <c r="S490" s="5">
        <v>-19</v>
      </c>
      <c r="T490" s="5">
        <v>30</v>
      </c>
      <c r="U490" s="5">
        <v>-10</v>
      </c>
      <c r="V490" s="5">
        <v>-15</v>
      </c>
      <c r="W490" s="5">
        <v>25</v>
      </c>
      <c r="X490" s="5">
        <v>2</v>
      </c>
      <c r="Y490" s="5">
        <v>-35</v>
      </c>
      <c r="Z490" s="5">
        <v>15</v>
      </c>
      <c r="AA490" s="5">
        <v>-12</v>
      </c>
      <c r="AB490" s="5">
        <v>1</v>
      </c>
      <c r="AC490" s="5">
        <v>-32</v>
      </c>
      <c r="AD490" s="5">
        <v>-7</v>
      </c>
      <c r="AE490" s="5">
        <v>9</v>
      </c>
      <c r="AF490" s="5">
        <v>25</v>
      </c>
      <c r="AG490" s="5">
        <v>26</v>
      </c>
      <c r="AH490" s="5">
        <v>0</v>
      </c>
      <c r="AI490" s="5">
        <v>-17</v>
      </c>
      <c r="AJ490" s="5">
        <v>-9</v>
      </c>
      <c r="AK490" s="5">
        <v>4</v>
      </c>
      <c r="AL490" s="6">
        <v>11</v>
      </c>
    </row>
    <row r="491" spans="1:38">
      <c r="A491" s="4">
        <v>45</v>
      </c>
      <c r="B491" s="5">
        <v>-12</v>
      </c>
      <c r="C491" s="5">
        <v>36</v>
      </c>
      <c r="D491" s="5">
        <v>-1</v>
      </c>
      <c r="E491" s="5">
        <v>-11</v>
      </c>
      <c r="F491" s="5">
        <v>10</v>
      </c>
      <c r="G491" s="5">
        <v>2</v>
      </c>
      <c r="H491" s="5">
        <v>-16</v>
      </c>
      <c r="I491" s="5">
        <v>2</v>
      </c>
      <c r="J491" s="5">
        <v>2</v>
      </c>
      <c r="K491" s="5">
        <v>-18</v>
      </c>
      <c r="L491" s="5">
        <v>-25</v>
      </c>
      <c r="M491" s="5">
        <v>4</v>
      </c>
      <c r="N491" s="5">
        <v>-34</v>
      </c>
      <c r="O491" s="5">
        <v>55</v>
      </c>
      <c r="P491" s="5">
        <v>12</v>
      </c>
      <c r="Q491" s="5">
        <v>-16</v>
      </c>
      <c r="R491" s="5">
        <v>-8</v>
      </c>
      <c r="S491" s="5">
        <v>15</v>
      </c>
      <c r="T491" s="5">
        <v>19</v>
      </c>
      <c r="U491" s="5">
        <v>-35</v>
      </c>
      <c r="V491" s="5">
        <v>-19</v>
      </c>
      <c r="W491" s="5">
        <v>-31</v>
      </c>
      <c r="X491" s="5">
        <v>19</v>
      </c>
      <c r="Y491" s="5">
        <v>6</v>
      </c>
      <c r="Z491" s="5">
        <v>24</v>
      </c>
      <c r="AA491" s="5">
        <v>-25</v>
      </c>
      <c r="AB491" s="5">
        <v>15</v>
      </c>
      <c r="AC491" s="5">
        <v>8</v>
      </c>
      <c r="AD491" s="5">
        <v>-15</v>
      </c>
      <c r="AE491" s="5">
        <v>10</v>
      </c>
      <c r="AF491" s="5">
        <v>-10</v>
      </c>
      <c r="AG491" s="5">
        <v>-7</v>
      </c>
      <c r="AH491" s="5">
        <v>5</v>
      </c>
      <c r="AI491" s="5">
        <v>9</v>
      </c>
      <c r="AJ491" s="5">
        <v>0</v>
      </c>
      <c r="AK491" s="5">
        <v>-7</v>
      </c>
      <c r="AL491" s="6">
        <v>35</v>
      </c>
    </row>
    <row r="492" spans="1:38">
      <c r="A492" s="4">
        <v>-6</v>
      </c>
      <c r="B492" s="5">
        <v>12</v>
      </c>
      <c r="C492" s="5">
        <v>-9</v>
      </c>
      <c r="D492" s="5">
        <v>-13</v>
      </c>
      <c r="E492" s="5">
        <v>2</v>
      </c>
      <c r="F492" s="5">
        <v>-9</v>
      </c>
      <c r="G492" s="5">
        <v>21</v>
      </c>
      <c r="H492" s="5">
        <v>11</v>
      </c>
      <c r="I492" s="5">
        <v>-8</v>
      </c>
      <c r="J492" s="5">
        <v>-22</v>
      </c>
      <c r="K492" s="5">
        <v>-10</v>
      </c>
      <c r="L492" s="5">
        <v>9</v>
      </c>
      <c r="M492" s="5">
        <v>-2</v>
      </c>
      <c r="N492" s="5">
        <v>10</v>
      </c>
      <c r="O492" s="5">
        <v>2</v>
      </c>
      <c r="P492" s="5">
        <v>3</v>
      </c>
      <c r="Q492" s="5">
        <v>2</v>
      </c>
      <c r="R492" s="5">
        <v>-13</v>
      </c>
      <c r="S492" s="5">
        <v>-9</v>
      </c>
      <c r="T492" s="5">
        <v>8</v>
      </c>
      <c r="U492" s="5">
        <v>-19</v>
      </c>
      <c r="V492" s="5">
        <v>-4</v>
      </c>
      <c r="W492" s="5">
        <v>18</v>
      </c>
      <c r="X492" s="5">
        <v>-8</v>
      </c>
      <c r="Y492" s="5">
        <v>-26</v>
      </c>
      <c r="Z492" s="5">
        <v>-17</v>
      </c>
      <c r="AA492" s="5">
        <v>8</v>
      </c>
      <c r="AB492" s="5">
        <v>16</v>
      </c>
      <c r="AC492" s="5">
        <v>-15</v>
      </c>
      <c r="AD492" s="5">
        <v>-1</v>
      </c>
      <c r="AE492" s="5">
        <v>9</v>
      </c>
      <c r="AF492" s="5">
        <v>-1</v>
      </c>
      <c r="AG492" s="5">
        <v>12</v>
      </c>
      <c r="AH492" s="5">
        <v>21</v>
      </c>
      <c r="AI492" s="5">
        <v>0</v>
      </c>
      <c r="AJ492" s="5">
        <v>-11</v>
      </c>
      <c r="AK492" s="5">
        <v>32</v>
      </c>
      <c r="AL492" s="6">
        <v>-4</v>
      </c>
    </row>
    <row r="493" spans="1:38">
      <c r="A493" s="4">
        <v>-17</v>
      </c>
      <c r="B493" s="5">
        <v>-3</v>
      </c>
      <c r="C493" s="5">
        <v>-20</v>
      </c>
      <c r="D493" s="5">
        <v>-24</v>
      </c>
      <c r="E493" s="5">
        <v>-1</v>
      </c>
      <c r="F493" s="5">
        <v>-34</v>
      </c>
      <c r="G493" s="5">
        <v>11</v>
      </c>
      <c r="H493" s="5">
        <v>-2</v>
      </c>
      <c r="I493" s="5">
        <v>7</v>
      </c>
      <c r="J493" s="5">
        <v>-13</v>
      </c>
      <c r="K493" s="5">
        <v>13</v>
      </c>
      <c r="L493" s="5">
        <v>-3</v>
      </c>
      <c r="M493" s="5">
        <v>10</v>
      </c>
      <c r="N493" s="5">
        <v>5</v>
      </c>
      <c r="O493" s="5">
        <v>35</v>
      </c>
      <c r="P493" s="5">
        <v>-23</v>
      </c>
      <c r="Q493" s="5">
        <v>55</v>
      </c>
      <c r="R493" s="5">
        <v>19</v>
      </c>
      <c r="S493" s="5">
        <v>-13</v>
      </c>
      <c r="T493" s="5">
        <v>15</v>
      </c>
      <c r="U493" s="5">
        <v>45</v>
      </c>
      <c r="V493" s="5">
        <v>-14</v>
      </c>
      <c r="W493" s="5">
        <v>2</v>
      </c>
      <c r="X493" s="5">
        <v>-13</v>
      </c>
      <c r="Y493" s="5">
        <v>-6</v>
      </c>
      <c r="Z493" s="5">
        <v>19</v>
      </c>
      <c r="AA493" s="5">
        <v>25</v>
      </c>
      <c r="AB493" s="5">
        <v>5</v>
      </c>
      <c r="AC493" s="5">
        <v>-5</v>
      </c>
      <c r="AD493" s="5">
        <v>37</v>
      </c>
      <c r="AE493" s="5">
        <v>-6</v>
      </c>
      <c r="AF493" s="5">
        <v>-13</v>
      </c>
      <c r="AG493" s="5">
        <v>-20</v>
      </c>
      <c r="AH493" s="5">
        <v>23</v>
      </c>
      <c r="AI493" s="5">
        <v>-29</v>
      </c>
      <c r="AJ493" s="5">
        <v>13</v>
      </c>
      <c r="AK493" s="5">
        <v>-15</v>
      </c>
      <c r="AL493" s="6">
        <v>40</v>
      </c>
    </row>
    <row r="494" spans="1:38">
      <c r="A494" s="4">
        <v>2</v>
      </c>
      <c r="B494" s="5">
        <v>4</v>
      </c>
      <c r="C494" s="5">
        <v>-9</v>
      </c>
      <c r="D494" s="5">
        <v>1</v>
      </c>
      <c r="E494" s="5">
        <v>35</v>
      </c>
      <c r="F494" s="5">
        <v>34</v>
      </c>
      <c r="G494" s="5">
        <v>-1</v>
      </c>
      <c r="H494" s="5">
        <v>26</v>
      </c>
      <c r="I494" s="5">
        <v>7</v>
      </c>
      <c r="J494" s="5">
        <v>-32</v>
      </c>
      <c r="K494" s="5">
        <v>-1</v>
      </c>
      <c r="L494" s="5">
        <v>-14</v>
      </c>
      <c r="M494" s="5">
        <v>-25</v>
      </c>
      <c r="N494" s="5">
        <v>0</v>
      </c>
      <c r="O494" s="5">
        <v>28</v>
      </c>
      <c r="P494" s="5">
        <v>-16</v>
      </c>
      <c r="Q494" s="5">
        <v>-21</v>
      </c>
      <c r="R494" s="5">
        <v>-9</v>
      </c>
      <c r="S494" s="5">
        <v>13</v>
      </c>
      <c r="T494" s="5">
        <v>2</v>
      </c>
      <c r="U494" s="5">
        <v>21</v>
      </c>
      <c r="V494" s="5">
        <v>15</v>
      </c>
      <c r="W494" s="5">
        <v>-13</v>
      </c>
      <c r="X494" s="5">
        <v>-11</v>
      </c>
      <c r="Y494" s="5">
        <v>14</v>
      </c>
      <c r="Z494" s="5">
        <v>6</v>
      </c>
      <c r="AA494" s="5">
        <v>-6</v>
      </c>
      <c r="AB494" s="5">
        <v>-12</v>
      </c>
      <c r="AC494" s="5">
        <v>-7</v>
      </c>
      <c r="AD494" s="5">
        <v>-9</v>
      </c>
      <c r="AE494" s="5">
        <v>11</v>
      </c>
      <c r="AF494" s="5">
        <v>28</v>
      </c>
      <c r="AG494" s="5">
        <v>8</v>
      </c>
      <c r="AH494" s="5">
        <v>1</v>
      </c>
      <c r="AI494" s="5">
        <v>-47</v>
      </c>
      <c r="AJ494" s="5">
        <v>-3</v>
      </c>
      <c r="AK494" s="5">
        <v>2</v>
      </c>
      <c r="AL494" s="6">
        <v>8</v>
      </c>
    </row>
    <row r="495" spans="1:38">
      <c r="A495" s="4">
        <v>-45</v>
      </c>
      <c r="B495" s="5">
        <v>-3</v>
      </c>
      <c r="C495" s="5">
        <v>-31</v>
      </c>
      <c r="D495" s="5">
        <v>-1</v>
      </c>
      <c r="E495" s="5">
        <v>24</v>
      </c>
      <c r="F495" s="5">
        <v>30</v>
      </c>
      <c r="G495" s="5">
        <v>66</v>
      </c>
      <c r="H495" s="5">
        <v>27</v>
      </c>
      <c r="I495" s="5">
        <v>-27</v>
      </c>
      <c r="J495" s="5">
        <v>-43</v>
      </c>
      <c r="K495" s="5">
        <v>-25</v>
      </c>
      <c r="L495" s="5">
        <v>46</v>
      </c>
      <c r="M495" s="5">
        <v>-41</v>
      </c>
      <c r="N495" s="5">
        <v>3</v>
      </c>
      <c r="O495" s="5">
        <v>89</v>
      </c>
      <c r="P495" s="5">
        <v>-3</v>
      </c>
      <c r="Q495" s="5">
        <v>-17</v>
      </c>
      <c r="R495" s="5">
        <v>-45</v>
      </c>
      <c r="S495" s="5">
        <v>-10</v>
      </c>
      <c r="T495" s="5">
        <v>25</v>
      </c>
      <c r="U495" s="5">
        <v>22</v>
      </c>
      <c r="V495" s="5">
        <v>27</v>
      </c>
      <c r="W495" s="5">
        <v>17</v>
      </c>
      <c r="X495" s="5">
        <v>-40</v>
      </c>
      <c r="Y495" s="5">
        <v>-23</v>
      </c>
      <c r="Z495" s="5">
        <v>-27</v>
      </c>
      <c r="AA495" s="5">
        <v>-30</v>
      </c>
      <c r="AB495" s="5">
        <v>1</v>
      </c>
      <c r="AC495" s="5">
        <v>-32</v>
      </c>
      <c r="AD495" s="5">
        <v>2</v>
      </c>
      <c r="AE495" s="5">
        <v>15</v>
      </c>
      <c r="AF495" s="5">
        <v>77</v>
      </c>
      <c r="AG495" s="5">
        <v>3</v>
      </c>
      <c r="AH495" s="5">
        <v>34</v>
      </c>
      <c r="AI495" s="5">
        <v>28</v>
      </c>
      <c r="AJ495" s="5">
        <v>30</v>
      </c>
      <c r="AK495" s="5">
        <v>47</v>
      </c>
      <c r="AL495" s="6">
        <v>19</v>
      </c>
    </row>
    <row r="496" spans="1:38">
      <c r="A496" s="4">
        <v>-29</v>
      </c>
      <c r="B496" s="5">
        <v>-3</v>
      </c>
      <c r="C496" s="5">
        <v>1</v>
      </c>
      <c r="D496" s="5">
        <v>-5</v>
      </c>
      <c r="E496" s="5">
        <v>12</v>
      </c>
      <c r="F496" s="5">
        <v>39</v>
      </c>
      <c r="G496" s="5">
        <v>58</v>
      </c>
      <c r="H496" s="5">
        <v>22</v>
      </c>
      <c r="I496" s="5">
        <v>-26</v>
      </c>
      <c r="J496" s="5">
        <v>-43</v>
      </c>
      <c r="K496" s="5">
        <v>-19</v>
      </c>
      <c r="L496" s="5">
        <v>43</v>
      </c>
      <c r="M496" s="5">
        <v>39</v>
      </c>
      <c r="N496" s="5">
        <v>3</v>
      </c>
      <c r="O496" s="5">
        <v>113</v>
      </c>
      <c r="P496" s="5">
        <v>-37</v>
      </c>
      <c r="Q496" s="5">
        <v>10</v>
      </c>
      <c r="R496" s="5">
        <v>-24</v>
      </c>
      <c r="S496" s="5">
        <v>29</v>
      </c>
      <c r="T496" s="5">
        <v>16</v>
      </c>
      <c r="U496" s="5">
        <v>-8</v>
      </c>
      <c r="V496" s="5">
        <v>32</v>
      </c>
      <c r="W496" s="5">
        <v>-13</v>
      </c>
      <c r="X496" s="5">
        <v>-10</v>
      </c>
      <c r="Y496" s="5">
        <v>2</v>
      </c>
      <c r="Z496" s="5">
        <v>-12</v>
      </c>
      <c r="AA496" s="5">
        <v>-6</v>
      </c>
      <c r="AB496" s="5">
        <v>0</v>
      </c>
      <c r="AC496" s="5">
        <v>-2</v>
      </c>
      <c r="AD496" s="5">
        <v>30</v>
      </c>
      <c r="AE496" s="5">
        <v>-20</v>
      </c>
      <c r="AF496" s="5">
        <v>20</v>
      </c>
      <c r="AG496" s="5">
        <v>-26</v>
      </c>
      <c r="AH496" s="5">
        <v>-32</v>
      </c>
      <c r="AI496" s="5">
        <v>-12</v>
      </c>
      <c r="AJ496" s="5">
        <v>48</v>
      </c>
      <c r="AK496" s="5">
        <v>-6</v>
      </c>
      <c r="AL496" s="6">
        <v>-39</v>
      </c>
    </row>
    <row r="497" spans="1:38">
      <c r="A497" s="4">
        <v>27</v>
      </c>
      <c r="B497" s="5">
        <v>-5</v>
      </c>
      <c r="C497" s="5">
        <v>-3</v>
      </c>
      <c r="D497" s="5">
        <v>-4</v>
      </c>
      <c r="E497" s="5">
        <v>8</v>
      </c>
      <c r="F497" s="5">
        <v>12</v>
      </c>
      <c r="G497" s="5">
        <v>11</v>
      </c>
      <c r="H497" s="5">
        <v>14</v>
      </c>
      <c r="I497" s="5">
        <v>-8</v>
      </c>
      <c r="J497" s="5">
        <v>-21</v>
      </c>
      <c r="K497" s="5">
        <v>20</v>
      </c>
      <c r="L497" s="5">
        <v>-4</v>
      </c>
      <c r="M497" s="5">
        <v>-11</v>
      </c>
      <c r="N497" s="5">
        <v>-8</v>
      </c>
      <c r="O497" s="5">
        <v>15</v>
      </c>
      <c r="P497" s="5">
        <v>15</v>
      </c>
      <c r="Q497" s="5">
        <v>-6</v>
      </c>
      <c r="R497" s="5">
        <v>15</v>
      </c>
      <c r="S497" s="5">
        <v>11</v>
      </c>
      <c r="T497" s="5">
        <v>1</v>
      </c>
      <c r="U497" s="5">
        <v>7</v>
      </c>
      <c r="V497" s="5">
        <v>-21</v>
      </c>
      <c r="W497" s="5">
        <v>-50</v>
      </c>
      <c r="X497" s="5">
        <v>4</v>
      </c>
      <c r="Y497" s="5">
        <v>16</v>
      </c>
      <c r="Z497" s="5">
        <v>-8</v>
      </c>
      <c r="AA497" s="5">
        <v>4</v>
      </c>
      <c r="AB497" s="5">
        <v>-6</v>
      </c>
      <c r="AC497" s="5">
        <v>20</v>
      </c>
      <c r="AD497" s="5">
        <v>-12</v>
      </c>
      <c r="AE497" s="5">
        <v>-8</v>
      </c>
      <c r="AF497" s="5">
        <v>-22</v>
      </c>
      <c r="AG497" s="5">
        <v>28</v>
      </c>
      <c r="AH497" s="5">
        <v>3</v>
      </c>
      <c r="AI497" s="5">
        <v>-3</v>
      </c>
      <c r="AJ497" s="5">
        <v>-23</v>
      </c>
      <c r="AK497" s="5">
        <v>-10</v>
      </c>
      <c r="AL497" s="6">
        <v>-10</v>
      </c>
    </row>
    <row r="498" spans="1:38">
      <c r="A498" s="4">
        <v>41</v>
      </c>
      <c r="B498" s="5">
        <v>-3</v>
      </c>
      <c r="C498" s="5">
        <v>0</v>
      </c>
      <c r="D498" s="5">
        <v>5</v>
      </c>
      <c r="E498" s="5">
        <v>4</v>
      </c>
      <c r="F498" s="5">
        <v>32</v>
      </c>
      <c r="G498" s="5">
        <v>-23</v>
      </c>
      <c r="H498" s="5">
        <v>35</v>
      </c>
      <c r="I498" s="5">
        <v>36</v>
      </c>
      <c r="J498" s="5">
        <v>-10</v>
      </c>
      <c r="K498" s="5">
        <v>25</v>
      </c>
      <c r="L498" s="5">
        <v>-34</v>
      </c>
      <c r="M498" s="5">
        <v>-30</v>
      </c>
      <c r="N498" s="5">
        <v>14</v>
      </c>
      <c r="O498" s="5">
        <v>33</v>
      </c>
      <c r="P498" s="5">
        <v>22</v>
      </c>
      <c r="Q498" s="5">
        <v>7</v>
      </c>
      <c r="R498" s="5">
        <v>-2</v>
      </c>
      <c r="S498" s="5">
        <v>9</v>
      </c>
      <c r="T498" s="5">
        <v>9</v>
      </c>
      <c r="U498" s="5">
        <v>15</v>
      </c>
      <c r="V498" s="5">
        <v>22</v>
      </c>
      <c r="W498" s="5">
        <v>-8</v>
      </c>
      <c r="X498" s="5">
        <v>-4</v>
      </c>
      <c r="Y498" s="5">
        <v>11</v>
      </c>
      <c r="Z498" s="5">
        <v>-3</v>
      </c>
      <c r="AA498" s="5">
        <v>-5</v>
      </c>
      <c r="AB498" s="5">
        <v>8</v>
      </c>
      <c r="AC498" s="5">
        <v>-27</v>
      </c>
      <c r="AD498" s="5">
        <v>10</v>
      </c>
      <c r="AE498" s="5">
        <v>14</v>
      </c>
      <c r="AF498" s="5">
        <v>-22</v>
      </c>
      <c r="AG498" s="5">
        <v>-16</v>
      </c>
      <c r="AH498" s="5">
        <v>15</v>
      </c>
      <c r="AI498" s="5">
        <v>-8</v>
      </c>
      <c r="AJ498" s="5">
        <v>19</v>
      </c>
      <c r="AK498" s="5">
        <v>-16</v>
      </c>
      <c r="AL498" s="6">
        <v>5</v>
      </c>
    </row>
    <row r="499" spans="1:38">
      <c r="A499" s="4">
        <v>46</v>
      </c>
      <c r="B499" s="5">
        <v>-17</v>
      </c>
      <c r="C499" s="5">
        <v>16</v>
      </c>
      <c r="D499" s="5">
        <v>-20</v>
      </c>
      <c r="E499" s="5">
        <v>-39</v>
      </c>
      <c r="F499" s="5">
        <v>26</v>
      </c>
      <c r="G499" s="5">
        <v>26</v>
      </c>
      <c r="H499" s="5">
        <v>4</v>
      </c>
      <c r="I499" s="5">
        <v>7</v>
      </c>
      <c r="J499" s="5">
        <v>-12</v>
      </c>
      <c r="K499" s="5">
        <v>-28</v>
      </c>
      <c r="L499" s="5">
        <v>-26</v>
      </c>
      <c r="M499" s="5">
        <v>-10</v>
      </c>
      <c r="N499" s="5">
        <v>-36</v>
      </c>
      <c r="O499" s="5">
        <v>49</v>
      </c>
      <c r="P499" s="5">
        <v>10</v>
      </c>
      <c r="Q499" s="5">
        <v>-6</v>
      </c>
      <c r="R499" s="5">
        <v>19</v>
      </c>
      <c r="S499" s="5">
        <v>26</v>
      </c>
      <c r="T499" s="5">
        <v>27</v>
      </c>
      <c r="U499" s="5">
        <v>-25</v>
      </c>
      <c r="V499" s="5">
        <v>-36</v>
      </c>
      <c r="W499" s="5">
        <v>-36</v>
      </c>
      <c r="X499" s="5">
        <v>3</v>
      </c>
      <c r="Y499" s="5">
        <v>-2</v>
      </c>
      <c r="Z499" s="5">
        <v>16</v>
      </c>
      <c r="AA499" s="5">
        <v>7</v>
      </c>
      <c r="AB499" s="5">
        <v>30</v>
      </c>
      <c r="AC499" s="5">
        <v>-16</v>
      </c>
      <c r="AD499" s="5">
        <v>-9</v>
      </c>
      <c r="AE499" s="5">
        <v>13</v>
      </c>
      <c r="AF499" s="5">
        <v>-15</v>
      </c>
      <c r="AG499" s="5">
        <v>42</v>
      </c>
      <c r="AH499" s="5">
        <v>28</v>
      </c>
      <c r="AI499" s="5">
        <v>25</v>
      </c>
      <c r="AJ499" s="5">
        <v>0</v>
      </c>
      <c r="AK499" s="5">
        <v>-18</v>
      </c>
      <c r="AL499" s="6">
        <v>5</v>
      </c>
    </row>
    <row r="500" spans="1:38">
      <c r="A500" s="4">
        <v>-6</v>
      </c>
      <c r="B500" s="5">
        <v>10</v>
      </c>
      <c r="C500" s="5">
        <v>-22</v>
      </c>
      <c r="D500" s="5">
        <v>-21</v>
      </c>
      <c r="E500" s="5">
        <v>16</v>
      </c>
      <c r="F500" s="5">
        <v>19</v>
      </c>
      <c r="G500" s="5">
        <v>10</v>
      </c>
      <c r="H500" s="5">
        <v>-45</v>
      </c>
      <c r="I500" s="5">
        <v>-5</v>
      </c>
      <c r="J500" s="5">
        <v>-8</v>
      </c>
      <c r="K500" s="5">
        <v>-23</v>
      </c>
      <c r="L500" s="5">
        <v>-33</v>
      </c>
      <c r="M500" s="5">
        <v>26</v>
      </c>
      <c r="N500" s="5">
        <v>9</v>
      </c>
      <c r="O500" s="5">
        <v>-6</v>
      </c>
      <c r="P500" s="5">
        <v>39</v>
      </c>
      <c r="Q500" s="5">
        <v>31</v>
      </c>
      <c r="R500" s="5">
        <v>-14</v>
      </c>
      <c r="S500" s="5">
        <v>-14</v>
      </c>
      <c r="T500" s="5">
        <v>-1</v>
      </c>
      <c r="U500" s="5">
        <v>-11</v>
      </c>
      <c r="V500" s="5">
        <v>7</v>
      </c>
      <c r="W500" s="5">
        <v>-11</v>
      </c>
      <c r="X500" s="5">
        <v>3</v>
      </c>
      <c r="Y500" s="5">
        <v>10</v>
      </c>
      <c r="Z500" s="5">
        <v>23</v>
      </c>
      <c r="AA500" s="5">
        <v>11</v>
      </c>
      <c r="AB500" s="5">
        <v>10</v>
      </c>
      <c r="AC500" s="5">
        <v>8</v>
      </c>
      <c r="AD500" s="5">
        <v>-36</v>
      </c>
      <c r="AE500" s="5">
        <v>-1</v>
      </c>
      <c r="AF500" s="5">
        <v>-9</v>
      </c>
      <c r="AG500" s="5">
        <v>0</v>
      </c>
      <c r="AH500" s="5">
        <v>17</v>
      </c>
      <c r="AI500" s="5">
        <v>3</v>
      </c>
      <c r="AJ500" s="5">
        <v>0</v>
      </c>
      <c r="AK500" s="5">
        <v>-18</v>
      </c>
      <c r="AL500" s="6">
        <v>5</v>
      </c>
    </row>
    <row r="501" spans="1:38">
      <c r="A501" s="4">
        <v>-18</v>
      </c>
      <c r="B501" s="5">
        <v>34</v>
      </c>
      <c r="C501" s="5">
        <v>26</v>
      </c>
      <c r="D501" s="5">
        <v>-10</v>
      </c>
      <c r="E501" s="5">
        <v>8</v>
      </c>
      <c r="F501" s="5">
        <v>-28</v>
      </c>
      <c r="G501" s="5">
        <v>23</v>
      </c>
      <c r="H501" s="5">
        <v>-40</v>
      </c>
      <c r="I501" s="5">
        <v>28</v>
      </c>
      <c r="J501" s="5">
        <v>-13</v>
      </c>
      <c r="K501" s="5">
        <v>23</v>
      </c>
      <c r="L501" s="5">
        <v>30</v>
      </c>
      <c r="M501" s="5">
        <v>-22</v>
      </c>
      <c r="N501" s="5">
        <v>-5</v>
      </c>
      <c r="O501" s="5">
        <v>37</v>
      </c>
      <c r="P501" s="5">
        <v>-22</v>
      </c>
      <c r="Q501" s="5">
        <v>14</v>
      </c>
      <c r="R501" s="5">
        <v>16</v>
      </c>
      <c r="S501" s="5">
        <v>-31</v>
      </c>
      <c r="T501" s="5">
        <v>3</v>
      </c>
      <c r="U501" s="5">
        <v>-12</v>
      </c>
      <c r="V501" s="5">
        <v>11</v>
      </c>
      <c r="W501" s="5">
        <v>21</v>
      </c>
      <c r="X501" s="5">
        <v>-23</v>
      </c>
      <c r="Y501" s="5">
        <v>20</v>
      </c>
      <c r="Z501" s="5">
        <v>-5</v>
      </c>
      <c r="AA501" s="5">
        <v>-9</v>
      </c>
      <c r="AB501" s="5">
        <v>-32</v>
      </c>
      <c r="AC501" s="5">
        <v>-35</v>
      </c>
      <c r="AD501" s="5">
        <v>-70</v>
      </c>
      <c r="AE501" s="5">
        <v>15</v>
      </c>
      <c r="AF501" s="5">
        <v>5</v>
      </c>
      <c r="AG501" s="5">
        <v>2</v>
      </c>
      <c r="AH501" s="5">
        <v>17</v>
      </c>
      <c r="AI501" s="5">
        <v>7</v>
      </c>
      <c r="AJ501" s="5">
        <v>-35</v>
      </c>
      <c r="AK501" s="5">
        <v>-20</v>
      </c>
      <c r="AL501" s="6">
        <v>7</v>
      </c>
    </row>
    <row r="502" spans="1:38">
      <c r="A502" s="4">
        <v>-18</v>
      </c>
      <c r="B502" s="5">
        <v>2</v>
      </c>
      <c r="C502" s="5">
        <v>10</v>
      </c>
      <c r="D502" s="5">
        <v>1</v>
      </c>
      <c r="E502" s="5">
        <v>-8</v>
      </c>
      <c r="F502" s="5">
        <v>-16</v>
      </c>
      <c r="G502" s="5">
        <v>-13</v>
      </c>
      <c r="H502" s="5">
        <v>-11</v>
      </c>
      <c r="I502" s="5">
        <v>-12</v>
      </c>
      <c r="J502" s="5">
        <v>-35</v>
      </c>
      <c r="K502" s="5">
        <v>13</v>
      </c>
      <c r="L502" s="5">
        <v>18</v>
      </c>
      <c r="M502" s="5">
        <v>-58</v>
      </c>
      <c r="N502" s="5">
        <v>-14</v>
      </c>
      <c r="O502" s="5">
        <v>-43</v>
      </c>
      <c r="P502" s="5">
        <v>50</v>
      </c>
      <c r="Q502" s="5">
        <v>-10</v>
      </c>
      <c r="R502" s="5">
        <v>21</v>
      </c>
      <c r="S502" s="5">
        <v>8</v>
      </c>
      <c r="T502" s="5">
        <v>34</v>
      </c>
      <c r="U502" s="5">
        <v>33</v>
      </c>
      <c r="V502" s="5">
        <v>5</v>
      </c>
      <c r="W502" s="5">
        <v>-31</v>
      </c>
      <c r="X502" s="5">
        <v>-14</v>
      </c>
      <c r="Y502" s="5">
        <v>25</v>
      </c>
      <c r="Z502" s="5">
        <v>-33</v>
      </c>
      <c r="AA502" s="5">
        <v>41</v>
      </c>
      <c r="AB502" s="5">
        <v>32</v>
      </c>
      <c r="AC502" s="5">
        <v>4</v>
      </c>
      <c r="AD502" s="5">
        <v>5</v>
      </c>
      <c r="AE502" s="5">
        <v>-13</v>
      </c>
      <c r="AF502" s="5">
        <v>0</v>
      </c>
      <c r="AG502" s="5">
        <v>-5</v>
      </c>
      <c r="AH502" s="5">
        <v>11</v>
      </c>
      <c r="AI502" s="5">
        <v>-10</v>
      </c>
      <c r="AJ502" s="5">
        <v>24</v>
      </c>
      <c r="AK502" s="5">
        <v>-12</v>
      </c>
      <c r="AL502" s="6">
        <v>13</v>
      </c>
    </row>
    <row r="503" spans="1:38">
      <c r="A503" s="4">
        <v>23</v>
      </c>
      <c r="B503" s="5">
        <v>26</v>
      </c>
      <c r="C503" s="5">
        <v>-13</v>
      </c>
      <c r="D503" s="5">
        <v>-25</v>
      </c>
      <c r="E503" s="5">
        <v>-54</v>
      </c>
      <c r="F503" s="5">
        <v>-18</v>
      </c>
      <c r="G503" s="5">
        <v>-31</v>
      </c>
      <c r="H503" s="5">
        <v>22</v>
      </c>
      <c r="I503" s="5">
        <v>13</v>
      </c>
      <c r="J503" s="5">
        <v>8</v>
      </c>
      <c r="K503" s="5">
        <v>38</v>
      </c>
      <c r="L503" s="5">
        <v>9</v>
      </c>
      <c r="M503" s="5">
        <v>6</v>
      </c>
      <c r="N503" s="5">
        <v>20</v>
      </c>
      <c r="O503" s="5">
        <v>15</v>
      </c>
      <c r="P503" s="5">
        <v>-2</v>
      </c>
      <c r="Q503" s="5">
        <v>4</v>
      </c>
      <c r="R503" s="5">
        <v>-32</v>
      </c>
      <c r="S503" s="5">
        <v>24</v>
      </c>
      <c r="T503" s="5">
        <v>-20</v>
      </c>
      <c r="U503" s="5">
        <v>21</v>
      </c>
      <c r="V503" s="5">
        <v>11</v>
      </c>
      <c r="W503" s="5">
        <v>-22</v>
      </c>
      <c r="X503" s="5">
        <v>8</v>
      </c>
      <c r="Y503" s="5">
        <v>0</v>
      </c>
      <c r="Z503" s="5">
        <v>-9</v>
      </c>
      <c r="AA503" s="5">
        <v>-1</v>
      </c>
      <c r="AB503" s="5">
        <v>23</v>
      </c>
      <c r="AC503" s="5">
        <v>-22</v>
      </c>
      <c r="AD503" s="5">
        <v>4</v>
      </c>
      <c r="AE503" s="5">
        <v>45</v>
      </c>
      <c r="AF503" s="5">
        <v>-13</v>
      </c>
      <c r="AG503" s="5">
        <v>23</v>
      </c>
      <c r="AH503" s="5">
        <v>5</v>
      </c>
      <c r="AI503" s="5">
        <v>-5</v>
      </c>
      <c r="AJ503" s="5">
        <v>12</v>
      </c>
      <c r="AK503" s="5">
        <v>-9</v>
      </c>
      <c r="AL503" s="6">
        <v>-5</v>
      </c>
    </row>
    <row r="504" spans="1:38">
      <c r="A504" s="4">
        <v>-55</v>
      </c>
      <c r="B504" s="5">
        <v>7</v>
      </c>
      <c r="C504" s="5">
        <v>28</v>
      </c>
      <c r="D504" s="5">
        <v>-13</v>
      </c>
      <c r="E504" s="5">
        <v>-13</v>
      </c>
      <c r="F504" s="5">
        <v>-23</v>
      </c>
      <c r="G504" s="5">
        <v>3</v>
      </c>
      <c r="H504" s="5">
        <v>-9</v>
      </c>
      <c r="I504" s="5">
        <v>5</v>
      </c>
      <c r="J504" s="5">
        <v>-3</v>
      </c>
      <c r="K504" s="5">
        <v>40</v>
      </c>
      <c r="L504" s="5">
        <v>-33</v>
      </c>
      <c r="M504" s="5">
        <v>32</v>
      </c>
      <c r="N504" s="5">
        <v>6</v>
      </c>
      <c r="O504" s="5">
        <v>24</v>
      </c>
      <c r="P504" s="5">
        <v>-14</v>
      </c>
      <c r="Q504" s="5">
        <v>51</v>
      </c>
      <c r="R504" s="5">
        <v>32</v>
      </c>
      <c r="S504" s="5">
        <v>43</v>
      </c>
      <c r="T504" s="5">
        <v>16</v>
      </c>
      <c r="U504" s="5">
        <v>-7</v>
      </c>
      <c r="V504" s="5">
        <v>-5</v>
      </c>
      <c r="W504" s="5">
        <v>-1</v>
      </c>
      <c r="X504" s="5">
        <v>2</v>
      </c>
      <c r="Y504" s="5">
        <v>18</v>
      </c>
      <c r="Z504" s="5">
        <v>-48</v>
      </c>
      <c r="AA504" s="5">
        <v>15</v>
      </c>
      <c r="AB504" s="5">
        <v>-5</v>
      </c>
      <c r="AC504" s="5">
        <v>17</v>
      </c>
      <c r="AD504" s="5">
        <v>22</v>
      </c>
      <c r="AE504" s="5">
        <v>-25</v>
      </c>
      <c r="AF504" s="5">
        <v>8</v>
      </c>
      <c r="AG504" s="5">
        <v>-31</v>
      </c>
      <c r="AH504" s="5">
        <v>-23</v>
      </c>
      <c r="AI504" s="5">
        <v>1</v>
      </c>
      <c r="AJ504" s="5">
        <v>27</v>
      </c>
      <c r="AK504" s="5">
        <v>29</v>
      </c>
      <c r="AL504" s="6">
        <v>-10</v>
      </c>
    </row>
    <row r="505" spans="1:38">
      <c r="A505" s="4">
        <v>-29</v>
      </c>
      <c r="B505" s="5">
        <v>-1</v>
      </c>
      <c r="C505" s="5">
        <v>20</v>
      </c>
      <c r="D505" s="5">
        <v>-7</v>
      </c>
      <c r="E505" s="5">
        <v>-18</v>
      </c>
      <c r="F505" s="5">
        <v>-13</v>
      </c>
      <c r="G505" s="5">
        <v>-7</v>
      </c>
      <c r="H505" s="5">
        <v>-2</v>
      </c>
      <c r="I505" s="5">
        <v>5</v>
      </c>
      <c r="J505" s="5">
        <v>-10</v>
      </c>
      <c r="K505" s="5">
        <v>44</v>
      </c>
      <c r="L505" s="5">
        <v>-15</v>
      </c>
      <c r="M505" s="5">
        <v>-3</v>
      </c>
      <c r="N505" s="5">
        <v>6</v>
      </c>
      <c r="O505" s="5">
        <v>-5</v>
      </c>
      <c r="P505" s="5">
        <v>0</v>
      </c>
      <c r="Q505" s="5">
        <v>38</v>
      </c>
      <c r="R505" s="5">
        <v>-4</v>
      </c>
      <c r="S505" s="5">
        <v>11</v>
      </c>
      <c r="T505" s="5">
        <v>12</v>
      </c>
      <c r="U505" s="5">
        <v>25</v>
      </c>
      <c r="V505" s="5">
        <v>-1</v>
      </c>
      <c r="W505" s="5">
        <v>-17</v>
      </c>
      <c r="X505" s="5">
        <v>16</v>
      </c>
      <c r="Y505" s="5">
        <v>23</v>
      </c>
      <c r="Z505" s="5">
        <v>-7</v>
      </c>
      <c r="AA505" s="5">
        <v>-4</v>
      </c>
      <c r="AB505" s="5">
        <v>27</v>
      </c>
      <c r="AC505" s="5">
        <v>24</v>
      </c>
      <c r="AD505" s="5">
        <v>14</v>
      </c>
      <c r="AE505" s="5">
        <v>23</v>
      </c>
      <c r="AF505" s="5">
        <v>3</v>
      </c>
      <c r="AG505" s="5">
        <v>-17</v>
      </c>
      <c r="AH505" s="5">
        <v>-16</v>
      </c>
      <c r="AI505" s="5">
        <v>16</v>
      </c>
      <c r="AJ505" s="5">
        <v>-5</v>
      </c>
      <c r="AK505" s="5">
        <v>4</v>
      </c>
      <c r="AL505" s="6">
        <v>-1</v>
      </c>
    </row>
    <row r="506" spans="1:38">
      <c r="A506" s="4">
        <v>-51</v>
      </c>
      <c r="B506" s="5">
        <v>-11</v>
      </c>
      <c r="C506" s="5">
        <v>48</v>
      </c>
      <c r="D506" s="5">
        <v>-6</v>
      </c>
      <c r="E506" s="5">
        <v>-22</v>
      </c>
      <c r="F506" s="5">
        <v>-28</v>
      </c>
      <c r="G506" s="5">
        <v>-7</v>
      </c>
      <c r="H506" s="5">
        <v>-20</v>
      </c>
      <c r="I506" s="5">
        <v>11</v>
      </c>
      <c r="J506" s="5">
        <v>-33</v>
      </c>
      <c r="K506" s="5">
        <v>24</v>
      </c>
      <c r="L506" s="5">
        <v>-1</v>
      </c>
      <c r="M506" s="5">
        <v>-12</v>
      </c>
      <c r="N506" s="5">
        <v>31</v>
      </c>
      <c r="O506" s="5">
        <v>5</v>
      </c>
      <c r="P506" s="5">
        <v>4</v>
      </c>
      <c r="Q506" s="5">
        <v>1</v>
      </c>
      <c r="R506" s="5">
        <v>25</v>
      </c>
      <c r="S506" s="5">
        <v>-35</v>
      </c>
      <c r="T506" s="5">
        <v>3</v>
      </c>
      <c r="U506" s="5">
        <v>9</v>
      </c>
      <c r="V506" s="5">
        <v>47</v>
      </c>
      <c r="W506" s="5">
        <v>-13</v>
      </c>
      <c r="X506" s="5">
        <v>18</v>
      </c>
      <c r="Y506" s="5">
        <v>0</v>
      </c>
      <c r="Z506" s="5">
        <v>32</v>
      </c>
      <c r="AA506" s="5">
        <v>-35</v>
      </c>
      <c r="AB506" s="5">
        <v>4</v>
      </c>
      <c r="AC506" s="5">
        <v>-38</v>
      </c>
      <c r="AD506" s="5">
        <v>-63</v>
      </c>
      <c r="AE506" s="5">
        <v>-31</v>
      </c>
      <c r="AF506" s="5">
        <v>49</v>
      </c>
      <c r="AG506" s="5">
        <v>9</v>
      </c>
      <c r="AH506" s="5">
        <v>-2</v>
      </c>
      <c r="AI506" s="5">
        <v>44</v>
      </c>
      <c r="AJ506" s="5">
        <v>-30</v>
      </c>
      <c r="AK506" s="5">
        <v>12</v>
      </c>
      <c r="AL506" s="6">
        <v>-8</v>
      </c>
    </row>
    <row r="507" spans="1:38">
      <c r="A507" s="4">
        <v>-49</v>
      </c>
      <c r="B507" s="5">
        <v>-9</v>
      </c>
      <c r="C507" s="5">
        <v>48</v>
      </c>
      <c r="D507" s="5">
        <v>-34</v>
      </c>
      <c r="E507" s="5">
        <v>-8</v>
      </c>
      <c r="F507" s="5">
        <v>-5</v>
      </c>
      <c r="G507" s="5">
        <v>5</v>
      </c>
      <c r="H507" s="5">
        <v>-4</v>
      </c>
      <c r="I507" s="5">
        <v>9</v>
      </c>
      <c r="J507" s="5">
        <v>-34</v>
      </c>
      <c r="K507" s="5">
        <v>34</v>
      </c>
      <c r="L507" s="5">
        <v>1</v>
      </c>
      <c r="M507" s="5">
        <v>-34</v>
      </c>
      <c r="N507" s="5">
        <v>28</v>
      </c>
      <c r="O507" s="5">
        <v>3</v>
      </c>
      <c r="P507" s="5">
        <v>12</v>
      </c>
      <c r="Q507" s="5">
        <v>-8</v>
      </c>
      <c r="R507" s="5">
        <v>19</v>
      </c>
      <c r="S507" s="5">
        <v>-26</v>
      </c>
      <c r="T507" s="5">
        <v>-10</v>
      </c>
      <c r="U507" s="5">
        <v>-22</v>
      </c>
      <c r="V507" s="5">
        <v>39</v>
      </c>
      <c r="W507" s="5">
        <v>27</v>
      </c>
      <c r="X507" s="5">
        <v>19</v>
      </c>
      <c r="Y507" s="5">
        <v>3</v>
      </c>
      <c r="Z507" s="5">
        <v>-16</v>
      </c>
      <c r="AA507" s="5">
        <v>-14</v>
      </c>
      <c r="AB507" s="5">
        <v>-15</v>
      </c>
      <c r="AC507" s="5">
        <v>0</v>
      </c>
      <c r="AD507" s="5">
        <v>-52</v>
      </c>
      <c r="AE507" s="5">
        <v>-36</v>
      </c>
      <c r="AF507" s="5">
        <v>71</v>
      </c>
      <c r="AG507" s="5">
        <v>4</v>
      </c>
      <c r="AH507" s="5">
        <v>-24</v>
      </c>
      <c r="AI507" s="5">
        <v>48</v>
      </c>
      <c r="AJ507" s="5">
        <v>-19</v>
      </c>
      <c r="AK507" s="5">
        <v>-42</v>
      </c>
      <c r="AL507" s="6">
        <v>-6</v>
      </c>
    </row>
    <row r="508" spans="1:38">
      <c r="A508" s="4">
        <v>-31</v>
      </c>
      <c r="B508" s="5">
        <v>-24</v>
      </c>
      <c r="C508" s="5">
        <v>17</v>
      </c>
      <c r="D508" s="5">
        <v>9</v>
      </c>
      <c r="E508" s="5">
        <v>10</v>
      </c>
      <c r="F508" s="5">
        <v>17</v>
      </c>
      <c r="G508" s="5">
        <v>4</v>
      </c>
      <c r="H508" s="5">
        <v>14</v>
      </c>
      <c r="I508" s="5">
        <v>-20</v>
      </c>
      <c r="J508" s="5">
        <v>-5</v>
      </c>
      <c r="K508" s="5">
        <v>0</v>
      </c>
      <c r="L508" s="5">
        <v>14</v>
      </c>
      <c r="M508" s="5">
        <v>4</v>
      </c>
      <c r="N508" s="5">
        <v>27</v>
      </c>
      <c r="O508" s="5">
        <v>17</v>
      </c>
      <c r="P508" s="5">
        <v>16</v>
      </c>
      <c r="Q508" s="5">
        <v>18</v>
      </c>
      <c r="R508" s="5">
        <v>-21</v>
      </c>
      <c r="S508" s="5">
        <v>-23</v>
      </c>
      <c r="T508" s="5">
        <v>-10</v>
      </c>
      <c r="U508" s="5">
        <v>-29</v>
      </c>
      <c r="V508" s="5">
        <v>21</v>
      </c>
      <c r="W508" s="5">
        <v>-15</v>
      </c>
      <c r="X508" s="5">
        <v>-9</v>
      </c>
      <c r="Y508" s="5">
        <v>-23</v>
      </c>
      <c r="Z508" s="5">
        <v>-10</v>
      </c>
      <c r="AA508" s="5">
        <v>51</v>
      </c>
      <c r="AB508" s="5">
        <v>-5</v>
      </c>
      <c r="AC508" s="5">
        <v>18</v>
      </c>
      <c r="AD508" s="5">
        <v>-10</v>
      </c>
      <c r="AE508" s="5">
        <v>38</v>
      </c>
      <c r="AF508" s="5">
        <v>5</v>
      </c>
      <c r="AG508" s="5">
        <v>-28</v>
      </c>
      <c r="AH508" s="5">
        <v>71</v>
      </c>
      <c r="AI508" s="5">
        <v>-19</v>
      </c>
      <c r="AJ508" s="5">
        <v>-16</v>
      </c>
      <c r="AK508" s="5">
        <v>52</v>
      </c>
      <c r="AL508" s="6">
        <v>-2</v>
      </c>
    </row>
    <row r="509" spans="1:38">
      <c r="A509" s="4">
        <v>-25</v>
      </c>
      <c r="B509" s="5">
        <v>28</v>
      </c>
      <c r="C509" s="5">
        <v>24</v>
      </c>
      <c r="D509" s="5">
        <v>-24</v>
      </c>
      <c r="E509" s="5">
        <v>13</v>
      </c>
      <c r="F509" s="5">
        <v>-13</v>
      </c>
      <c r="G509" s="5">
        <v>-5</v>
      </c>
      <c r="H509" s="5">
        <v>-11</v>
      </c>
      <c r="I509" s="5">
        <v>14</v>
      </c>
      <c r="J509" s="5">
        <v>-7</v>
      </c>
      <c r="K509" s="5">
        <v>43</v>
      </c>
      <c r="L509" s="5">
        <v>6</v>
      </c>
      <c r="M509" s="5">
        <v>-38</v>
      </c>
      <c r="N509" s="5">
        <v>21</v>
      </c>
      <c r="O509" s="5">
        <v>18</v>
      </c>
      <c r="P509" s="5">
        <v>4</v>
      </c>
      <c r="Q509" s="5">
        <v>-1</v>
      </c>
      <c r="R509" s="5">
        <v>36</v>
      </c>
      <c r="S509" s="5">
        <v>-2</v>
      </c>
      <c r="T509" s="5">
        <v>6</v>
      </c>
      <c r="U509" s="5">
        <v>-3</v>
      </c>
      <c r="V509" s="5">
        <v>-5</v>
      </c>
      <c r="W509" s="5">
        <v>10</v>
      </c>
      <c r="X509" s="5">
        <v>-2</v>
      </c>
      <c r="Y509" s="5">
        <v>28</v>
      </c>
      <c r="Z509" s="5">
        <v>15</v>
      </c>
      <c r="AA509" s="5">
        <v>-25</v>
      </c>
      <c r="AB509" s="5">
        <v>-6</v>
      </c>
      <c r="AC509" s="5">
        <v>40</v>
      </c>
      <c r="AD509" s="5">
        <v>-24</v>
      </c>
      <c r="AE509" s="5">
        <v>-7</v>
      </c>
      <c r="AF509" s="5">
        <v>3</v>
      </c>
      <c r="AG509" s="5">
        <v>8</v>
      </c>
      <c r="AH509" s="5">
        <v>-15</v>
      </c>
      <c r="AI509" s="5">
        <v>10</v>
      </c>
      <c r="AJ509" s="5">
        <v>-22</v>
      </c>
      <c r="AK509" s="5">
        <v>-3</v>
      </c>
      <c r="AL509" s="6">
        <v>-16</v>
      </c>
    </row>
    <row r="510" spans="1:38">
      <c r="A510" s="4">
        <v>7</v>
      </c>
      <c r="B510" s="5">
        <v>9</v>
      </c>
      <c r="C510" s="5">
        <v>15</v>
      </c>
      <c r="D510" s="5">
        <v>1</v>
      </c>
      <c r="E510" s="5">
        <v>1</v>
      </c>
      <c r="F510" s="5">
        <v>1</v>
      </c>
      <c r="G510" s="5">
        <v>8</v>
      </c>
      <c r="H510" s="5">
        <v>-1</v>
      </c>
      <c r="I510" s="5">
        <v>11</v>
      </c>
      <c r="J510" s="5">
        <v>-3</v>
      </c>
      <c r="K510" s="5">
        <v>9</v>
      </c>
      <c r="L510" s="5">
        <v>8</v>
      </c>
      <c r="M510" s="5">
        <v>-7</v>
      </c>
      <c r="N510" s="5">
        <v>7</v>
      </c>
      <c r="O510" s="5">
        <v>7</v>
      </c>
      <c r="P510" s="5">
        <v>8</v>
      </c>
      <c r="Q510" s="5">
        <v>-4</v>
      </c>
      <c r="R510" s="5">
        <v>12</v>
      </c>
      <c r="S510" s="5">
        <v>15</v>
      </c>
      <c r="T510" s="5">
        <v>13</v>
      </c>
      <c r="U510" s="5">
        <v>8</v>
      </c>
      <c r="V510" s="5">
        <v>-7</v>
      </c>
      <c r="W510" s="5">
        <v>-1</v>
      </c>
      <c r="X510" s="5">
        <v>1</v>
      </c>
      <c r="Y510" s="5">
        <v>10</v>
      </c>
      <c r="Z510" s="5">
        <v>3</v>
      </c>
      <c r="AA510" s="5">
        <v>-8</v>
      </c>
      <c r="AB510" s="5">
        <v>0</v>
      </c>
      <c r="AC510" s="5">
        <v>24</v>
      </c>
      <c r="AD510" s="5">
        <v>-34</v>
      </c>
      <c r="AE510" s="5">
        <v>-6</v>
      </c>
      <c r="AF510" s="5">
        <v>-16</v>
      </c>
      <c r="AG510" s="5">
        <v>3</v>
      </c>
      <c r="AH510" s="5">
        <v>17</v>
      </c>
      <c r="AI510" s="5">
        <v>-16</v>
      </c>
      <c r="AJ510" s="5">
        <v>-14</v>
      </c>
      <c r="AK510" s="5">
        <v>13</v>
      </c>
      <c r="AL510" s="6">
        <v>7</v>
      </c>
    </row>
    <row r="511" spans="1:38">
      <c r="A511" s="4">
        <v>-70</v>
      </c>
      <c r="B511" s="5">
        <v>-23</v>
      </c>
      <c r="C511" s="5">
        <v>45</v>
      </c>
      <c r="D511" s="5">
        <v>-29</v>
      </c>
      <c r="E511" s="5">
        <v>-8</v>
      </c>
      <c r="F511" s="5">
        <v>-13</v>
      </c>
      <c r="G511" s="5">
        <v>-19</v>
      </c>
      <c r="H511" s="5">
        <v>-24</v>
      </c>
      <c r="I511" s="5">
        <v>4</v>
      </c>
      <c r="J511" s="5">
        <v>-23</v>
      </c>
      <c r="K511" s="5">
        <v>33</v>
      </c>
      <c r="L511" s="5">
        <v>-1</v>
      </c>
      <c r="M511" s="5">
        <v>-61</v>
      </c>
      <c r="N511" s="5">
        <v>59</v>
      </c>
      <c r="O511" s="5">
        <v>8</v>
      </c>
      <c r="P511" s="5">
        <v>2</v>
      </c>
      <c r="Q511" s="5">
        <v>-20</v>
      </c>
      <c r="R511" s="5">
        <v>40</v>
      </c>
      <c r="S511" s="5">
        <v>-46</v>
      </c>
      <c r="T511" s="5">
        <v>15</v>
      </c>
      <c r="U511" s="5">
        <v>-21</v>
      </c>
      <c r="V511" s="5">
        <v>24</v>
      </c>
      <c r="W511" s="5">
        <v>9</v>
      </c>
      <c r="X511" s="5">
        <v>-29</v>
      </c>
      <c r="Y511" s="5">
        <v>10</v>
      </c>
      <c r="Z511" s="5">
        <v>12</v>
      </c>
      <c r="AA511" s="5">
        <v>-51</v>
      </c>
      <c r="AB511" s="5">
        <v>-28</v>
      </c>
      <c r="AC511" s="5">
        <v>7</v>
      </c>
      <c r="AD511" s="5">
        <v>-75</v>
      </c>
      <c r="AE511" s="5">
        <v>-9</v>
      </c>
      <c r="AF511" s="5">
        <v>7</v>
      </c>
      <c r="AG511" s="5">
        <v>8</v>
      </c>
      <c r="AH511" s="5">
        <v>27</v>
      </c>
      <c r="AI511" s="5">
        <v>15</v>
      </c>
      <c r="AJ511" s="5">
        <v>22</v>
      </c>
      <c r="AK511" s="5">
        <v>7</v>
      </c>
      <c r="AL511" s="6">
        <v>8</v>
      </c>
    </row>
    <row r="512" spans="1:38">
      <c r="A512" s="4">
        <v>15</v>
      </c>
      <c r="B512" s="5">
        <v>-14</v>
      </c>
      <c r="C512" s="5">
        <v>8</v>
      </c>
      <c r="D512" s="5">
        <v>-4</v>
      </c>
      <c r="E512" s="5">
        <v>-12</v>
      </c>
      <c r="F512" s="5">
        <v>-6</v>
      </c>
      <c r="G512" s="5">
        <v>12</v>
      </c>
      <c r="H512" s="5">
        <v>-8</v>
      </c>
      <c r="I512" s="5">
        <v>12</v>
      </c>
      <c r="J512" s="5">
        <v>10</v>
      </c>
      <c r="K512" s="5">
        <v>10</v>
      </c>
      <c r="L512" s="5">
        <v>-9</v>
      </c>
      <c r="M512" s="5">
        <v>-6</v>
      </c>
      <c r="N512" s="5">
        <v>-1</v>
      </c>
      <c r="O512" s="5">
        <v>11</v>
      </c>
      <c r="P512" s="5">
        <v>1</v>
      </c>
      <c r="Q512" s="5">
        <v>1</v>
      </c>
      <c r="R512" s="5">
        <v>3</v>
      </c>
      <c r="S512" s="5">
        <v>5</v>
      </c>
      <c r="T512" s="5">
        <v>11</v>
      </c>
      <c r="U512" s="5">
        <v>1</v>
      </c>
      <c r="V512" s="5">
        <v>12</v>
      </c>
      <c r="W512" s="5">
        <v>-22</v>
      </c>
      <c r="X512" s="5">
        <v>3</v>
      </c>
      <c r="Y512" s="5">
        <v>-1</v>
      </c>
      <c r="Z512" s="5">
        <v>-5</v>
      </c>
      <c r="AA512" s="5">
        <v>-3</v>
      </c>
      <c r="AB512" s="5">
        <v>22</v>
      </c>
      <c r="AC512" s="5">
        <v>8</v>
      </c>
      <c r="AD512" s="5">
        <v>-9</v>
      </c>
      <c r="AE512" s="5">
        <v>-8</v>
      </c>
      <c r="AF512" s="5">
        <v>-9</v>
      </c>
      <c r="AG512" s="5">
        <v>-7</v>
      </c>
      <c r="AH512" s="5">
        <v>-20</v>
      </c>
      <c r="AI512" s="5">
        <v>-5</v>
      </c>
      <c r="AJ512" s="5">
        <v>-2</v>
      </c>
      <c r="AK512" s="5">
        <v>8</v>
      </c>
      <c r="AL512" s="6">
        <v>9</v>
      </c>
    </row>
    <row r="513" spans="1:38">
      <c r="A513" s="4">
        <v>8</v>
      </c>
      <c r="B513" s="5">
        <v>-32</v>
      </c>
      <c r="C513" s="5">
        <v>-37</v>
      </c>
      <c r="D513" s="5">
        <v>-39</v>
      </c>
      <c r="E513" s="5">
        <v>-115</v>
      </c>
      <c r="F513" s="5">
        <v>17</v>
      </c>
      <c r="G513" s="5">
        <v>-51</v>
      </c>
      <c r="H513" s="5">
        <v>4</v>
      </c>
      <c r="I513" s="5">
        <v>-13</v>
      </c>
      <c r="J513" s="5">
        <v>30</v>
      </c>
      <c r="K513" s="5">
        <v>-28</v>
      </c>
      <c r="L513" s="5">
        <v>29</v>
      </c>
      <c r="M513" s="5">
        <v>-9</v>
      </c>
      <c r="N513" s="5">
        <v>-79</v>
      </c>
      <c r="O513" s="5">
        <v>20</v>
      </c>
      <c r="P513" s="5">
        <v>-36</v>
      </c>
      <c r="Q513" s="5">
        <v>-30</v>
      </c>
      <c r="R513" s="5">
        <v>42</v>
      </c>
      <c r="S513" s="5">
        <v>45</v>
      </c>
      <c r="T513" s="5">
        <v>31</v>
      </c>
      <c r="U513" s="5">
        <v>1</v>
      </c>
      <c r="V513" s="5">
        <v>12</v>
      </c>
      <c r="W513" s="5">
        <v>29</v>
      </c>
      <c r="X513" s="5">
        <v>-9</v>
      </c>
      <c r="Y513" s="5">
        <v>33</v>
      </c>
      <c r="Z513" s="5">
        <v>-7</v>
      </c>
      <c r="AA513" s="5">
        <v>15</v>
      </c>
      <c r="AB513" s="5">
        <v>8</v>
      </c>
      <c r="AC513" s="5">
        <v>-22</v>
      </c>
      <c r="AD513" s="5">
        <v>1</v>
      </c>
      <c r="AE513" s="5">
        <v>51</v>
      </c>
      <c r="AF513" s="5">
        <v>14</v>
      </c>
      <c r="AG513" s="5">
        <v>-19</v>
      </c>
      <c r="AH513" s="5">
        <v>32</v>
      </c>
      <c r="AI513" s="5">
        <v>53</v>
      </c>
      <c r="AJ513" s="5">
        <v>-1</v>
      </c>
      <c r="AK513" s="5">
        <v>-28</v>
      </c>
      <c r="AL513" s="6">
        <v>-33</v>
      </c>
    </row>
    <row r="514" spans="1:38">
      <c r="A514" s="4">
        <v>-29</v>
      </c>
      <c r="B514" s="5">
        <v>-21</v>
      </c>
      <c r="C514" s="5">
        <v>-1</v>
      </c>
      <c r="D514" s="5">
        <v>3</v>
      </c>
      <c r="E514" s="5">
        <v>-42</v>
      </c>
      <c r="F514" s="5">
        <v>5</v>
      </c>
      <c r="G514" s="5">
        <v>-45</v>
      </c>
      <c r="H514" s="5">
        <v>-1</v>
      </c>
      <c r="I514" s="5">
        <v>-49</v>
      </c>
      <c r="J514" s="5">
        <v>25</v>
      </c>
      <c r="K514" s="5">
        <v>17</v>
      </c>
      <c r="L514" s="5">
        <v>15</v>
      </c>
      <c r="M514" s="5">
        <v>-8</v>
      </c>
      <c r="N514" s="5">
        <v>-36</v>
      </c>
      <c r="O514" s="5">
        <v>23</v>
      </c>
      <c r="P514" s="5">
        <v>85</v>
      </c>
      <c r="Q514" s="5">
        <v>2</v>
      </c>
      <c r="R514" s="5">
        <v>-8</v>
      </c>
      <c r="S514" s="5">
        <v>41</v>
      </c>
      <c r="T514" s="5">
        <v>25</v>
      </c>
      <c r="U514" s="5">
        <v>30</v>
      </c>
      <c r="V514" s="5">
        <v>-11</v>
      </c>
      <c r="W514" s="5">
        <v>-4</v>
      </c>
      <c r="X514" s="5">
        <v>-26</v>
      </c>
      <c r="Y514" s="5">
        <v>-32</v>
      </c>
      <c r="Z514" s="5">
        <v>-2</v>
      </c>
      <c r="AA514" s="5">
        <v>-23</v>
      </c>
      <c r="AB514" s="5">
        <v>53</v>
      </c>
      <c r="AC514" s="5">
        <v>-16</v>
      </c>
      <c r="AD514" s="5">
        <v>22</v>
      </c>
      <c r="AE514" s="5">
        <v>-10</v>
      </c>
      <c r="AF514" s="5">
        <v>3</v>
      </c>
      <c r="AG514" s="5">
        <v>-49</v>
      </c>
      <c r="AH514" s="5">
        <v>-10</v>
      </c>
      <c r="AI514" s="5">
        <v>7</v>
      </c>
      <c r="AJ514" s="5">
        <v>31</v>
      </c>
      <c r="AK514" s="5">
        <v>-21</v>
      </c>
      <c r="AL514" s="6">
        <v>31</v>
      </c>
    </row>
    <row r="515" spans="1:38">
      <c r="A515" s="4">
        <v>-68</v>
      </c>
      <c r="B515" s="5">
        <v>-2</v>
      </c>
      <c r="C515" s="5">
        <v>47</v>
      </c>
      <c r="D515" s="5">
        <v>9</v>
      </c>
      <c r="E515" s="5">
        <v>-25</v>
      </c>
      <c r="F515" s="5">
        <v>-30</v>
      </c>
      <c r="G515" s="5">
        <v>8</v>
      </c>
      <c r="H515" s="5">
        <v>15</v>
      </c>
      <c r="I515" s="5">
        <v>15</v>
      </c>
      <c r="J515" s="5">
        <v>0</v>
      </c>
      <c r="K515" s="5">
        <v>3</v>
      </c>
      <c r="L515" s="5">
        <v>-35</v>
      </c>
      <c r="M515" s="5">
        <v>17</v>
      </c>
      <c r="N515" s="5">
        <v>0</v>
      </c>
      <c r="O515" s="5">
        <v>0</v>
      </c>
      <c r="P515" s="5">
        <v>-15</v>
      </c>
      <c r="Q515" s="5">
        <v>36</v>
      </c>
      <c r="R515" s="5">
        <v>-43</v>
      </c>
      <c r="S515" s="5">
        <v>11</v>
      </c>
      <c r="T515" s="5">
        <v>1</v>
      </c>
      <c r="U515" s="5">
        <v>4</v>
      </c>
      <c r="V515" s="5">
        <v>9</v>
      </c>
      <c r="W515" s="5">
        <v>4</v>
      </c>
      <c r="X515" s="5">
        <v>46</v>
      </c>
      <c r="Y515" s="5">
        <v>29</v>
      </c>
      <c r="Z515" s="5">
        <v>14</v>
      </c>
      <c r="AA515" s="5">
        <v>-23</v>
      </c>
      <c r="AB515" s="5">
        <v>13</v>
      </c>
      <c r="AC515" s="5">
        <v>-1</v>
      </c>
      <c r="AD515" s="5">
        <v>18</v>
      </c>
      <c r="AE515" s="5">
        <v>-12</v>
      </c>
      <c r="AF515" s="5">
        <v>55</v>
      </c>
      <c r="AG515" s="5">
        <v>-4</v>
      </c>
      <c r="AH515" s="5">
        <v>-41</v>
      </c>
      <c r="AI515" s="5">
        <v>24</v>
      </c>
      <c r="AJ515" s="5">
        <v>-37</v>
      </c>
      <c r="AK515" s="5">
        <v>-4</v>
      </c>
      <c r="AL515" s="6">
        <v>-29</v>
      </c>
    </row>
    <row r="516" spans="1:38">
      <c r="A516" s="4">
        <v>-27</v>
      </c>
      <c r="B516" s="5">
        <v>51</v>
      </c>
      <c r="C516" s="5">
        <v>19</v>
      </c>
      <c r="D516" s="5">
        <v>-53</v>
      </c>
      <c r="E516" s="5">
        <v>13</v>
      </c>
      <c r="F516" s="5">
        <v>-18</v>
      </c>
      <c r="G516" s="5">
        <v>-17</v>
      </c>
      <c r="H516" s="5">
        <v>-2</v>
      </c>
      <c r="I516" s="5">
        <v>15</v>
      </c>
      <c r="J516" s="5">
        <v>29</v>
      </c>
      <c r="K516" s="5">
        <v>33</v>
      </c>
      <c r="L516" s="5">
        <v>0</v>
      </c>
      <c r="M516" s="5">
        <v>-41</v>
      </c>
      <c r="N516" s="5">
        <v>22</v>
      </c>
      <c r="O516" s="5">
        <v>31</v>
      </c>
      <c r="P516" s="5">
        <v>22</v>
      </c>
      <c r="Q516" s="5">
        <v>8</v>
      </c>
      <c r="R516" s="5">
        <v>54</v>
      </c>
      <c r="S516" s="5">
        <v>39</v>
      </c>
      <c r="T516" s="5">
        <v>-34</v>
      </c>
      <c r="U516" s="5">
        <v>2</v>
      </c>
      <c r="V516" s="5">
        <v>-14</v>
      </c>
      <c r="W516" s="5">
        <v>21</v>
      </c>
      <c r="X516" s="5">
        <v>0</v>
      </c>
      <c r="Y516" s="5">
        <v>7</v>
      </c>
      <c r="Z516" s="5">
        <v>8</v>
      </c>
      <c r="AA516" s="5">
        <v>-38</v>
      </c>
      <c r="AB516" s="5">
        <v>34</v>
      </c>
      <c r="AC516" s="5">
        <v>55</v>
      </c>
      <c r="AD516" s="5">
        <v>21</v>
      </c>
      <c r="AE516" s="5">
        <v>17</v>
      </c>
      <c r="AF516" s="5">
        <v>-1</v>
      </c>
      <c r="AG516" s="5">
        <v>-23</v>
      </c>
      <c r="AH516" s="5">
        <v>-17</v>
      </c>
      <c r="AI516" s="5">
        <v>-6</v>
      </c>
      <c r="AJ516" s="5">
        <v>-23</v>
      </c>
      <c r="AK516" s="5">
        <v>12</v>
      </c>
      <c r="AL516" s="6">
        <v>-4</v>
      </c>
    </row>
    <row r="517" spans="1:38">
      <c r="A517" s="4">
        <v>60</v>
      </c>
      <c r="B517" s="5">
        <v>4</v>
      </c>
      <c r="C517" s="5">
        <v>-2</v>
      </c>
      <c r="D517" s="5">
        <v>10</v>
      </c>
      <c r="E517" s="5">
        <v>25</v>
      </c>
      <c r="F517" s="5">
        <v>27</v>
      </c>
      <c r="G517" s="5">
        <v>-36</v>
      </c>
      <c r="H517" s="5">
        <v>66</v>
      </c>
      <c r="I517" s="5">
        <v>41</v>
      </c>
      <c r="J517" s="5">
        <v>6</v>
      </c>
      <c r="K517" s="5">
        <v>34</v>
      </c>
      <c r="L517" s="5">
        <v>-49</v>
      </c>
      <c r="M517" s="5">
        <v>2</v>
      </c>
      <c r="N517" s="5">
        <v>30</v>
      </c>
      <c r="O517" s="5">
        <v>27</v>
      </c>
      <c r="P517" s="5">
        <v>31</v>
      </c>
      <c r="Q517" s="5">
        <v>-3</v>
      </c>
      <c r="R517" s="5">
        <v>0</v>
      </c>
      <c r="S517" s="5">
        <v>15</v>
      </c>
      <c r="T517" s="5">
        <v>-4</v>
      </c>
      <c r="U517" s="5">
        <v>30</v>
      </c>
      <c r="V517" s="5">
        <v>46</v>
      </c>
      <c r="W517" s="5">
        <v>29</v>
      </c>
      <c r="X517" s="5">
        <v>13</v>
      </c>
      <c r="Y517" s="5">
        <v>33</v>
      </c>
      <c r="Z517" s="5">
        <v>-19</v>
      </c>
      <c r="AA517" s="5">
        <v>-5</v>
      </c>
      <c r="AB517" s="5">
        <v>-15</v>
      </c>
      <c r="AC517" s="5">
        <v>-24</v>
      </c>
      <c r="AD517" s="5">
        <v>24</v>
      </c>
      <c r="AE517" s="5">
        <v>8</v>
      </c>
      <c r="AF517" s="5">
        <v>-20</v>
      </c>
      <c r="AG517" s="5">
        <v>-19</v>
      </c>
      <c r="AH517" s="5">
        <v>23</v>
      </c>
      <c r="AI517" s="5">
        <v>2</v>
      </c>
      <c r="AJ517" s="5">
        <v>14</v>
      </c>
      <c r="AK517" s="5">
        <v>-14</v>
      </c>
      <c r="AL517" s="6">
        <v>-16</v>
      </c>
    </row>
    <row r="518" spans="1:38">
      <c r="A518" s="4">
        <v>-5</v>
      </c>
      <c r="B518" s="5">
        <v>24</v>
      </c>
      <c r="C518" s="5">
        <v>-2</v>
      </c>
      <c r="D518" s="5">
        <v>-12</v>
      </c>
      <c r="E518" s="5">
        <v>2</v>
      </c>
      <c r="F518" s="5">
        <v>30</v>
      </c>
      <c r="G518" s="5">
        <v>54</v>
      </c>
      <c r="H518" s="5">
        <v>34</v>
      </c>
      <c r="I518" s="5">
        <v>14</v>
      </c>
      <c r="J518" s="5">
        <v>-19</v>
      </c>
      <c r="K518" s="5">
        <v>-10</v>
      </c>
      <c r="L518" s="5">
        <v>22</v>
      </c>
      <c r="M518" s="5">
        <v>-1</v>
      </c>
      <c r="N518" s="5">
        <v>12</v>
      </c>
      <c r="O518" s="5">
        <v>56</v>
      </c>
      <c r="P518" s="5">
        <v>-28</v>
      </c>
      <c r="Q518" s="5">
        <v>-2</v>
      </c>
      <c r="R518" s="5">
        <v>24</v>
      </c>
      <c r="S518" s="5">
        <v>-1</v>
      </c>
      <c r="T518" s="5">
        <v>12</v>
      </c>
      <c r="U518" s="5">
        <v>-11</v>
      </c>
      <c r="V518" s="5">
        <v>-1</v>
      </c>
      <c r="W518" s="5">
        <v>-8</v>
      </c>
      <c r="X518" s="5">
        <v>-2</v>
      </c>
      <c r="Y518" s="5">
        <v>10</v>
      </c>
      <c r="Z518" s="5">
        <v>-22</v>
      </c>
      <c r="AA518" s="5">
        <v>8</v>
      </c>
      <c r="AB518" s="5">
        <v>18</v>
      </c>
      <c r="AC518" s="5">
        <v>15</v>
      </c>
      <c r="AD518" s="5">
        <v>2</v>
      </c>
      <c r="AE518" s="5">
        <v>25</v>
      </c>
      <c r="AF518" s="5">
        <v>9</v>
      </c>
      <c r="AG518" s="5">
        <v>-27</v>
      </c>
      <c r="AH518" s="5">
        <v>-16</v>
      </c>
      <c r="AI518" s="5">
        <v>5</v>
      </c>
      <c r="AJ518" s="5">
        <v>36</v>
      </c>
      <c r="AK518" s="5">
        <v>-15</v>
      </c>
      <c r="AL518" s="6">
        <v>32</v>
      </c>
    </row>
    <row r="519" spans="1:38">
      <c r="A519" s="4">
        <v>9</v>
      </c>
      <c r="B519" s="5">
        <v>-37</v>
      </c>
      <c r="C519" s="5">
        <v>-37</v>
      </c>
      <c r="D519" s="5">
        <v>-34</v>
      </c>
      <c r="E519" s="5">
        <v>-107</v>
      </c>
      <c r="F519" s="5">
        <v>23</v>
      </c>
      <c r="G519" s="5">
        <v>-46</v>
      </c>
      <c r="H519" s="5">
        <v>-4</v>
      </c>
      <c r="I519" s="5">
        <v>-18</v>
      </c>
      <c r="J519" s="5">
        <v>40</v>
      </c>
      <c r="K519" s="5">
        <v>-24</v>
      </c>
      <c r="L519" s="5">
        <v>39</v>
      </c>
      <c r="M519" s="5">
        <v>-19</v>
      </c>
      <c r="N519" s="5">
        <v>-80</v>
      </c>
      <c r="O519" s="5">
        <v>34</v>
      </c>
      <c r="P519" s="5">
        <v>-36</v>
      </c>
      <c r="Q519" s="5">
        <v>-38</v>
      </c>
      <c r="R519" s="5">
        <v>40</v>
      </c>
      <c r="S519" s="5">
        <v>38</v>
      </c>
      <c r="T519" s="5">
        <v>26</v>
      </c>
      <c r="U519" s="5">
        <v>7</v>
      </c>
      <c r="V519" s="5">
        <v>16</v>
      </c>
      <c r="W519" s="5">
        <v>31</v>
      </c>
      <c r="X519" s="5">
        <v>-13</v>
      </c>
      <c r="Y519" s="5">
        <v>31</v>
      </c>
      <c r="Z519" s="5">
        <v>2</v>
      </c>
      <c r="AA519" s="5">
        <v>4</v>
      </c>
      <c r="AB519" s="5">
        <v>6</v>
      </c>
      <c r="AC519" s="5">
        <v>-35</v>
      </c>
      <c r="AD519" s="5">
        <v>-6</v>
      </c>
      <c r="AE519" s="5">
        <v>46</v>
      </c>
      <c r="AF519" s="5">
        <v>11</v>
      </c>
      <c r="AG519" s="5">
        <v>-7</v>
      </c>
      <c r="AH519" s="5">
        <v>22</v>
      </c>
      <c r="AI519" s="5">
        <v>52</v>
      </c>
      <c r="AJ519" s="5">
        <v>13</v>
      </c>
      <c r="AK519" s="5">
        <v>-35</v>
      </c>
      <c r="AL519" s="6">
        <v>-23</v>
      </c>
    </row>
    <row r="520" spans="1:38">
      <c r="A520" s="4">
        <v>-14</v>
      </c>
      <c r="B520" s="5">
        <v>13</v>
      </c>
      <c r="C520" s="5">
        <v>3</v>
      </c>
      <c r="D520" s="5">
        <v>-9</v>
      </c>
      <c r="E520" s="5">
        <v>12</v>
      </c>
      <c r="F520" s="5">
        <v>10</v>
      </c>
      <c r="G520" s="5">
        <v>17</v>
      </c>
      <c r="H520" s="5">
        <v>13</v>
      </c>
      <c r="I520" s="5">
        <v>5</v>
      </c>
      <c r="J520" s="5">
        <v>0</v>
      </c>
      <c r="K520" s="5">
        <v>-1</v>
      </c>
      <c r="L520" s="5">
        <v>-17</v>
      </c>
      <c r="M520" s="5">
        <v>-4</v>
      </c>
      <c r="N520" s="5">
        <v>20</v>
      </c>
      <c r="O520" s="5">
        <v>0</v>
      </c>
      <c r="P520" s="5">
        <v>3</v>
      </c>
      <c r="Q520" s="5">
        <v>6</v>
      </c>
      <c r="R520" s="5">
        <v>17</v>
      </c>
      <c r="S520" s="5">
        <v>-17</v>
      </c>
      <c r="T520" s="5">
        <v>0</v>
      </c>
      <c r="U520" s="5">
        <v>-16</v>
      </c>
      <c r="V520" s="5">
        <v>-37</v>
      </c>
      <c r="W520" s="5">
        <v>24</v>
      </c>
      <c r="X520" s="5">
        <v>10</v>
      </c>
      <c r="Y520" s="5">
        <v>2</v>
      </c>
      <c r="Z520" s="5">
        <v>-34</v>
      </c>
      <c r="AA520" s="5">
        <v>-5</v>
      </c>
      <c r="AB520" s="5">
        <v>16</v>
      </c>
      <c r="AC520" s="5">
        <v>57</v>
      </c>
      <c r="AD520" s="5">
        <v>-28</v>
      </c>
      <c r="AE520" s="5">
        <v>19</v>
      </c>
      <c r="AF520" s="5">
        <v>-27</v>
      </c>
      <c r="AG520" s="5">
        <v>-21</v>
      </c>
      <c r="AH520" s="5">
        <v>2</v>
      </c>
      <c r="AI520" s="5">
        <v>3</v>
      </c>
      <c r="AJ520" s="5">
        <v>26</v>
      </c>
      <c r="AK520" s="5">
        <v>46</v>
      </c>
      <c r="AL520" s="6">
        <v>4</v>
      </c>
    </row>
    <row r="521" spans="1:38">
      <c r="A521" s="4">
        <v>-2</v>
      </c>
      <c r="B521" s="5">
        <v>-1</v>
      </c>
      <c r="C521" s="5">
        <v>-6</v>
      </c>
      <c r="D521" s="5">
        <v>0</v>
      </c>
      <c r="E521" s="5">
        <v>-2</v>
      </c>
      <c r="F521" s="5">
        <v>-32</v>
      </c>
      <c r="G521" s="5">
        <v>8</v>
      </c>
      <c r="H521" s="5">
        <v>-24</v>
      </c>
      <c r="I521" s="5">
        <v>-1</v>
      </c>
      <c r="J521" s="5">
        <v>27</v>
      </c>
      <c r="K521" s="5">
        <v>37</v>
      </c>
      <c r="L521" s="5">
        <v>9</v>
      </c>
      <c r="M521" s="5">
        <v>-5</v>
      </c>
      <c r="N521" s="5">
        <v>6</v>
      </c>
      <c r="O521" s="5">
        <v>24</v>
      </c>
      <c r="P521" s="5">
        <v>24</v>
      </c>
      <c r="Q521" s="5">
        <v>-17</v>
      </c>
      <c r="R521" s="5">
        <v>-7</v>
      </c>
      <c r="S521" s="5">
        <v>30</v>
      </c>
      <c r="T521" s="5">
        <v>14</v>
      </c>
      <c r="U521" s="5">
        <v>19</v>
      </c>
      <c r="V521" s="5">
        <v>15</v>
      </c>
      <c r="W521" s="5">
        <v>-17</v>
      </c>
      <c r="X521" s="5">
        <v>8</v>
      </c>
      <c r="Y521" s="5">
        <v>-3</v>
      </c>
      <c r="Z521" s="5">
        <v>1</v>
      </c>
      <c r="AA521" s="5">
        <v>-27</v>
      </c>
      <c r="AB521" s="5">
        <v>45</v>
      </c>
      <c r="AC521" s="5">
        <v>-23</v>
      </c>
      <c r="AD521" s="5">
        <v>9</v>
      </c>
      <c r="AE521" s="5">
        <v>7</v>
      </c>
      <c r="AF521" s="5">
        <v>3</v>
      </c>
      <c r="AG521" s="5">
        <v>4</v>
      </c>
      <c r="AH521" s="5">
        <v>-7</v>
      </c>
      <c r="AI521" s="5">
        <v>-6</v>
      </c>
      <c r="AJ521" s="5">
        <v>28</v>
      </c>
      <c r="AK521" s="5">
        <v>26</v>
      </c>
      <c r="AL521" s="6">
        <v>-6</v>
      </c>
    </row>
    <row r="522" spans="1:38">
      <c r="A522" s="4">
        <v>-29</v>
      </c>
      <c r="B522" s="5">
        <v>-18</v>
      </c>
      <c r="C522" s="5">
        <v>-8</v>
      </c>
      <c r="D522" s="5">
        <v>16</v>
      </c>
      <c r="E522" s="5">
        <v>-43</v>
      </c>
      <c r="F522" s="5">
        <v>27</v>
      </c>
      <c r="G522" s="5">
        <v>-28</v>
      </c>
      <c r="H522" s="5">
        <v>18</v>
      </c>
      <c r="I522" s="5">
        <v>4</v>
      </c>
      <c r="J522" s="5">
        <v>-25</v>
      </c>
      <c r="K522" s="5">
        <v>-8</v>
      </c>
      <c r="L522" s="5">
        <v>-17</v>
      </c>
      <c r="M522" s="5">
        <v>-13</v>
      </c>
      <c r="N522" s="5">
        <v>-15</v>
      </c>
      <c r="O522" s="5">
        <v>-46</v>
      </c>
      <c r="P522" s="5">
        <v>-37</v>
      </c>
      <c r="Q522" s="5">
        <v>4</v>
      </c>
      <c r="R522" s="5">
        <v>-24</v>
      </c>
      <c r="S522" s="5">
        <v>3</v>
      </c>
      <c r="T522" s="5">
        <v>16</v>
      </c>
      <c r="U522" s="5">
        <v>23</v>
      </c>
      <c r="V522" s="5">
        <v>-5</v>
      </c>
      <c r="W522" s="5">
        <v>1</v>
      </c>
      <c r="X522" s="5">
        <v>-18</v>
      </c>
      <c r="Y522" s="5">
        <v>-1</v>
      </c>
      <c r="Z522" s="5">
        <v>-33</v>
      </c>
      <c r="AA522" s="5">
        <v>5</v>
      </c>
      <c r="AB522" s="5">
        <v>17</v>
      </c>
      <c r="AC522" s="5">
        <v>5</v>
      </c>
      <c r="AD522" s="5">
        <v>-33</v>
      </c>
      <c r="AE522" s="5">
        <v>8</v>
      </c>
      <c r="AF522" s="5">
        <v>-26</v>
      </c>
      <c r="AG522" s="5">
        <v>-11</v>
      </c>
      <c r="AH522" s="5">
        <v>-35</v>
      </c>
      <c r="AI522" s="5">
        <v>0</v>
      </c>
      <c r="AJ522" s="5">
        <v>35</v>
      </c>
      <c r="AK522" s="5">
        <v>-35</v>
      </c>
      <c r="AL522" s="6">
        <v>-4</v>
      </c>
    </row>
    <row r="523" spans="1:38">
      <c r="A523" s="4">
        <v>17</v>
      </c>
      <c r="B523" s="5">
        <v>54</v>
      </c>
      <c r="C523" s="5">
        <v>-14</v>
      </c>
      <c r="D523" s="5">
        <v>-8</v>
      </c>
      <c r="E523" s="5">
        <v>8</v>
      </c>
      <c r="F523" s="5">
        <v>20</v>
      </c>
      <c r="G523" s="5">
        <v>43</v>
      </c>
      <c r="H523" s="5">
        <v>-34</v>
      </c>
      <c r="I523" s="5">
        <v>64</v>
      </c>
      <c r="J523" s="5">
        <v>-10</v>
      </c>
      <c r="K523" s="5">
        <v>5</v>
      </c>
      <c r="L523" s="5">
        <v>48</v>
      </c>
      <c r="M523" s="5">
        <v>12</v>
      </c>
      <c r="N523" s="5">
        <v>-5</v>
      </c>
      <c r="O523" s="5">
        <v>-12</v>
      </c>
      <c r="P523" s="5">
        <v>-24</v>
      </c>
      <c r="Q523" s="5">
        <v>-47</v>
      </c>
      <c r="R523" s="5">
        <v>5</v>
      </c>
      <c r="S523" s="5">
        <v>5</v>
      </c>
      <c r="T523" s="5">
        <v>-6</v>
      </c>
      <c r="U523" s="5">
        <v>21</v>
      </c>
      <c r="V523" s="5">
        <v>22</v>
      </c>
      <c r="W523" s="5">
        <v>-25</v>
      </c>
      <c r="X523" s="5">
        <v>-35</v>
      </c>
      <c r="Y523" s="5">
        <v>1</v>
      </c>
      <c r="Z523" s="5">
        <v>-6</v>
      </c>
      <c r="AA523" s="5">
        <v>-15</v>
      </c>
      <c r="AB523" s="5">
        <v>-3</v>
      </c>
      <c r="AC523" s="5">
        <v>9</v>
      </c>
      <c r="AD523" s="5">
        <v>-6</v>
      </c>
      <c r="AE523" s="5">
        <v>30</v>
      </c>
      <c r="AF523" s="5">
        <v>-34</v>
      </c>
      <c r="AG523" s="5">
        <v>-19</v>
      </c>
      <c r="AH523" s="5">
        <v>-16</v>
      </c>
      <c r="AI523" s="5">
        <v>11</v>
      </c>
      <c r="AJ523" s="5">
        <v>9</v>
      </c>
      <c r="AK523" s="5">
        <v>-29</v>
      </c>
      <c r="AL523" s="6">
        <v>15</v>
      </c>
    </row>
    <row r="524" spans="1:38">
      <c r="A524" s="4">
        <v>0</v>
      </c>
      <c r="B524" s="5">
        <v>0</v>
      </c>
      <c r="C524" s="5">
        <v>-27</v>
      </c>
      <c r="D524" s="5">
        <v>1</v>
      </c>
      <c r="E524" s="5">
        <v>4</v>
      </c>
      <c r="F524" s="5">
        <v>-16</v>
      </c>
      <c r="G524" s="5">
        <v>18</v>
      </c>
      <c r="H524" s="5">
        <v>-18</v>
      </c>
      <c r="I524" s="5">
        <v>-22</v>
      </c>
      <c r="J524" s="5">
        <v>5</v>
      </c>
      <c r="K524" s="5">
        <v>28</v>
      </c>
      <c r="L524" s="5">
        <v>0</v>
      </c>
      <c r="M524" s="5">
        <v>-11</v>
      </c>
      <c r="N524" s="5">
        <v>-6</v>
      </c>
      <c r="O524" s="5">
        <v>-20</v>
      </c>
      <c r="P524" s="5">
        <v>-19</v>
      </c>
      <c r="Q524" s="5">
        <v>15</v>
      </c>
      <c r="R524" s="5">
        <v>14</v>
      </c>
      <c r="S524" s="5">
        <v>4</v>
      </c>
      <c r="T524" s="5">
        <v>25</v>
      </c>
      <c r="U524" s="5">
        <v>-23</v>
      </c>
      <c r="V524" s="5">
        <v>16</v>
      </c>
      <c r="W524" s="5">
        <v>6</v>
      </c>
      <c r="X524" s="5">
        <v>-8</v>
      </c>
      <c r="Y524" s="5">
        <v>-2</v>
      </c>
      <c r="Z524" s="5">
        <v>11</v>
      </c>
      <c r="AA524" s="5">
        <v>9</v>
      </c>
      <c r="AB524" s="5">
        <v>-11</v>
      </c>
      <c r="AC524" s="5">
        <v>-10</v>
      </c>
      <c r="AD524" s="5">
        <v>16</v>
      </c>
      <c r="AE524" s="5">
        <v>15</v>
      </c>
      <c r="AF524" s="5">
        <v>-30</v>
      </c>
      <c r="AG524" s="5">
        <v>-15</v>
      </c>
      <c r="AH524" s="5">
        <v>-13</v>
      </c>
      <c r="AI524" s="5">
        <v>9</v>
      </c>
      <c r="AJ524" s="5">
        <v>-14</v>
      </c>
      <c r="AK524" s="5">
        <v>16</v>
      </c>
      <c r="AL524" s="6">
        <v>-4</v>
      </c>
    </row>
    <row r="525" spans="1:38">
      <c r="A525" s="4">
        <v>-13</v>
      </c>
      <c r="B525" s="5">
        <v>-30</v>
      </c>
      <c r="C525" s="5">
        <v>-27</v>
      </c>
      <c r="D525" s="5">
        <v>10</v>
      </c>
      <c r="E525" s="5">
        <v>12</v>
      </c>
      <c r="F525" s="5">
        <v>4</v>
      </c>
      <c r="G525" s="5">
        <v>12</v>
      </c>
      <c r="H525" s="5">
        <v>-30</v>
      </c>
      <c r="I525" s="5">
        <v>-17</v>
      </c>
      <c r="J525" s="5">
        <v>19</v>
      </c>
      <c r="K525" s="5">
        <v>-17</v>
      </c>
      <c r="L525" s="5">
        <v>-9</v>
      </c>
      <c r="M525" s="5">
        <v>-41</v>
      </c>
      <c r="N525" s="5">
        <v>13</v>
      </c>
      <c r="O525" s="5">
        <v>2</v>
      </c>
      <c r="P525" s="5">
        <v>-2</v>
      </c>
      <c r="Q525" s="5">
        <v>-1</v>
      </c>
      <c r="R525" s="5">
        <v>2</v>
      </c>
      <c r="S525" s="5">
        <v>7</v>
      </c>
      <c r="T525" s="5">
        <v>-34</v>
      </c>
      <c r="U525" s="5">
        <v>-20</v>
      </c>
      <c r="V525" s="5">
        <v>33</v>
      </c>
      <c r="W525" s="5">
        <v>10</v>
      </c>
      <c r="X525" s="5">
        <v>0</v>
      </c>
      <c r="Y525" s="5">
        <v>-13</v>
      </c>
      <c r="Z525" s="5">
        <v>-29</v>
      </c>
      <c r="AA525" s="5">
        <v>-9</v>
      </c>
      <c r="AB525" s="5">
        <v>-4</v>
      </c>
      <c r="AC525" s="5">
        <v>-20</v>
      </c>
      <c r="AD525" s="5">
        <v>4</v>
      </c>
      <c r="AE525" s="5">
        <v>5</v>
      </c>
      <c r="AF525" s="5">
        <v>-3</v>
      </c>
      <c r="AG525" s="5">
        <v>-10</v>
      </c>
      <c r="AH525" s="5">
        <v>13</v>
      </c>
      <c r="AI525" s="5">
        <v>-13</v>
      </c>
      <c r="AJ525" s="5">
        <v>-17</v>
      </c>
      <c r="AK525" s="5">
        <v>-15</v>
      </c>
      <c r="AL525" s="6">
        <v>9</v>
      </c>
    </row>
    <row r="526" spans="1:38">
      <c r="A526" s="4">
        <v>-2</v>
      </c>
      <c r="B526" s="5">
        <v>-9</v>
      </c>
      <c r="C526" s="5">
        <v>-20</v>
      </c>
      <c r="D526" s="5">
        <v>7</v>
      </c>
      <c r="E526" s="5">
        <v>8</v>
      </c>
      <c r="F526" s="5">
        <v>-4</v>
      </c>
      <c r="G526" s="5">
        <v>13</v>
      </c>
      <c r="H526" s="5">
        <v>-7</v>
      </c>
      <c r="I526" s="5">
        <v>21</v>
      </c>
      <c r="J526" s="5">
        <v>4</v>
      </c>
      <c r="K526" s="5">
        <v>-22</v>
      </c>
      <c r="L526" s="5">
        <v>5</v>
      </c>
      <c r="M526" s="5">
        <v>-6</v>
      </c>
      <c r="N526" s="5">
        <v>17</v>
      </c>
      <c r="O526" s="5">
        <v>22</v>
      </c>
      <c r="P526" s="5">
        <v>7</v>
      </c>
      <c r="Q526" s="5">
        <v>4</v>
      </c>
      <c r="R526" s="5">
        <v>12</v>
      </c>
      <c r="S526" s="5">
        <v>-11</v>
      </c>
      <c r="T526" s="5">
        <v>3</v>
      </c>
      <c r="U526" s="5">
        <v>10</v>
      </c>
      <c r="V526" s="5">
        <v>-2</v>
      </c>
      <c r="W526" s="5">
        <v>5</v>
      </c>
      <c r="X526" s="5">
        <v>-10</v>
      </c>
      <c r="Y526" s="5">
        <v>10</v>
      </c>
      <c r="Z526" s="5">
        <v>-16</v>
      </c>
      <c r="AA526" s="5">
        <v>-11</v>
      </c>
      <c r="AB526" s="5">
        <v>-3</v>
      </c>
      <c r="AC526" s="5">
        <v>3</v>
      </c>
      <c r="AD526" s="5">
        <v>11</v>
      </c>
      <c r="AE526" s="5">
        <v>-2</v>
      </c>
      <c r="AF526" s="5">
        <v>-22</v>
      </c>
      <c r="AG526" s="5">
        <v>10</v>
      </c>
      <c r="AH526" s="5">
        <v>5</v>
      </c>
      <c r="AI526" s="5">
        <v>-5</v>
      </c>
      <c r="AJ526" s="5">
        <v>-6</v>
      </c>
      <c r="AK526" s="5">
        <v>29</v>
      </c>
      <c r="AL526" s="6">
        <v>-10</v>
      </c>
    </row>
    <row r="527" spans="1:38">
      <c r="A527" s="4">
        <v>-20</v>
      </c>
      <c r="B527" s="5">
        <v>30</v>
      </c>
      <c r="C527" s="5">
        <v>-4</v>
      </c>
      <c r="D527" s="5">
        <v>36</v>
      </c>
      <c r="E527" s="5">
        <v>10</v>
      </c>
      <c r="F527" s="5">
        <v>15</v>
      </c>
      <c r="G527" s="5">
        <v>-33</v>
      </c>
      <c r="H527" s="5">
        <v>12</v>
      </c>
      <c r="I527" s="5">
        <v>-12</v>
      </c>
      <c r="J527" s="5">
        <v>-9</v>
      </c>
      <c r="K527" s="5">
        <v>-22</v>
      </c>
      <c r="L527" s="5">
        <v>4</v>
      </c>
      <c r="M527" s="5">
        <v>13</v>
      </c>
      <c r="N527" s="5">
        <v>30</v>
      </c>
      <c r="O527" s="5">
        <v>40</v>
      </c>
      <c r="P527" s="5">
        <v>-2</v>
      </c>
      <c r="Q527" s="5">
        <v>-14</v>
      </c>
      <c r="R527" s="5">
        <v>17</v>
      </c>
      <c r="S527" s="5">
        <v>2</v>
      </c>
      <c r="T527" s="5">
        <v>69</v>
      </c>
      <c r="U527" s="5">
        <v>-29</v>
      </c>
      <c r="V527" s="5">
        <v>12</v>
      </c>
      <c r="W527" s="5">
        <v>-2</v>
      </c>
      <c r="X527" s="5">
        <v>-39</v>
      </c>
      <c r="Y527" s="5">
        <v>-9</v>
      </c>
      <c r="Z527" s="5">
        <v>15</v>
      </c>
      <c r="AA527" s="5">
        <v>21</v>
      </c>
      <c r="AB527" s="5">
        <v>-21</v>
      </c>
      <c r="AC527" s="5">
        <v>10</v>
      </c>
      <c r="AD527" s="5">
        <v>17</v>
      </c>
      <c r="AE527" s="5">
        <v>-43</v>
      </c>
      <c r="AF527" s="5">
        <v>-24</v>
      </c>
      <c r="AG527" s="5">
        <v>3</v>
      </c>
      <c r="AH527" s="5">
        <v>7</v>
      </c>
      <c r="AI527" s="5">
        <v>49</v>
      </c>
      <c r="AJ527" s="5">
        <v>4</v>
      </c>
      <c r="AK527" s="5">
        <v>20</v>
      </c>
      <c r="AL527" s="6">
        <v>-67</v>
      </c>
    </row>
    <row r="528" spans="1:38">
      <c r="A528" s="4">
        <v>-21</v>
      </c>
      <c r="B528" s="5">
        <v>5</v>
      </c>
      <c r="C528" s="5">
        <v>14</v>
      </c>
      <c r="D528" s="5">
        <v>42</v>
      </c>
      <c r="E528" s="5">
        <v>0</v>
      </c>
      <c r="F528" s="5">
        <v>28</v>
      </c>
      <c r="G528" s="5">
        <v>1</v>
      </c>
      <c r="H528" s="5">
        <v>0</v>
      </c>
      <c r="I528" s="5">
        <v>-30</v>
      </c>
      <c r="J528" s="5">
        <v>-3</v>
      </c>
      <c r="K528" s="5">
        <v>-9</v>
      </c>
      <c r="L528" s="5">
        <v>-8</v>
      </c>
      <c r="M528" s="5">
        <v>-13</v>
      </c>
      <c r="N528" s="5">
        <v>3</v>
      </c>
      <c r="O528" s="5">
        <v>-47</v>
      </c>
      <c r="P528" s="5">
        <v>15</v>
      </c>
      <c r="Q528" s="5">
        <v>22</v>
      </c>
      <c r="R528" s="5">
        <v>-17</v>
      </c>
      <c r="S528" s="5">
        <v>24</v>
      </c>
      <c r="T528" s="5">
        <v>40</v>
      </c>
      <c r="U528" s="5">
        <v>18</v>
      </c>
      <c r="V528" s="5">
        <v>9</v>
      </c>
      <c r="W528" s="5">
        <v>-25</v>
      </c>
      <c r="X528" s="5">
        <v>-7</v>
      </c>
      <c r="Y528" s="5">
        <v>51</v>
      </c>
      <c r="Z528" s="5">
        <v>-36</v>
      </c>
      <c r="AA528" s="5">
        <v>15</v>
      </c>
      <c r="AB528" s="5">
        <v>-24</v>
      </c>
      <c r="AC528" s="5">
        <v>7</v>
      </c>
      <c r="AD528" s="5">
        <v>-9</v>
      </c>
      <c r="AE528" s="5">
        <v>-1</v>
      </c>
      <c r="AF528" s="5">
        <v>13</v>
      </c>
      <c r="AG528" s="5">
        <v>20</v>
      </c>
      <c r="AH528" s="5">
        <v>-4</v>
      </c>
      <c r="AI528" s="5">
        <v>0</v>
      </c>
      <c r="AJ528" s="5">
        <v>9</v>
      </c>
      <c r="AK528" s="5">
        <v>-10</v>
      </c>
      <c r="AL528" s="6">
        <v>21</v>
      </c>
    </row>
    <row r="529" spans="1:38">
      <c r="A529" s="4">
        <v>-47</v>
      </c>
      <c r="B529" s="5">
        <v>-4</v>
      </c>
      <c r="C529" s="5">
        <v>-3</v>
      </c>
      <c r="D529" s="5">
        <v>27</v>
      </c>
      <c r="E529" s="5">
        <v>-15</v>
      </c>
      <c r="F529" s="5">
        <v>27</v>
      </c>
      <c r="G529" s="5">
        <v>20</v>
      </c>
      <c r="H529" s="5">
        <v>35</v>
      </c>
      <c r="I529" s="5">
        <v>-21</v>
      </c>
      <c r="J529" s="5">
        <v>-40</v>
      </c>
      <c r="K529" s="5">
        <v>8</v>
      </c>
      <c r="L529" s="5">
        <v>32</v>
      </c>
      <c r="M529" s="5">
        <v>17</v>
      </c>
      <c r="N529" s="5">
        <v>-8</v>
      </c>
      <c r="O529" s="5">
        <v>15</v>
      </c>
      <c r="P529" s="5">
        <v>-28</v>
      </c>
      <c r="Q529" s="5">
        <v>-30</v>
      </c>
      <c r="R529" s="5">
        <v>-56</v>
      </c>
      <c r="S529" s="5">
        <v>-4</v>
      </c>
      <c r="T529" s="5">
        <v>29</v>
      </c>
      <c r="U529" s="5">
        <v>-10</v>
      </c>
      <c r="V529" s="5">
        <v>60</v>
      </c>
      <c r="W529" s="5">
        <v>-8</v>
      </c>
      <c r="X529" s="5">
        <v>-2</v>
      </c>
      <c r="Y529" s="5">
        <v>-2</v>
      </c>
      <c r="Z529" s="5">
        <v>-33</v>
      </c>
      <c r="AA529" s="5">
        <v>45</v>
      </c>
      <c r="AB529" s="5">
        <v>44</v>
      </c>
      <c r="AC529" s="5">
        <v>42</v>
      </c>
      <c r="AD529" s="5">
        <v>-45</v>
      </c>
      <c r="AE529" s="5">
        <v>-35</v>
      </c>
      <c r="AF529" s="5">
        <v>14</v>
      </c>
      <c r="AG529" s="5">
        <v>69</v>
      </c>
      <c r="AH529" s="5">
        <v>9</v>
      </c>
      <c r="AI529" s="5">
        <v>-1</v>
      </c>
      <c r="AJ529" s="5">
        <v>-26</v>
      </c>
      <c r="AK529" s="5">
        <v>-1</v>
      </c>
      <c r="AL529" s="6">
        <v>35</v>
      </c>
    </row>
    <row r="530" spans="1:38">
      <c r="A530" s="4">
        <v>-19</v>
      </c>
      <c r="B530" s="5">
        <v>-13</v>
      </c>
      <c r="C530" s="5">
        <v>-23</v>
      </c>
      <c r="D530" s="5">
        <v>3</v>
      </c>
      <c r="E530" s="5">
        <v>-2</v>
      </c>
      <c r="F530" s="5">
        <v>-3</v>
      </c>
      <c r="G530" s="5">
        <v>26</v>
      </c>
      <c r="H530" s="5">
        <v>-12</v>
      </c>
      <c r="I530" s="5">
        <v>-2</v>
      </c>
      <c r="J530" s="5">
        <v>-1</v>
      </c>
      <c r="K530" s="5">
        <v>19</v>
      </c>
      <c r="L530" s="5">
        <v>16</v>
      </c>
      <c r="M530" s="5">
        <v>27</v>
      </c>
      <c r="N530" s="5">
        <v>4</v>
      </c>
      <c r="O530" s="5">
        <v>35</v>
      </c>
      <c r="P530" s="5">
        <v>-10</v>
      </c>
      <c r="Q530" s="5">
        <v>-45</v>
      </c>
      <c r="R530" s="5">
        <v>-15</v>
      </c>
      <c r="S530" s="5">
        <v>8</v>
      </c>
      <c r="T530" s="5">
        <v>6</v>
      </c>
      <c r="U530" s="5">
        <v>5</v>
      </c>
      <c r="V530" s="5">
        <v>31</v>
      </c>
      <c r="W530" s="5">
        <v>19</v>
      </c>
      <c r="X530" s="5">
        <v>42</v>
      </c>
      <c r="Y530" s="5">
        <v>-34</v>
      </c>
      <c r="Z530" s="5">
        <v>-12</v>
      </c>
      <c r="AA530" s="5">
        <v>33</v>
      </c>
      <c r="AB530" s="5">
        <v>45</v>
      </c>
      <c r="AC530" s="5">
        <v>4</v>
      </c>
      <c r="AD530" s="5">
        <v>-21</v>
      </c>
      <c r="AE530" s="5">
        <v>-21</v>
      </c>
      <c r="AF530" s="5">
        <v>2</v>
      </c>
      <c r="AG530" s="5">
        <v>19</v>
      </c>
      <c r="AH530" s="5">
        <v>41</v>
      </c>
      <c r="AI530" s="5">
        <v>16</v>
      </c>
      <c r="AJ530" s="5">
        <v>-28</v>
      </c>
      <c r="AK530" s="5">
        <v>-13</v>
      </c>
      <c r="AL530" s="6">
        <v>25</v>
      </c>
    </row>
    <row r="531" spans="1:38">
      <c r="A531" s="4">
        <v>5</v>
      </c>
      <c r="B531" s="5">
        <v>-11</v>
      </c>
      <c r="C531" s="5">
        <v>-5</v>
      </c>
      <c r="D531" s="5">
        <v>7</v>
      </c>
      <c r="E531" s="5">
        <v>5</v>
      </c>
      <c r="F531" s="5">
        <v>-1</v>
      </c>
      <c r="G531" s="5">
        <v>25</v>
      </c>
      <c r="H531" s="5">
        <v>-43</v>
      </c>
      <c r="I531" s="5">
        <v>-1</v>
      </c>
      <c r="J531" s="5">
        <v>20</v>
      </c>
      <c r="K531" s="5">
        <v>21</v>
      </c>
      <c r="L531" s="5">
        <v>-3</v>
      </c>
      <c r="M531" s="5">
        <v>12</v>
      </c>
      <c r="N531" s="5">
        <v>4</v>
      </c>
      <c r="O531" s="5">
        <v>-13</v>
      </c>
      <c r="P531" s="5">
        <v>17</v>
      </c>
      <c r="Q531" s="5">
        <v>-43</v>
      </c>
      <c r="R531" s="5">
        <v>4</v>
      </c>
      <c r="S531" s="5">
        <v>32</v>
      </c>
      <c r="T531" s="5">
        <v>-7</v>
      </c>
      <c r="U531" s="5">
        <v>5</v>
      </c>
      <c r="V531" s="5">
        <v>3</v>
      </c>
      <c r="W531" s="5">
        <v>41</v>
      </c>
      <c r="X531" s="5">
        <v>56</v>
      </c>
      <c r="Y531" s="5">
        <v>-24</v>
      </c>
      <c r="Z531" s="5">
        <v>-21</v>
      </c>
      <c r="AA531" s="5">
        <v>18</v>
      </c>
      <c r="AB531" s="5">
        <v>1</v>
      </c>
      <c r="AC531" s="5">
        <v>-28</v>
      </c>
      <c r="AD531" s="5">
        <v>-16</v>
      </c>
      <c r="AE531" s="5">
        <v>10</v>
      </c>
      <c r="AF531" s="5">
        <v>20</v>
      </c>
      <c r="AG531" s="5">
        <v>-11</v>
      </c>
      <c r="AH531" s="5">
        <v>35</v>
      </c>
      <c r="AI531" s="5">
        <v>14</v>
      </c>
      <c r="AJ531" s="5">
        <v>5</v>
      </c>
      <c r="AK531" s="5">
        <v>8</v>
      </c>
      <c r="AL531" s="6">
        <v>-5</v>
      </c>
    </row>
    <row r="532" spans="1:38">
      <c r="A532" s="4">
        <v>-16</v>
      </c>
      <c r="B532" s="5">
        <v>-5</v>
      </c>
      <c r="C532" s="5">
        <v>-22</v>
      </c>
      <c r="D532" s="5">
        <v>25</v>
      </c>
      <c r="E532" s="5">
        <v>20</v>
      </c>
      <c r="F532" s="5">
        <v>-75</v>
      </c>
      <c r="G532" s="5">
        <v>34</v>
      </c>
      <c r="H532" s="5">
        <v>-48</v>
      </c>
      <c r="I532" s="5">
        <v>1</v>
      </c>
      <c r="J532" s="5">
        <v>43</v>
      </c>
      <c r="K532" s="5">
        <v>35</v>
      </c>
      <c r="L532" s="5">
        <v>8</v>
      </c>
      <c r="M532" s="5">
        <v>2</v>
      </c>
      <c r="N532" s="5">
        <v>28</v>
      </c>
      <c r="O532" s="5">
        <v>38</v>
      </c>
      <c r="P532" s="5">
        <v>48</v>
      </c>
      <c r="Q532" s="5">
        <v>-47</v>
      </c>
      <c r="R532" s="5">
        <v>24</v>
      </c>
      <c r="S532" s="5">
        <v>21</v>
      </c>
      <c r="T532" s="5">
        <v>14</v>
      </c>
      <c r="U532" s="5">
        <v>26</v>
      </c>
      <c r="V532" s="5">
        <v>4</v>
      </c>
      <c r="W532" s="5">
        <v>-20</v>
      </c>
      <c r="X532" s="5">
        <v>53</v>
      </c>
      <c r="Y532" s="5">
        <v>-16</v>
      </c>
      <c r="Z532" s="5">
        <v>-6</v>
      </c>
      <c r="AA532" s="5">
        <v>-33</v>
      </c>
      <c r="AB532" s="5">
        <v>41</v>
      </c>
      <c r="AC532" s="5">
        <v>-7</v>
      </c>
      <c r="AD532" s="5">
        <v>-20</v>
      </c>
      <c r="AE532" s="5">
        <v>15</v>
      </c>
      <c r="AF532" s="5">
        <v>-3</v>
      </c>
      <c r="AG532" s="5">
        <v>12</v>
      </c>
      <c r="AH532" s="5">
        <v>24</v>
      </c>
      <c r="AI532" s="5">
        <v>9</v>
      </c>
      <c r="AJ532" s="5">
        <v>0</v>
      </c>
      <c r="AK532" s="5">
        <v>43</v>
      </c>
      <c r="AL532" s="6">
        <v>-76</v>
      </c>
    </row>
    <row r="533" spans="1:38">
      <c r="A533" s="4">
        <v>-23</v>
      </c>
      <c r="B533" s="5">
        <v>0</v>
      </c>
      <c r="C533" s="5">
        <v>6</v>
      </c>
      <c r="D533" s="5">
        <v>33</v>
      </c>
      <c r="E533" s="5">
        <v>-29</v>
      </c>
      <c r="F533" s="5">
        <v>51</v>
      </c>
      <c r="G533" s="5">
        <v>-37</v>
      </c>
      <c r="H533" s="5">
        <v>28</v>
      </c>
      <c r="I533" s="5">
        <v>-9</v>
      </c>
      <c r="J533" s="5">
        <v>-29</v>
      </c>
      <c r="K533" s="5">
        <v>-19</v>
      </c>
      <c r="L533" s="5">
        <v>-10</v>
      </c>
      <c r="M533" s="5">
        <v>-15</v>
      </c>
      <c r="N533" s="5">
        <v>-10</v>
      </c>
      <c r="O533" s="5">
        <v>-41</v>
      </c>
      <c r="P533" s="5">
        <v>-43</v>
      </c>
      <c r="Q533" s="5">
        <v>31</v>
      </c>
      <c r="R533" s="5">
        <v>-23</v>
      </c>
      <c r="S533" s="5">
        <v>3</v>
      </c>
      <c r="T533" s="5">
        <v>24</v>
      </c>
      <c r="U533" s="5">
        <v>26</v>
      </c>
      <c r="V533" s="5">
        <v>32</v>
      </c>
      <c r="W533" s="5">
        <v>38</v>
      </c>
      <c r="X533" s="5">
        <v>-29</v>
      </c>
      <c r="Y533" s="5">
        <v>29</v>
      </c>
      <c r="Z533" s="5">
        <v>-33</v>
      </c>
      <c r="AA533" s="5">
        <v>3</v>
      </c>
      <c r="AB533" s="5">
        <v>1</v>
      </c>
      <c r="AC533" s="5">
        <v>-4</v>
      </c>
      <c r="AD533" s="5">
        <v>-20</v>
      </c>
      <c r="AE533" s="5">
        <v>6</v>
      </c>
      <c r="AF533" s="5">
        <v>10</v>
      </c>
      <c r="AG533" s="5">
        <v>19</v>
      </c>
      <c r="AH533" s="5">
        <v>-31</v>
      </c>
      <c r="AI533" s="5">
        <v>-30</v>
      </c>
      <c r="AJ533" s="5">
        <v>39</v>
      </c>
      <c r="AK533" s="5">
        <v>10</v>
      </c>
      <c r="AL533" s="6">
        <v>28</v>
      </c>
    </row>
    <row r="534" spans="1:38">
      <c r="A534" s="4">
        <v>3</v>
      </c>
      <c r="B534" s="5">
        <v>-14</v>
      </c>
      <c r="C534" s="5">
        <v>-42</v>
      </c>
      <c r="D534" s="5">
        <v>13</v>
      </c>
      <c r="E534" s="5">
        <v>16</v>
      </c>
      <c r="F534" s="5">
        <v>-75</v>
      </c>
      <c r="G534" s="5">
        <v>3</v>
      </c>
      <c r="H534" s="5">
        <v>-23</v>
      </c>
      <c r="I534" s="5">
        <v>-27</v>
      </c>
      <c r="J534" s="5">
        <v>2</v>
      </c>
      <c r="K534" s="5">
        <v>14</v>
      </c>
      <c r="L534" s="5">
        <v>-9</v>
      </c>
      <c r="M534" s="5">
        <v>-17</v>
      </c>
      <c r="N534" s="5">
        <v>28</v>
      </c>
      <c r="O534" s="5">
        <v>31</v>
      </c>
      <c r="P534" s="5">
        <v>12</v>
      </c>
      <c r="Q534" s="5">
        <v>-38</v>
      </c>
      <c r="R534" s="5">
        <v>6</v>
      </c>
      <c r="S534" s="5">
        <v>14</v>
      </c>
      <c r="T534" s="5">
        <v>0</v>
      </c>
      <c r="U534" s="5">
        <v>7</v>
      </c>
      <c r="V534" s="5">
        <v>2</v>
      </c>
      <c r="W534" s="5">
        <v>5</v>
      </c>
      <c r="X534" s="5">
        <v>-6</v>
      </c>
      <c r="Y534" s="5">
        <v>-16</v>
      </c>
      <c r="Z534" s="5">
        <v>-4</v>
      </c>
      <c r="AA534" s="5">
        <v>3</v>
      </c>
      <c r="AB534" s="5">
        <v>29</v>
      </c>
      <c r="AC534" s="5">
        <v>4</v>
      </c>
      <c r="AD534" s="5">
        <v>-5</v>
      </c>
      <c r="AE534" s="5">
        <v>-15</v>
      </c>
      <c r="AF534" s="5">
        <v>-21</v>
      </c>
      <c r="AG534" s="5">
        <v>24</v>
      </c>
      <c r="AH534" s="5">
        <v>-13</v>
      </c>
      <c r="AI534" s="5">
        <v>2</v>
      </c>
      <c r="AJ534" s="5">
        <v>27</v>
      </c>
      <c r="AK534" s="5">
        <v>-20</v>
      </c>
      <c r="AL534" s="6">
        <v>-69</v>
      </c>
    </row>
    <row r="535" spans="1:38">
      <c r="A535" s="4">
        <v>-12</v>
      </c>
      <c r="B535" s="5">
        <v>3</v>
      </c>
      <c r="C535" s="5">
        <v>3</v>
      </c>
      <c r="D535" s="5">
        <v>32</v>
      </c>
      <c r="E535" s="5">
        <v>-3</v>
      </c>
      <c r="F535" s="5">
        <v>42</v>
      </c>
      <c r="G535" s="5">
        <v>13</v>
      </c>
      <c r="H535" s="5">
        <v>5</v>
      </c>
      <c r="I535" s="5">
        <v>15</v>
      </c>
      <c r="J535" s="5">
        <v>11</v>
      </c>
      <c r="K535" s="5">
        <v>5</v>
      </c>
      <c r="L535" s="5">
        <v>8</v>
      </c>
      <c r="M535" s="5">
        <v>-1</v>
      </c>
      <c r="N535" s="5">
        <v>-6</v>
      </c>
      <c r="O535" s="5">
        <v>-32</v>
      </c>
      <c r="P535" s="5">
        <v>-10</v>
      </c>
      <c r="Q535" s="5">
        <v>-3</v>
      </c>
      <c r="R535" s="5">
        <v>-8</v>
      </c>
      <c r="S535" s="5">
        <v>7</v>
      </c>
      <c r="T535" s="5">
        <v>19</v>
      </c>
      <c r="U535" s="5">
        <v>13</v>
      </c>
      <c r="V535" s="5">
        <v>-1</v>
      </c>
      <c r="W535" s="5">
        <v>3</v>
      </c>
      <c r="X535" s="5">
        <v>3</v>
      </c>
      <c r="Y535" s="5">
        <v>9</v>
      </c>
      <c r="Z535" s="5">
        <v>-8</v>
      </c>
      <c r="AA535" s="5">
        <v>-3</v>
      </c>
      <c r="AB535" s="5">
        <v>-11</v>
      </c>
      <c r="AC535" s="5">
        <v>-3</v>
      </c>
      <c r="AD535" s="5">
        <v>-17</v>
      </c>
      <c r="AE535" s="5">
        <v>-6</v>
      </c>
      <c r="AF535" s="5">
        <v>1</v>
      </c>
      <c r="AG535" s="5">
        <v>20</v>
      </c>
      <c r="AH535" s="5">
        <v>3</v>
      </c>
      <c r="AI535" s="5">
        <v>2</v>
      </c>
      <c r="AJ535" s="5">
        <v>5</v>
      </c>
      <c r="AK535" s="5">
        <v>-20</v>
      </c>
      <c r="AL535" s="6">
        <v>-12</v>
      </c>
    </row>
    <row r="536" spans="1:38">
      <c r="A536" s="4">
        <v>-6</v>
      </c>
      <c r="B536" s="5">
        <v>-19</v>
      </c>
      <c r="C536" s="5">
        <v>-26</v>
      </c>
      <c r="D536" s="5">
        <v>-1</v>
      </c>
      <c r="E536" s="5">
        <v>-11</v>
      </c>
      <c r="F536" s="5">
        <v>9</v>
      </c>
      <c r="G536" s="5">
        <v>-22</v>
      </c>
      <c r="H536" s="5">
        <v>-5</v>
      </c>
      <c r="I536" s="5">
        <v>2</v>
      </c>
      <c r="J536" s="5">
        <v>7</v>
      </c>
      <c r="K536" s="5">
        <v>19</v>
      </c>
      <c r="L536" s="5">
        <v>-3</v>
      </c>
      <c r="M536" s="5">
        <v>9</v>
      </c>
      <c r="N536" s="5">
        <v>-9</v>
      </c>
      <c r="O536" s="5">
        <v>-3</v>
      </c>
      <c r="P536" s="5">
        <v>12</v>
      </c>
      <c r="Q536" s="5">
        <v>-28</v>
      </c>
      <c r="R536" s="5">
        <v>-28</v>
      </c>
      <c r="S536" s="5">
        <v>-13</v>
      </c>
      <c r="T536" s="5">
        <v>28</v>
      </c>
      <c r="U536" s="5">
        <v>21</v>
      </c>
      <c r="V536" s="5">
        <v>-1</v>
      </c>
      <c r="W536" s="5">
        <v>42</v>
      </c>
      <c r="X536" s="5">
        <v>25</v>
      </c>
      <c r="Y536" s="5">
        <v>-17</v>
      </c>
      <c r="Z536" s="5">
        <v>23</v>
      </c>
      <c r="AA536" s="5">
        <v>18</v>
      </c>
      <c r="AB536" s="5">
        <v>-24</v>
      </c>
      <c r="AC536" s="5">
        <v>6</v>
      </c>
      <c r="AD536" s="5">
        <v>-16</v>
      </c>
      <c r="AE536" s="5">
        <v>9</v>
      </c>
      <c r="AF536" s="5">
        <v>4</v>
      </c>
      <c r="AG536" s="5">
        <v>-32</v>
      </c>
      <c r="AH536" s="5">
        <v>-4</v>
      </c>
      <c r="AI536" s="5">
        <v>8</v>
      </c>
      <c r="AJ536" s="5">
        <v>10</v>
      </c>
      <c r="AK536" s="5">
        <v>-23</v>
      </c>
      <c r="AL536" s="6">
        <v>-18</v>
      </c>
    </row>
    <row r="537" spans="1:38">
      <c r="A537" s="4">
        <v>15</v>
      </c>
      <c r="B537" s="5">
        <v>-6</v>
      </c>
      <c r="C537" s="5">
        <v>-4</v>
      </c>
      <c r="D537" s="5">
        <v>-1</v>
      </c>
      <c r="E537" s="5">
        <v>1</v>
      </c>
      <c r="F537" s="5">
        <v>1</v>
      </c>
      <c r="G537" s="5">
        <v>-4</v>
      </c>
      <c r="H537" s="5">
        <v>-17</v>
      </c>
      <c r="I537" s="5">
        <v>-17</v>
      </c>
      <c r="J537" s="5">
        <v>-3</v>
      </c>
      <c r="K537" s="5">
        <v>7</v>
      </c>
      <c r="L537" s="5">
        <v>-7</v>
      </c>
      <c r="M537" s="5">
        <v>-13</v>
      </c>
      <c r="N537" s="5">
        <v>16</v>
      </c>
      <c r="O537" s="5">
        <v>0</v>
      </c>
      <c r="P537" s="5">
        <v>-40</v>
      </c>
      <c r="Q537" s="5">
        <v>11</v>
      </c>
      <c r="R537" s="5">
        <v>3</v>
      </c>
      <c r="S537" s="5">
        <v>22</v>
      </c>
      <c r="T537" s="5">
        <v>8</v>
      </c>
      <c r="U537" s="5">
        <v>24</v>
      </c>
      <c r="V537" s="5">
        <v>-31</v>
      </c>
      <c r="W537" s="5">
        <v>7</v>
      </c>
      <c r="X537" s="5">
        <v>27</v>
      </c>
      <c r="Y537" s="5">
        <v>-11</v>
      </c>
      <c r="Z537" s="5">
        <v>12</v>
      </c>
      <c r="AA537" s="5">
        <v>7</v>
      </c>
      <c r="AB537" s="5">
        <v>-2</v>
      </c>
      <c r="AC537" s="5">
        <v>-2</v>
      </c>
      <c r="AD537" s="5">
        <v>-26</v>
      </c>
      <c r="AE537" s="5">
        <v>-5</v>
      </c>
      <c r="AF537" s="5">
        <v>-1</v>
      </c>
      <c r="AG537" s="5">
        <v>-8</v>
      </c>
      <c r="AH537" s="5">
        <v>-6</v>
      </c>
      <c r="AI537" s="5">
        <v>-30</v>
      </c>
      <c r="AJ537" s="5">
        <v>-10</v>
      </c>
      <c r="AK537" s="5">
        <v>-11</v>
      </c>
      <c r="AL537" s="6">
        <v>6</v>
      </c>
    </row>
    <row r="538" spans="1:38">
      <c r="A538" s="4">
        <v>-6</v>
      </c>
      <c r="B538" s="5">
        <v>-5</v>
      </c>
      <c r="C538" s="5">
        <v>-9</v>
      </c>
      <c r="D538" s="5">
        <v>0</v>
      </c>
      <c r="E538" s="5">
        <v>2</v>
      </c>
      <c r="F538" s="5">
        <v>1</v>
      </c>
      <c r="G538" s="5">
        <v>-4</v>
      </c>
      <c r="H538" s="5">
        <v>-2</v>
      </c>
      <c r="I538" s="5">
        <v>2</v>
      </c>
      <c r="J538" s="5">
        <v>-3</v>
      </c>
      <c r="K538" s="5">
        <v>-19</v>
      </c>
      <c r="L538" s="5">
        <v>-3</v>
      </c>
      <c r="M538" s="5">
        <v>-16</v>
      </c>
      <c r="N538" s="5">
        <v>4</v>
      </c>
      <c r="O538" s="5">
        <v>-5</v>
      </c>
      <c r="P538" s="5">
        <v>16</v>
      </c>
      <c r="Q538" s="5">
        <v>-11</v>
      </c>
      <c r="R538" s="5">
        <v>1</v>
      </c>
      <c r="S538" s="5">
        <v>-10</v>
      </c>
      <c r="T538" s="5">
        <v>8</v>
      </c>
      <c r="U538" s="5">
        <v>12</v>
      </c>
      <c r="V538" s="5">
        <v>-5</v>
      </c>
      <c r="W538" s="5">
        <v>3</v>
      </c>
      <c r="X538" s="5">
        <v>7</v>
      </c>
      <c r="Y538" s="5">
        <v>6</v>
      </c>
      <c r="Z538" s="5">
        <v>-7</v>
      </c>
      <c r="AA538" s="5">
        <v>31</v>
      </c>
      <c r="AB538" s="5">
        <v>3</v>
      </c>
      <c r="AC538" s="5">
        <v>-1</v>
      </c>
      <c r="AD538" s="5">
        <v>13</v>
      </c>
      <c r="AE538" s="5">
        <v>18</v>
      </c>
      <c r="AF538" s="5">
        <v>14</v>
      </c>
      <c r="AG538" s="5">
        <v>-7</v>
      </c>
      <c r="AH538" s="5">
        <v>5</v>
      </c>
      <c r="AI538" s="5">
        <v>10</v>
      </c>
      <c r="AJ538" s="5">
        <v>-10</v>
      </c>
      <c r="AK538" s="5">
        <v>4</v>
      </c>
      <c r="AL538" s="6">
        <v>0</v>
      </c>
    </row>
    <row r="539" spans="1:38">
      <c r="A539" s="4">
        <v>-2</v>
      </c>
      <c r="B539" s="5">
        <v>6</v>
      </c>
      <c r="C539" s="5">
        <v>-10</v>
      </c>
      <c r="D539" s="5">
        <v>0</v>
      </c>
      <c r="E539" s="5">
        <v>1</v>
      </c>
      <c r="F539" s="5">
        <v>4</v>
      </c>
      <c r="G539" s="5">
        <v>-18</v>
      </c>
      <c r="H539" s="5">
        <v>-1</v>
      </c>
      <c r="I539" s="5">
        <v>6</v>
      </c>
      <c r="J539" s="5">
        <v>-8</v>
      </c>
      <c r="K539" s="5">
        <v>-8</v>
      </c>
      <c r="L539" s="5">
        <v>18</v>
      </c>
      <c r="M539" s="5">
        <v>5</v>
      </c>
      <c r="N539" s="5">
        <v>1</v>
      </c>
      <c r="O539" s="5">
        <v>-7</v>
      </c>
      <c r="P539" s="5">
        <v>2</v>
      </c>
      <c r="Q539" s="5">
        <v>-6</v>
      </c>
      <c r="R539" s="5">
        <v>-2</v>
      </c>
      <c r="S539" s="5">
        <v>0</v>
      </c>
      <c r="T539" s="5">
        <v>-5</v>
      </c>
      <c r="U539" s="5">
        <v>0</v>
      </c>
      <c r="V539" s="5">
        <v>-10</v>
      </c>
      <c r="W539" s="5">
        <v>0</v>
      </c>
      <c r="X539" s="5">
        <v>10</v>
      </c>
      <c r="Y539" s="5">
        <v>8</v>
      </c>
      <c r="Z539" s="5">
        <v>12</v>
      </c>
      <c r="AA539" s="5">
        <v>18</v>
      </c>
      <c r="AB539" s="5">
        <v>2</v>
      </c>
      <c r="AC539" s="5">
        <v>-8</v>
      </c>
      <c r="AD539" s="5">
        <v>5</v>
      </c>
      <c r="AE539" s="5">
        <v>-3</v>
      </c>
      <c r="AF539" s="5">
        <v>2</v>
      </c>
      <c r="AG539" s="5">
        <v>6</v>
      </c>
      <c r="AH539" s="5">
        <v>0</v>
      </c>
      <c r="AI539" s="5">
        <v>4</v>
      </c>
      <c r="AJ539" s="5">
        <v>-14</v>
      </c>
      <c r="AK539" s="5">
        <v>10</v>
      </c>
      <c r="AL539" s="6">
        <v>18</v>
      </c>
    </row>
    <row r="540" spans="1:38">
      <c r="A540" s="4">
        <v>-9</v>
      </c>
      <c r="B540" s="5">
        <v>-7</v>
      </c>
      <c r="C540" s="5">
        <v>-21</v>
      </c>
      <c r="D540" s="5">
        <v>1</v>
      </c>
      <c r="E540" s="5">
        <v>1</v>
      </c>
      <c r="F540" s="5">
        <v>-26</v>
      </c>
      <c r="G540" s="5">
        <v>-8</v>
      </c>
      <c r="H540" s="5">
        <v>-2</v>
      </c>
      <c r="I540" s="5">
        <v>24</v>
      </c>
      <c r="J540" s="5">
        <v>-7</v>
      </c>
      <c r="K540" s="5">
        <v>-9</v>
      </c>
      <c r="L540" s="5">
        <v>2</v>
      </c>
      <c r="M540" s="5">
        <v>6</v>
      </c>
      <c r="N540" s="5">
        <v>15</v>
      </c>
      <c r="O540" s="5">
        <v>-5</v>
      </c>
      <c r="P540" s="5">
        <v>-1</v>
      </c>
      <c r="Q540" s="5">
        <v>15</v>
      </c>
      <c r="R540" s="5">
        <v>2</v>
      </c>
      <c r="S540" s="5">
        <v>12</v>
      </c>
      <c r="T540" s="5">
        <v>-10</v>
      </c>
      <c r="U540" s="5">
        <v>6</v>
      </c>
      <c r="V540" s="5">
        <v>-11</v>
      </c>
      <c r="W540" s="5">
        <v>-8</v>
      </c>
      <c r="X540" s="5">
        <v>-1</v>
      </c>
      <c r="Y540" s="5">
        <v>-16</v>
      </c>
      <c r="Z540" s="5">
        <v>-2</v>
      </c>
      <c r="AA540" s="5">
        <v>14</v>
      </c>
      <c r="AB540" s="5">
        <v>-28</v>
      </c>
      <c r="AC540" s="5">
        <v>18</v>
      </c>
      <c r="AD540" s="5">
        <v>-6</v>
      </c>
      <c r="AE540" s="5">
        <v>-16</v>
      </c>
      <c r="AF540" s="5">
        <v>5</v>
      </c>
      <c r="AG540" s="5">
        <v>-1</v>
      </c>
      <c r="AH540" s="5">
        <v>18</v>
      </c>
      <c r="AI540" s="5">
        <v>17</v>
      </c>
      <c r="AJ540" s="5">
        <v>9</v>
      </c>
      <c r="AK540" s="5">
        <v>-7</v>
      </c>
      <c r="AL540" s="6">
        <v>13</v>
      </c>
    </row>
    <row r="541" spans="1:38">
      <c r="A541" s="4">
        <v>-5</v>
      </c>
      <c r="B541" s="5">
        <v>-13</v>
      </c>
      <c r="C541" s="5">
        <v>-18</v>
      </c>
      <c r="D541" s="5">
        <v>7</v>
      </c>
      <c r="E541" s="5">
        <v>32</v>
      </c>
      <c r="F541" s="5">
        <v>-24</v>
      </c>
      <c r="G541" s="5">
        <v>-6</v>
      </c>
      <c r="H541" s="5">
        <v>-9</v>
      </c>
      <c r="I541" s="5">
        <v>4</v>
      </c>
      <c r="J541" s="5">
        <v>-16</v>
      </c>
      <c r="K541" s="5">
        <v>-17</v>
      </c>
      <c r="L541" s="5">
        <v>24</v>
      </c>
      <c r="M541" s="5">
        <v>-5</v>
      </c>
      <c r="N541" s="5">
        <v>-2</v>
      </c>
      <c r="O541" s="5">
        <v>67</v>
      </c>
      <c r="P541" s="5">
        <v>-6</v>
      </c>
      <c r="Q541" s="5">
        <v>-36</v>
      </c>
      <c r="R541" s="5">
        <v>-10</v>
      </c>
      <c r="S541" s="5">
        <v>-17</v>
      </c>
      <c r="T541" s="5">
        <v>57</v>
      </c>
      <c r="U541" s="5">
        <v>-10</v>
      </c>
      <c r="V541" s="5">
        <v>33</v>
      </c>
      <c r="W541" s="5">
        <v>-18</v>
      </c>
      <c r="X541" s="5">
        <v>-18</v>
      </c>
      <c r="Y541" s="5">
        <v>-24</v>
      </c>
      <c r="Z541" s="5">
        <v>23</v>
      </c>
      <c r="AA541" s="5">
        <v>-16</v>
      </c>
      <c r="AB541" s="5">
        <v>-39</v>
      </c>
      <c r="AC541" s="5">
        <v>3</v>
      </c>
      <c r="AD541" s="5">
        <v>30</v>
      </c>
      <c r="AE541" s="5">
        <v>-24</v>
      </c>
      <c r="AF541" s="5">
        <v>10</v>
      </c>
      <c r="AG541" s="5">
        <v>-5</v>
      </c>
      <c r="AH541" s="5">
        <v>-34</v>
      </c>
      <c r="AI541" s="5">
        <v>-8</v>
      </c>
      <c r="AJ541" s="5">
        <v>19</v>
      </c>
      <c r="AK541" s="5">
        <v>-12</v>
      </c>
      <c r="AL541" s="6">
        <v>7</v>
      </c>
    </row>
    <row r="542" spans="1:38">
      <c r="A542" s="4">
        <v>19</v>
      </c>
      <c r="B542" s="5">
        <v>21</v>
      </c>
      <c r="C542" s="5">
        <v>-35</v>
      </c>
      <c r="D542" s="5">
        <v>-9</v>
      </c>
      <c r="E542" s="5">
        <v>-1</v>
      </c>
      <c r="F542" s="5">
        <v>21</v>
      </c>
      <c r="G542" s="5">
        <v>24</v>
      </c>
      <c r="H542" s="5">
        <v>21</v>
      </c>
      <c r="I542" s="5">
        <v>-32</v>
      </c>
      <c r="J542" s="5">
        <v>-14</v>
      </c>
      <c r="K542" s="5">
        <v>16</v>
      </c>
      <c r="L542" s="5">
        <v>8</v>
      </c>
      <c r="M542" s="5">
        <v>4</v>
      </c>
      <c r="N542" s="5">
        <v>-11</v>
      </c>
      <c r="O542" s="5">
        <v>-11</v>
      </c>
      <c r="P542" s="5">
        <v>-1</v>
      </c>
      <c r="Q542" s="5">
        <v>21</v>
      </c>
      <c r="R542" s="5">
        <v>-9</v>
      </c>
      <c r="S542" s="5">
        <v>11</v>
      </c>
      <c r="T542" s="5">
        <v>-32</v>
      </c>
      <c r="U542" s="5">
        <v>15</v>
      </c>
      <c r="V542" s="5">
        <v>-18</v>
      </c>
      <c r="W542" s="5">
        <v>14</v>
      </c>
      <c r="X542" s="5">
        <v>22</v>
      </c>
      <c r="Y542" s="5">
        <v>9</v>
      </c>
      <c r="Z542" s="5">
        <v>-28</v>
      </c>
      <c r="AA542" s="5">
        <v>-44</v>
      </c>
      <c r="AB542" s="5">
        <v>46</v>
      </c>
      <c r="AC542" s="5">
        <v>2</v>
      </c>
      <c r="AD542" s="5">
        <v>-12</v>
      </c>
      <c r="AE542" s="5">
        <v>35</v>
      </c>
      <c r="AF542" s="5">
        <v>28</v>
      </c>
      <c r="AG542" s="5">
        <v>19</v>
      </c>
      <c r="AH542" s="5">
        <v>38</v>
      </c>
      <c r="AI542" s="5">
        <v>26</v>
      </c>
      <c r="AJ542" s="5">
        <v>29</v>
      </c>
      <c r="AK542" s="5">
        <v>54</v>
      </c>
      <c r="AL542" s="6">
        <v>-13</v>
      </c>
    </row>
    <row r="543" spans="1:38">
      <c r="A543" s="4">
        <v>-8</v>
      </c>
      <c r="B543" s="5">
        <v>-1</v>
      </c>
      <c r="C543" s="5">
        <v>-13</v>
      </c>
      <c r="D543" s="5">
        <v>-5</v>
      </c>
      <c r="E543" s="5">
        <v>26</v>
      </c>
      <c r="F543" s="5">
        <v>4</v>
      </c>
      <c r="G543" s="5">
        <v>8</v>
      </c>
      <c r="H543" s="5">
        <v>-10</v>
      </c>
      <c r="I543" s="5">
        <v>8</v>
      </c>
      <c r="J543" s="5">
        <v>-14</v>
      </c>
      <c r="K543" s="5">
        <v>-25</v>
      </c>
      <c r="L543" s="5">
        <v>-22</v>
      </c>
      <c r="M543" s="5">
        <v>8</v>
      </c>
      <c r="N543" s="5">
        <v>-14</v>
      </c>
      <c r="O543" s="5">
        <v>-7</v>
      </c>
      <c r="P543" s="5">
        <v>15</v>
      </c>
      <c r="Q543" s="5">
        <v>13</v>
      </c>
      <c r="R543" s="5">
        <v>7</v>
      </c>
      <c r="S543" s="5">
        <v>-9</v>
      </c>
      <c r="T543" s="5">
        <v>5</v>
      </c>
      <c r="U543" s="5">
        <v>24</v>
      </c>
      <c r="V543" s="5">
        <v>2</v>
      </c>
      <c r="W543" s="5">
        <v>38</v>
      </c>
      <c r="X543" s="5">
        <v>-34</v>
      </c>
      <c r="Y543" s="5">
        <v>-7</v>
      </c>
      <c r="Z543" s="5">
        <v>33</v>
      </c>
      <c r="AA543" s="5">
        <v>-1</v>
      </c>
      <c r="AB543" s="5">
        <v>66</v>
      </c>
      <c r="AC543" s="5">
        <v>1</v>
      </c>
      <c r="AD543" s="5">
        <v>30</v>
      </c>
      <c r="AE543" s="5">
        <v>8</v>
      </c>
      <c r="AF543" s="5">
        <v>14</v>
      </c>
      <c r="AG543" s="5">
        <v>33</v>
      </c>
      <c r="AH543" s="5">
        <v>26</v>
      </c>
      <c r="AI543" s="5">
        <v>19</v>
      </c>
      <c r="AJ543" s="5">
        <v>-23</v>
      </c>
      <c r="AK543" s="5">
        <v>16</v>
      </c>
      <c r="AL543" s="6">
        <v>-4</v>
      </c>
    </row>
    <row r="544" spans="1:38">
      <c r="A544" s="4">
        <v>4</v>
      </c>
      <c r="B544" s="5">
        <v>-7</v>
      </c>
      <c r="C544" s="5">
        <v>-15</v>
      </c>
      <c r="D544" s="5">
        <v>9</v>
      </c>
      <c r="E544" s="5">
        <v>31</v>
      </c>
      <c r="F544" s="5">
        <v>-13</v>
      </c>
      <c r="G544" s="5">
        <v>24</v>
      </c>
      <c r="H544" s="5">
        <v>15</v>
      </c>
      <c r="I544" s="5">
        <v>-40</v>
      </c>
      <c r="J544" s="5">
        <v>-11</v>
      </c>
      <c r="K544" s="5">
        <v>13</v>
      </c>
      <c r="L544" s="5">
        <v>-35</v>
      </c>
      <c r="M544" s="5">
        <v>-9</v>
      </c>
      <c r="N544" s="5">
        <v>-5</v>
      </c>
      <c r="O544" s="5">
        <v>13</v>
      </c>
      <c r="P544" s="5">
        <v>-19</v>
      </c>
      <c r="Q544" s="5">
        <v>-26</v>
      </c>
      <c r="R544" s="5">
        <v>-7</v>
      </c>
      <c r="S544" s="5">
        <v>10</v>
      </c>
      <c r="T544" s="5">
        <v>-43</v>
      </c>
      <c r="U544" s="5">
        <v>-1</v>
      </c>
      <c r="V544" s="5">
        <v>14</v>
      </c>
      <c r="W544" s="5">
        <v>14</v>
      </c>
      <c r="X544" s="5">
        <v>21</v>
      </c>
      <c r="Y544" s="5">
        <v>4</v>
      </c>
      <c r="Z544" s="5">
        <v>-7</v>
      </c>
      <c r="AA544" s="5">
        <v>3</v>
      </c>
      <c r="AB544" s="5">
        <v>-27</v>
      </c>
      <c r="AC544" s="5">
        <v>7</v>
      </c>
      <c r="AD544" s="5">
        <v>-24</v>
      </c>
      <c r="AE544" s="5">
        <v>6</v>
      </c>
      <c r="AF544" s="5">
        <v>-37</v>
      </c>
      <c r="AG544" s="5">
        <v>-53</v>
      </c>
      <c r="AH544" s="5">
        <v>-6</v>
      </c>
      <c r="AI544" s="5">
        <v>23</v>
      </c>
      <c r="AJ544" s="5">
        <v>-60</v>
      </c>
      <c r="AK544" s="5">
        <v>25</v>
      </c>
      <c r="AL544" s="6">
        <v>41</v>
      </c>
    </row>
    <row r="545" spans="1:38">
      <c r="A545" s="4">
        <v>12</v>
      </c>
      <c r="B545" s="5">
        <v>-10</v>
      </c>
      <c r="C545" s="5">
        <v>-46</v>
      </c>
      <c r="D545" s="5">
        <v>14</v>
      </c>
      <c r="E545" s="5">
        <v>48</v>
      </c>
      <c r="F545" s="5">
        <v>24</v>
      </c>
      <c r="G545" s="5">
        <v>-48</v>
      </c>
      <c r="H545" s="5">
        <v>49</v>
      </c>
      <c r="I545" s="5">
        <v>26</v>
      </c>
      <c r="J545" s="5">
        <v>-33</v>
      </c>
      <c r="K545" s="5">
        <v>30</v>
      </c>
      <c r="L545" s="5">
        <v>-1</v>
      </c>
      <c r="M545" s="5">
        <v>-28</v>
      </c>
      <c r="N545" s="5">
        <v>-42</v>
      </c>
      <c r="O545" s="5">
        <v>-19</v>
      </c>
      <c r="P545" s="5">
        <v>16</v>
      </c>
      <c r="Q545" s="5">
        <v>-18</v>
      </c>
      <c r="R545" s="5">
        <v>8</v>
      </c>
      <c r="S545" s="5">
        <v>25</v>
      </c>
      <c r="T545" s="5">
        <v>-17</v>
      </c>
      <c r="U545" s="5">
        <v>-20</v>
      </c>
      <c r="V545" s="5">
        <v>65</v>
      </c>
      <c r="W545" s="5">
        <v>-5</v>
      </c>
      <c r="X545" s="5">
        <v>-14</v>
      </c>
      <c r="Y545" s="5">
        <v>-30</v>
      </c>
      <c r="Z545" s="5">
        <v>25</v>
      </c>
      <c r="AA545" s="5">
        <v>-33</v>
      </c>
      <c r="AB545" s="5">
        <v>44</v>
      </c>
      <c r="AC545" s="5">
        <v>-6</v>
      </c>
      <c r="AD545" s="5">
        <v>-21</v>
      </c>
      <c r="AE545" s="5">
        <v>17</v>
      </c>
      <c r="AF545" s="5">
        <v>-19</v>
      </c>
      <c r="AG545" s="5">
        <v>-8</v>
      </c>
      <c r="AH545" s="5">
        <v>-25</v>
      </c>
      <c r="AI545" s="5">
        <v>8</v>
      </c>
      <c r="AJ545" s="5">
        <v>-29</v>
      </c>
      <c r="AK545" s="5">
        <v>-32</v>
      </c>
      <c r="AL545" s="6">
        <v>-43</v>
      </c>
    </row>
    <row r="546" spans="1:38">
      <c r="A546" s="4">
        <v>1</v>
      </c>
      <c r="B546" s="5">
        <v>17</v>
      </c>
      <c r="C546" s="5">
        <v>4</v>
      </c>
      <c r="D546" s="5">
        <v>36</v>
      </c>
      <c r="E546" s="5">
        <v>3</v>
      </c>
      <c r="F546" s="5">
        <v>25</v>
      </c>
      <c r="G546" s="5">
        <v>22</v>
      </c>
      <c r="H546" s="5">
        <v>8</v>
      </c>
      <c r="I546" s="5">
        <v>2</v>
      </c>
      <c r="J546" s="5">
        <v>-2</v>
      </c>
      <c r="K546" s="5">
        <v>1</v>
      </c>
      <c r="L546" s="5">
        <v>15</v>
      </c>
      <c r="M546" s="5">
        <v>-13</v>
      </c>
      <c r="N546" s="5">
        <v>2</v>
      </c>
      <c r="O546" s="5">
        <v>-20</v>
      </c>
      <c r="P546" s="5">
        <v>24</v>
      </c>
      <c r="Q546" s="5">
        <v>-7</v>
      </c>
      <c r="R546" s="5">
        <v>0</v>
      </c>
      <c r="S546" s="5">
        <v>5</v>
      </c>
      <c r="T546" s="5">
        <v>13</v>
      </c>
      <c r="U546" s="5">
        <v>36</v>
      </c>
      <c r="V546" s="5">
        <v>0</v>
      </c>
      <c r="W546" s="5">
        <v>-4</v>
      </c>
      <c r="X546" s="5">
        <v>8</v>
      </c>
      <c r="Y546" s="5">
        <v>15</v>
      </c>
      <c r="Z546" s="5">
        <v>1</v>
      </c>
      <c r="AA546" s="5">
        <v>21</v>
      </c>
      <c r="AB546" s="5">
        <v>-17</v>
      </c>
      <c r="AC546" s="5">
        <v>1</v>
      </c>
      <c r="AD546" s="5">
        <v>-9</v>
      </c>
      <c r="AE546" s="5">
        <v>10</v>
      </c>
      <c r="AF546" s="5">
        <v>-2</v>
      </c>
      <c r="AG546" s="5">
        <v>27</v>
      </c>
      <c r="AH546" s="5">
        <v>22</v>
      </c>
      <c r="AI546" s="5">
        <v>-9</v>
      </c>
      <c r="AJ546" s="5">
        <v>-4</v>
      </c>
      <c r="AK546" s="5">
        <v>-1</v>
      </c>
      <c r="AL546" s="6">
        <v>6</v>
      </c>
    </row>
    <row r="547" spans="1:38">
      <c r="A547" s="4">
        <v>-4</v>
      </c>
      <c r="B547" s="5">
        <v>-2</v>
      </c>
      <c r="C547" s="5">
        <v>9</v>
      </c>
      <c r="D547" s="5">
        <v>-4</v>
      </c>
      <c r="E547" s="5">
        <v>-1</v>
      </c>
      <c r="F547" s="5">
        <v>4</v>
      </c>
      <c r="G547" s="5">
        <v>-29</v>
      </c>
      <c r="H547" s="5">
        <v>-4</v>
      </c>
      <c r="I547" s="5">
        <v>-2</v>
      </c>
      <c r="J547" s="5">
        <v>-6</v>
      </c>
      <c r="K547" s="5">
        <v>-2</v>
      </c>
      <c r="L547" s="5">
        <v>-8</v>
      </c>
      <c r="M547" s="5">
        <v>4</v>
      </c>
      <c r="N547" s="5">
        <v>14</v>
      </c>
      <c r="O547" s="5">
        <v>12</v>
      </c>
      <c r="P547" s="5">
        <v>-21</v>
      </c>
      <c r="Q547" s="5">
        <v>10</v>
      </c>
      <c r="R547" s="5">
        <v>-18</v>
      </c>
      <c r="S547" s="5">
        <v>13</v>
      </c>
      <c r="T547" s="5">
        <v>-10</v>
      </c>
      <c r="U547" s="5">
        <v>19</v>
      </c>
      <c r="V547" s="5">
        <v>0</v>
      </c>
      <c r="W547" s="5">
        <v>0</v>
      </c>
      <c r="X547" s="5">
        <v>12</v>
      </c>
      <c r="Y547" s="5">
        <v>-31</v>
      </c>
      <c r="Z547" s="5">
        <v>-27</v>
      </c>
      <c r="AA547" s="5">
        <v>7</v>
      </c>
      <c r="AB547" s="5">
        <v>10</v>
      </c>
      <c r="AC547" s="5">
        <v>10</v>
      </c>
      <c r="AD547" s="5">
        <v>-9</v>
      </c>
      <c r="AE547" s="5">
        <v>-4</v>
      </c>
      <c r="AF547" s="5">
        <v>-7</v>
      </c>
      <c r="AG547" s="5">
        <v>-19</v>
      </c>
      <c r="AH547" s="5">
        <v>18</v>
      </c>
      <c r="AI547" s="5">
        <v>-4</v>
      </c>
      <c r="AJ547" s="5">
        <v>-18</v>
      </c>
      <c r="AK547" s="5">
        <v>-6</v>
      </c>
      <c r="AL547" s="6">
        <v>11</v>
      </c>
    </row>
    <row r="548" spans="1:38">
      <c r="A548" s="4">
        <v>-1</v>
      </c>
      <c r="B548" s="5">
        <v>13</v>
      </c>
      <c r="C548" s="5">
        <v>20</v>
      </c>
      <c r="D548" s="5">
        <v>-20</v>
      </c>
      <c r="E548" s="5">
        <v>-4</v>
      </c>
      <c r="F548" s="5">
        <v>2</v>
      </c>
      <c r="G548" s="5">
        <v>20</v>
      </c>
      <c r="H548" s="5">
        <v>16</v>
      </c>
      <c r="I548" s="5">
        <v>4</v>
      </c>
      <c r="J548" s="5">
        <v>-8</v>
      </c>
      <c r="K548" s="5">
        <v>8</v>
      </c>
      <c r="L548" s="5">
        <v>38</v>
      </c>
      <c r="M548" s="5">
        <v>12</v>
      </c>
      <c r="N548" s="5">
        <v>17</v>
      </c>
      <c r="O548" s="5">
        <v>27</v>
      </c>
      <c r="P548" s="5">
        <v>-25</v>
      </c>
      <c r="Q548" s="5">
        <v>42</v>
      </c>
      <c r="R548" s="5">
        <v>11</v>
      </c>
      <c r="S548" s="5">
        <v>-28</v>
      </c>
      <c r="T548" s="5">
        <v>22</v>
      </c>
      <c r="U548" s="5">
        <v>-19</v>
      </c>
      <c r="V548" s="5">
        <v>-12</v>
      </c>
      <c r="W548" s="5">
        <v>9</v>
      </c>
      <c r="X548" s="5">
        <v>45</v>
      </c>
      <c r="Y548" s="5">
        <v>-3</v>
      </c>
      <c r="Z548" s="5">
        <v>15</v>
      </c>
      <c r="AA548" s="5">
        <v>33</v>
      </c>
      <c r="AB548" s="5">
        <v>31</v>
      </c>
      <c r="AC548" s="5">
        <v>-31</v>
      </c>
      <c r="AD548" s="5">
        <v>9</v>
      </c>
      <c r="AE548" s="5">
        <v>74</v>
      </c>
      <c r="AF548" s="5">
        <v>16</v>
      </c>
      <c r="AG548" s="5">
        <v>36</v>
      </c>
      <c r="AH548" s="5">
        <v>-6</v>
      </c>
      <c r="AI548" s="5">
        <v>-18</v>
      </c>
      <c r="AJ548" s="5">
        <v>-2</v>
      </c>
      <c r="AK548" s="5">
        <v>-36</v>
      </c>
      <c r="AL548" s="6">
        <v>47</v>
      </c>
    </row>
    <row r="549" spans="1:38">
      <c r="A549" s="4">
        <v>25</v>
      </c>
      <c r="B549" s="5">
        <v>-20</v>
      </c>
      <c r="C549" s="5">
        <v>14</v>
      </c>
      <c r="D549" s="5">
        <v>1</v>
      </c>
      <c r="E549" s="5">
        <v>-4</v>
      </c>
      <c r="F549" s="5">
        <v>4</v>
      </c>
      <c r="G549" s="5">
        <v>5</v>
      </c>
      <c r="H549" s="5">
        <v>-2</v>
      </c>
      <c r="I549" s="5">
        <v>-2</v>
      </c>
      <c r="J549" s="5">
        <v>-2</v>
      </c>
      <c r="K549" s="5">
        <v>-23</v>
      </c>
      <c r="L549" s="5">
        <v>30</v>
      </c>
      <c r="M549" s="5">
        <v>32</v>
      </c>
      <c r="N549" s="5">
        <v>14</v>
      </c>
      <c r="O549" s="5">
        <v>-6</v>
      </c>
      <c r="P549" s="5">
        <v>2</v>
      </c>
      <c r="Q549" s="5">
        <v>-7</v>
      </c>
      <c r="R549" s="5">
        <v>30</v>
      </c>
      <c r="S549" s="5">
        <v>9</v>
      </c>
      <c r="T549" s="5">
        <v>-6</v>
      </c>
      <c r="U549" s="5">
        <v>-14</v>
      </c>
      <c r="V549" s="5">
        <v>19</v>
      </c>
      <c r="W549" s="5">
        <v>8</v>
      </c>
      <c r="X549" s="5">
        <v>-1</v>
      </c>
      <c r="Y549" s="5">
        <v>15</v>
      </c>
      <c r="Z549" s="5">
        <v>11</v>
      </c>
      <c r="AA549" s="5">
        <v>-3</v>
      </c>
      <c r="AB549" s="5">
        <v>25</v>
      </c>
      <c r="AC549" s="5">
        <v>19</v>
      </c>
      <c r="AD549" s="5">
        <v>-8</v>
      </c>
      <c r="AE549" s="5">
        <v>-6</v>
      </c>
      <c r="AF549" s="5">
        <v>7</v>
      </c>
      <c r="AG549" s="5">
        <v>-29</v>
      </c>
      <c r="AH549" s="5">
        <v>-8</v>
      </c>
      <c r="AI549" s="5">
        <v>-33</v>
      </c>
      <c r="AJ549" s="5">
        <v>-4</v>
      </c>
      <c r="AK549" s="5">
        <v>-3</v>
      </c>
      <c r="AL549" s="6">
        <v>-2</v>
      </c>
    </row>
    <row r="550" spans="1:38">
      <c r="A550" s="4">
        <v>39</v>
      </c>
      <c r="B550" s="5">
        <v>-11</v>
      </c>
      <c r="C550" s="5">
        <v>19</v>
      </c>
      <c r="D550" s="5">
        <v>13</v>
      </c>
      <c r="E550" s="5">
        <v>-3</v>
      </c>
      <c r="F550" s="5">
        <v>-2</v>
      </c>
      <c r="G550" s="5">
        <v>18</v>
      </c>
      <c r="H550" s="5">
        <v>-9</v>
      </c>
      <c r="I550" s="5">
        <v>8</v>
      </c>
      <c r="J550" s="5">
        <v>-1</v>
      </c>
      <c r="K550" s="5">
        <v>-9</v>
      </c>
      <c r="L550" s="5">
        <v>18</v>
      </c>
      <c r="M550" s="5">
        <v>11</v>
      </c>
      <c r="N550" s="5">
        <v>12</v>
      </c>
      <c r="O550" s="5">
        <v>-4</v>
      </c>
      <c r="P550" s="5">
        <v>21</v>
      </c>
      <c r="Q550" s="5">
        <v>5</v>
      </c>
      <c r="R550" s="5">
        <v>13</v>
      </c>
      <c r="S550" s="5">
        <v>3</v>
      </c>
      <c r="T550" s="5">
        <v>32</v>
      </c>
      <c r="U550" s="5">
        <v>-5</v>
      </c>
      <c r="V550" s="5">
        <v>3</v>
      </c>
      <c r="W550" s="5">
        <v>3</v>
      </c>
      <c r="X550" s="5">
        <v>4</v>
      </c>
      <c r="Y550" s="5">
        <v>28</v>
      </c>
      <c r="Z550" s="5">
        <v>9</v>
      </c>
      <c r="AA550" s="5">
        <v>-6</v>
      </c>
      <c r="AB550" s="5">
        <v>14</v>
      </c>
      <c r="AC550" s="5">
        <v>29</v>
      </c>
      <c r="AD550" s="5">
        <v>-7</v>
      </c>
      <c r="AE550" s="5">
        <v>-4</v>
      </c>
      <c r="AF550" s="5">
        <v>4</v>
      </c>
      <c r="AG550" s="5">
        <v>-19</v>
      </c>
      <c r="AH550" s="5">
        <v>-6</v>
      </c>
      <c r="AI550" s="5">
        <v>-46</v>
      </c>
      <c r="AJ550" s="5">
        <v>-34</v>
      </c>
      <c r="AK550" s="5">
        <v>-19</v>
      </c>
      <c r="AL550" s="6">
        <v>9</v>
      </c>
    </row>
    <row r="551" spans="1:38">
      <c r="A551" s="4">
        <v>25</v>
      </c>
      <c r="B551" s="5">
        <v>-51</v>
      </c>
      <c r="C551" s="5">
        <v>24</v>
      </c>
      <c r="D551" s="5">
        <v>16</v>
      </c>
      <c r="E551" s="5">
        <v>-22</v>
      </c>
      <c r="F551" s="5">
        <v>38</v>
      </c>
      <c r="G551" s="5">
        <v>-11</v>
      </c>
      <c r="H551" s="5">
        <v>-15</v>
      </c>
      <c r="I551" s="5">
        <v>-19</v>
      </c>
      <c r="J551" s="5">
        <v>-2</v>
      </c>
      <c r="K551" s="5">
        <v>-16</v>
      </c>
      <c r="L551" s="5">
        <v>22</v>
      </c>
      <c r="M551" s="5">
        <v>9</v>
      </c>
      <c r="N551" s="5">
        <v>-2</v>
      </c>
      <c r="O551" s="5">
        <v>17</v>
      </c>
      <c r="P551" s="5">
        <v>11</v>
      </c>
      <c r="Q551" s="5">
        <v>-2</v>
      </c>
      <c r="R551" s="5">
        <v>8</v>
      </c>
      <c r="S551" s="5">
        <v>24</v>
      </c>
      <c r="T551" s="5">
        <v>-13</v>
      </c>
      <c r="U551" s="5">
        <v>13</v>
      </c>
      <c r="V551" s="5">
        <v>-28</v>
      </c>
      <c r="W551" s="5">
        <v>53</v>
      </c>
      <c r="X551" s="5">
        <v>3</v>
      </c>
      <c r="Y551" s="5">
        <v>21</v>
      </c>
      <c r="Z551" s="5">
        <v>7</v>
      </c>
      <c r="AA551" s="5">
        <v>-28</v>
      </c>
      <c r="AB551" s="5">
        <v>-2</v>
      </c>
      <c r="AC551" s="5">
        <v>-9</v>
      </c>
      <c r="AD551" s="5">
        <v>-12</v>
      </c>
      <c r="AE551" s="5">
        <v>-36</v>
      </c>
      <c r="AF551" s="5">
        <v>-24</v>
      </c>
      <c r="AG551" s="5">
        <v>13</v>
      </c>
      <c r="AH551" s="5">
        <v>9</v>
      </c>
      <c r="AI551" s="5">
        <v>9</v>
      </c>
      <c r="AJ551" s="5">
        <v>-12</v>
      </c>
      <c r="AK551" s="5">
        <v>-16</v>
      </c>
      <c r="AL551" s="6">
        <v>-11</v>
      </c>
    </row>
    <row r="552" spans="1:38">
      <c r="A552" s="4">
        <v>13</v>
      </c>
      <c r="B552" s="5">
        <v>-24</v>
      </c>
      <c r="C552" s="5">
        <v>17</v>
      </c>
      <c r="D552" s="5">
        <v>4</v>
      </c>
      <c r="E552" s="5">
        <v>-3</v>
      </c>
      <c r="F552" s="5">
        <v>11</v>
      </c>
      <c r="G552" s="5">
        <v>-8</v>
      </c>
      <c r="H552" s="5">
        <v>-2</v>
      </c>
      <c r="I552" s="5">
        <v>-13</v>
      </c>
      <c r="J552" s="5">
        <v>-5</v>
      </c>
      <c r="K552" s="5">
        <v>-23</v>
      </c>
      <c r="L552" s="5">
        <v>24</v>
      </c>
      <c r="M552" s="5">
        <v>18</v>
      </c>
      <c r="N552" s="5">
        <v>16</v>
      </c>
      <c r="O552" s="5">
        <v>-8</v>
      </c>
      <c r="P552" s="5">
        <v>11</v>
      </c>
      <c r="Q552" s="5">
        <v>5</v>
      </c>
      <c r="R552" s="5">
        <v>32</v>
      </c>
      <c r="S552" s="5">
        <v>3</v>
      </c>
      <c r="T552" s="5">
        <v>-16</v>
      </c>
      <c r="U552" s="5">
        <v>-2</v>
      </c>
      <c r="V552" s="5">
        <v>7</v>
      </c>
      <c r="W552" s="5">
        <v>15</v>
      </c>
      <c r="X552" s="5">
        <v>0</v>
      </c>
      <c r="Y552" s="5">
        <v>16</v>
      </c>
      <c r="Z552" s="5">
        <v>7</v>
      </c>
      <c r="AA552" s="5">
        <v>6</v>
      </c>
      <c r="AB552" s="5">
        <v>9</v>
      </c>
      <c r="AC552" s="5">
        <v>-9</v>
      </c>
      <c r="AD552" s="5">
        <v>9</v>
      </c>
      <c r="AE552" s="5">
        <v>-4</v>
      </c>
      <c r="AF552" s="5">
        <v>3</v>
      </c>
      <c r="AG552" s="5">
        <v>-19</v>
      </c>
      <c r="AH552" s="5">
        <v>4</v>
      </c>
      <c r="AI552" s="5">
        <v>-6</v>
      </c>
      <c r="AJ552" s="5">
        <v>7</v>
      </c>
      <c r="AK552" s="5">
        <v>-4</v>
      </c>
      <c r="AL552" s="6">
        <v>-7</v>
      </c>
    </row>
    <row r="553" spans="1:38">
      <c r="A553" s="4">
        <v>14</v>
      </c>
      <c r="B553" s="5">
        <v>-12</v>
      </c>
      <c r="C553" s="5">
        <v>3</v>
      </c>
      <c r="D553" s="5">
        <v>-3</v>
      </c>
      <c r="E553" s="5">
        <v>-13</v>
      </c>
      <c r="F553" s="5">
        <v>18</v>
      </c>
      <c r="G553" s="5">
        <v>-11</v>
      </c>
      <c r="H553" s="5">
        <v>-6</v>
      </c>
      <c r="I553" s="5">
        <v>-5</v>
      </c>
      <c r="J553" s="5">
        <v>-5</v>
      </c>
      <c r="K553" s="5">
        <v>-7</v>
      </c>
      <c r="L553" s="5">
        <v>-8</v>
      </c>
      <c r="M553" s="5">
        <v>-16</v>
      </c>
      <c r="N553" s="5">
        <v>1</v>
      </c>
      <c r="O553" s="5">
        <v>13</v>
      </c>
      <c r="P553" s="5">
        <v>-2</v>
      </c>
      <c r="Q553" s="5">
        <v>3</v>
      </c>
      <c r="R553" s="5">
        <v>11</v>
      </c>
      <c r="S553" s="5">
        <v>9</v>
      </c>
      <c r="T553" s="5">
        <v>8</v>
      </c>
      <c r="U553" s="5">
        <v>7</v>
      </c>
      <c r="V553" s="5">
        <v>-12</v>
      </c>
      <c r="W553" s="5">
        <v>11</v>
      </c>
      <c r="X553" s="5">
        <v>-8</v>
      </c>
      <c r="Y553" s="5">
        <v>10</v>
      </c>
      <c r="Z553" s="5">
        <v>-11</v>
      </c>
      <c r="AA553" s="5">
        <v>-5</v>
      </c>
      <c r="AB553" s="5">
        <v>-29</v>
      </c>
      <c r="AC553" s="5">
        <v>-8</v>
      </c>
      <c r="AD553" s="5">
        <v>-5</v>
      </c>
      <c r="AE553" s="5">
        <v>-18</v>
      </c>
      <c r="AF553" s="5">
        <v>-4</v>
      </c>
      <c r="AG553" s="5">
        <v>-10</v>
      </c>
      <c r="AH553" s="5">
        <v>40</v>
      </c>
      <c r="AI553" s="5">
        <v>17</v>
      </c>
      <c r="AJ553" s="5">
        <v>-8</v>
      </c>
      <c r="AK553" s="5">
        <v>13</v>
      </c>
      <c r="AL553" s="6">
        <v>-10</v>
      </c>
    </row>
    <row r="554" spans="1:38">
      <c r="A554" s="4">
        <v>11</v>
      </c>
      <c r="B554" s="5">
        <v>6</v>
      </c>
      <c r="C554" s="5">
        <v>8</v>
      </c>
      <c r="D554" s="5">
        <v>-8</v>
      </c>
      <c r="E554" s="5">
        <v>13</v>
      </c>
      <c r="F554" s="5">
        <v>4</v>
      </c>
      <c r="G554" s="5">
        <v>-7</v>
      </c>
      <c r="H554" s="5">
        <v>-34</v>
      </c>
      <c r="I554" s="5">
        <v>-17</v>
      </c>
      <c r="J554" s="5">
        <v>-2</v>
      </c>
      <c r="K554" s="5">
        <v>3</v>
      </c>
      <c r="L554" s="5">
        <v>-11</v>
      </c>
      <c r="M554" s="5">
        <v>-13</v>
      </c>
      <c r="N554" s="5">
        <v>14</v>
      </c>
      <c r="O554" s="5">
        <v>-2</v>
      </c>
      <c r="P554" s="5">
        <v>-46</v>
      </c>
      <c r="Q554" s="5">
        <v>21</v>
      </c>
      <c r="R554" s="5">
        <v>1</v>
      </c>
      <c r="S554" s="5">
        <v>29</v>
      </c>
      <c r="T554" s="5">
        <v>-6</v>
      </c>
      <c r="U554" s="5">
        <v>11</v>
      </c>
      <c r="V554" s="5">
        <v>-11</v>
      </c>
      <c r="W554" s="5">
        <v>10</v>
      </c>
      <c r="X554" s="5">
        <v>5</v>
      </c>
      <c r="Y554" s="5">
        <v>12</v>
      </c>
      <c r="Z554" s="5">
        <v>6</v>
      </c>
      <c r="AA554" s="5">
        <v>4</v>
      </c>
      <c r="AB554" s="5">
        <v>14</v>
      </c>
      <c r="AC554" s="5">
        <v>-35</v>
      </c>
      <c r="AD554" s="5">
        <v>-30</v>
      </c>
      <c r="AE554" s="5">
        <v>13</v>
      </c>
      <c r="AF554" s="5">
        <v>-8</v>
      </c>
      <c r="AG554" s="5">
        <v>-12</v>
      </c>
      <c r="AH554" s="5">
        <v>-28</v>
      </c>
      <c r="AI554" s="5">
        <v>-15</v>
      </c>
      <c r="AJ554" s="5">
        <v>-16</v>
      </c>
      <c r="AK554" s="5">
        <v>-5</v>
      </c>
      <c r="AL554" s="6">
        <v>0</v>
      </c>
    </row>
    <row r="555" spans="1:38">
      <c r="A555" s="4">
        <v>9</v>
      </c>
      <c r="B555" s="5">
        <v>-2</v>
      </c>
      <c r="C555" s="5">
        <v>-2</v>
      </c>
      <c r="D555" s="5">
        <v>-6</v>
      </c>
      <c r="E555" s="5">
        <v>-1</v>
      </c>
      <c r="F555" s="5">
        <v>3</v>
      </c>
      <c r="G555" s="5">
        <v>-7</v>
      </c>
      <c r="H555" s="5">
        <v>-2</v>
      </c>
      <c r="I555" s="5">
        <v>-13</v>
      </c>
      <c r="J555" s="5">
        <v>1</v>
      </c>
      <c r="K555" s="5">
        <v>-13</v>
      </c>
      <c r="L555" s="5">
        <v>-3</v>
      </c>
      <c r="M555" s="5">
        <v>-8</v>
      </c>
      <c r="N555" s="5">
        <v>12</v>
      </c>
      <c r="O555" s="5">
        <v>-6</v>
      </c>
      <c r="P555" s="5">
        <v>-16</v>
      </c>
      <c r="Q555" s="5">
        <v>-7</v>
      </c>
      <c r="R555" s="5">
        <v>6</v>
      </c>
      <c r="S555" s="5">
        <v>6</v>
      </c>
      <c r="T555" s="5">
        <v>-4</v>
      </c>
      <c r="U555" s="5">
        <v>9</v>
      </c>
      <c r="V555" s="5">
        <v>-4</v>
      </c>
      <c r="W555" s="5">
        <v>-12</v>
      </c>
      <c r="X555" s="5">
        <v>5</v>
      </c>
      <c r="Y555" s="5">
        <v>-8</v>
      </c>
      <c r="Z555" s="5">
        <v>17</v>
      </c>
      <c r="AA555" s="5">
        <v>-8</v>
      </c>
      <c r="AB555" s="5">
        <v>-4</v>
      </c>
      <c r="AC555" s="5">
        <v>0</v>
      </c>
      <c r="AD555" s="5">
        <v>-10</v>
      </c>
      <c r="AE555" s="5">
        <v>11</v>
      </c>
      <c r="AF555" s="5">
        <v>10</v>
      </c>
      <c r="AG555" s="5">
        <v>-1</v>
      </c>
      <c r="AH555" s="5">
        <v>8</v>
      </c>
      <c r="AI555" s="5">
        <v>-6</v>
      </c>
      <c r="AJ555" s="5">
        <v>11</v>
      </c>
      <c r="AK555" s="5">
        <v>18</v>
      </c>
      <c r="AL555" s="6">
        <v>15</v>
      </c>
    </row>
    <row r="556" spans="1:38">
      <c r="A556" s="4">
        <v>6</v>
      </c>
      <c r="B556" s="5">
        <v>2</v>
      </c>
      <c r="C556" s="5">
        <v>0</v>
      </c>
      <c r="D556" s="5">
        <v>5</v>
      </c>
      <c r="E556" s="5">
        <v>20</v>
      </c>
      <c r="F556" s="5">
        <v>11</v>
      </c>
      <c r="G556" s="5">
        <v>-10</v>
      </c>
      <c r="H556" s="5">
        <v>-1</v>
      </c>
      <c r="I556" s="5">
        <v>3</v>
      </c>
      <c r="J556" s="5">
        <v>9</v>
      </c>
      <c r="K556" s="5">
        <v>3</v>
      </c>
      <c r="L556" s="5">
        <v>1</v>
      </c>
      <c r="M556" s="5">
        <v>2</v>
      </c>
      <c r="N556" s="5">
        <v>11</v>
      </c>
      <c r="O556" s="5">
        <v>-8</v>
      </c>
      <c r="P556" s="5">
        <v>-18</v>
      </c>
      <c r="Q556" s="5">
        <v>-8</v>
      </c>
      <c r="R556" s="5">
        <v>7</v>
      </c>
      <c r="S556" s="5">
        <v>5</v>
      </c>
      <c r="T556" s="5">
        <v>7</v>
      </c>
      <c r="U556" s="5">
        <v>13</v>
      </c>
      <c r="V556" s="5">
        <v>-15</v>
      </c>
      <c r="W556" s="5">
        <v>-28</v>
      </c>
      <c r="X556" s="5">
        <v>-1</v>
      </c>
      <c r="Y556" s="5">
        <v>-13</v>
      </c>
      <c r="Z556" s="5">
        <v>-6</v>
      </c>
      <c r="AA556" s="5">
        <v>-10</v>
      </c>
      <c r="AB556" s="5">
        <v>-2</v>
      </c>
      <c r="AC556" s="5">
        <v>-6</v>
      </c>
      <c r="AD556" s="5">
        <v>-11</v>
      </c>
      <c r="AE556" s="5">
        <v>-16</v>
      </c>
      <c r="AF556" s="5">
        <v>9</v>
      </c>
      <c r="AG556" s="5">
        <v>-1</v>
      </c>
      <c r="AH556" s="5">
        <v>7</v>
      </c>
      <c r="AI556" s="5">
        <v>-4</v>
      </c>
      <c r="AJ556" s="5">
        <v>-4</v>
      </c>
      <c r="AK556" s="5">
        <v>4</v>
      </c>
      <c r="AL556" s="6">
        <v>2</v>
      </c>
    </row>
    <row r="557" spans="1:38">
      <c r="A557" s="10">
        <v>7</v>
      </c>
      <c r="B557" s="11">
        <v>4</v>
      </c>
      <c r="C557" s="11">
        <v>1</v>
      </c>
      <c r="D557" s="11">
        <v>0</v>
      </c>
      <c r="E557" s="11">
        <v>9</v>
      </c>
      <c r="F557" s="11">
        <v>10</v>
      </c>
      <c r="G557" s="11">
        <v>-14</v>
      </c>
      <c r="H557" s="11">
        <v>-7</v>
      </c>
      <c r="I557" s="11">
        <v>3</v>
      </c>
      <c r="J557" s="11">
        <v>0</v>
      </c>
      <c r="K557" s="11">
        <v>1</v>
      </c>
      <c r="L557" s="11">
        <v>1</v>
      </c>
      <c r="M557" s="11">
        <v>-4</v>
      </c>
      <c r="N557" s="11">
        <v>6</v>
      </c>
      <c r="O557" s="11">
        <v>0</v>
      </c>
      <c r="P557" s="11">
        <v>-11</v>
      </c>
      <c r="Q557" s="11">
        <v>-7</v>
      </c>
      <c r="R557" s="11">
        <v>2</v>
      </c>
      <c r="S557" s="11">
        <v>3</v>
      </c>
      <c r="T557" s="11">
        <v>10</v>
      </c>
      <c r="U557" s="11">
        <v>13</v>
      </c>
      <c r="V557" s="11">
        <v>-15</v>
      </c>
      <c r="W557" s="11">
        <v>-23</v>
      </c>
      <c r="X557" s="11">
        <v>0</v>
      </c>
      <c r="Y557" s="11">
        <v>-9</v>
      </c>
      <c r="Z557" s="11">
        <v>-6</v>
      </c>
      <c r="AA557" s="11">
        <v>-4</v>
      </c>
      <c r="AB557" s="11">
        <v>-3</v>
      </c>
      <c r="AC557" s="11">
        <v>-2</v>
      </c>
      <c r="AD557" s="11">
        <v>-10</v>
      </c>
      <c r="AE557" s="11">
        <v>-4</v>
      </c>
      <c r="AF557" s="11">
        <v>1</v>
      </c>
      <c r="AG557" s="11">
        <v>0</v>
      </c>
      <c r="AH557" s="11">
        <v>6</v>
      </c>
      <c r="AI557" s="11">
        <v>-3</v>
      </c>
      <c r="AJ557" s="11">
        <v>-13</v>
      </c>
      <c r="AK557" s="11">
        <v>4</v>
      </c>
      <c r="AL557" s="12">
        <v>4</v>
      </c>
    </row>
  </sheetData>
  <pageMargins left="0.78749999999999998" right="0.78749999999999998" top="1.05277777777778" bottom="1.05277777777778" header="0.78749999999999998" footer="0.78749999999999998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399"/>
  <sheetViews>
    <sheetView workbookViewId="0">
      <selection activeCell="D5" sqref="D5"/>
    </sheetView>
  </sheetViews>
  <sheetFormatPr defaultRowHeight="12.75"/>
  <cols>
    <col min="1" max="1" width="12.42578125" customWidth="1"/>
    <col min="2" max="2" width="29.85546875" customWidth="1"/>
  </cols>
  <sheetData>
    <row r="1" spans="1:2">
      <c r="A1" s="19" t="s">
        <v>800</v>
      </c>
      <c r="B1" s="19" t="s">
        <v>799</v>
      </c>
    </row>
    <row r="2" spans="1:2">
      <c r="A2" s="16" t="s">
        <v>3</v>
      </c>
      <c r="B2" s="15" t="s">
        <v>401</v>
      </c>
    </row>
    <row r="3" spans="1:2">
      <c r="A3" s="16" t="s">
        <v>4</v>
      </c>
      <c r="B3" s="15" t="s">
        <v>402</v>
      </c>
    </row>
    <row r="4" spans="1:2">
      <c r="A4" s="16" t="s">
        <v>5</v>
      </c>
      <c r="B4" s="15" t="s">
        <v>403</v>
      </c>
    </row>
    <row r="5" spans="1:2">
      <c r="A5" s="16" t="s">
        <v>6</v>
      </c>
      <c r="B5" s="15" t="s">
        <v>404</v>
      </c>
    </row>
    <row r="6" spans="1:2">
      <c r="A6" s="16" t="s">
        <v>7</v>
      </c>
      <c r="B6" s="15" t="s">
        <v>405</v>
      </c>
    </row>
    <row r="7" spans="1:2">
      <c r="A7" s="16" t="s">
        <v>8</v>
      </c>
      <c r="B7" s="15" t="s">
        <v>406</v>
      </c>
    </row>
    <row r="8" spans="1:2">
      <c r="A8" s="16" t="s">
        <v>9</v>
      </c>
      <c r="B8" s="15" t="s">
        <v>407</v>
      </c>
    </row>
    <row r="9" spans="1:2">
      <c r="A9" s="16" t="s">
        <v>10</v>
      </c>
      <c r="B9" s="15" t="s">
        <v>408</v>
      </c>
    </row>
    <row r="10" spans="1:2">
      <c r="A10" s="16" t="s">
        <v>11</v>
      </c>
      <c r="B10" s="15" t="s">
        <v>409</v>
      </c>
    </row>
    <row r="11" spans="1:2">
      <c r="A11" s="16" t="s">
        <v>12</v>
      </c>
      <c r="B11" s="15" t="s">
        <v>410</v>
      </c>
    </row>
    <row r="12" spans="1:2">
      <c r="A12" s="16" t="s">
        <v>13</v>
      </c>
      <c r="B12" s="15" t="s">
        <v>411</v>
      </c>
    </row>
    <row r="13" spans="1:2">
      <c r="A13" s="16" t="s">
        <v>14</v>
      </c>
      <c r="B13" s="15" t="s">
        <v>412</v>
      </c>
    </row>
    <row r="14" spans="1:2">
      <c r="A14" s="16" t="s">
        <v>15</v>
      </c>
      <c r="B14" s="15" t="s">
        <v>413</v>
      </c>
    </row>
    <row r="15" spans="1:2">
      <c r="A15" s="16" t="s">
        <v>16</v>
      </c>
      <c r="B15" s="15" t="s">
        <v>414</v>
      </c>
    </row>
    <row r="16" spans="1:2">
      <c r="A16" s="16" t="s">
        <v>17</v>
      </c>
      <c r="B16" s="15" t="s">
        <v>415</v>
      </c>
    </row>
    <row r="17" spans="1:2">
      <c r="A17" s="16" t="s">
        <v>18</v>
      </c>
      <c r="B17" s="15" t="s">
        <v>416</v>
      </c>
    </row>
    <row r="18" spans="1:2">
      <c r="A18" s="16" t="s">
        <v>19</v>
      </c>
      <c r="B18" s="15" t="s">
        <v>417</v>
      </c>
    </row>
    <row r="19" spans="1:2">
      <c r="A19" s="16" t="s">
        <v>20</v>
      </c>
      <c r="B19" s="15" t="s">
        <v>418</v>
      </c>
    </row>
    <row r="20" spans="1:2">
      <c r="A20" s="16" t="s">
        <v>21</v>
      </c>
      <c r="B20" s="15" t="s">
        <v>419</v>
      </c>
    </row>
    <row r="21" spans="1:2">
      <c r="A21" s="16" t="s">
        <v>22</v>
      </c>
      <c r="B21" s="15" t="s">
        <v>420</v>
      </c>
    </row>
    <row r="22" spans="1:2">
      <c r="A22" s="16" t="s">
        <v>23</v>
      </c>
      <c r="B22" s="15" t="s">
        <v>421</v>
      </c>
    </row>
    <row r="23" spans="1:2">
      <c r="A23" s="16" t="s">
        <v>24</v>
      </c>
      <c r="B23" s="15" t="s">
        <v>422</v>
      </c>
    </row>
    <row r="24" spans="1:2">
      <c r="A24" s="16" t="s">
        <v>25</v>
      </c>
      <c r="B24" s="15" t="s">
        <v>423</v>
      </c>
    </row>
    <row r="25" spans="1:2">
      <c r="A25" s="16" t="s">
        <v>26</v>
      </c>
      <c r="B25" s="15" t="s">
        <v>424</v>
      </c>
    </row>
    <row r="26" spans="1:2">
      <c r="A26" s="16" t="s">
        <v>27</v>
      </c>
      <c r="B26" s="15" t="s">
        <v>425</v>
      </c>
    </row>
    <row r="27" spans="1:2">
      <c r="A27" s="16" t="s">
        <v>28</v>
      </c>
      <c r="B27" s="15" t="s">
        <v>426</v>
      </c>
    </row>
    <row r="28" spans="1:2">
      <c r="A28" s="16" t="s">
        <v>29</v>
      </c>
      <c r="B28" s="15" t="s">
        <v>427</v>
      </c>
    </row>
    <row r="29" spans="1:2">
      <c r="A29" s="16" t="s">
        <v>30</v>
      </c>
      <c r="B29" s="15" t="s">
        <v>428</v>
      </c>
    </row>
    <row r="30" spans="1:2">
      <c r="A30" s="16" t="s">
        <v>31</v>
      </c>
      <c r="B30" s="15" t="s">
        <v>429</v>
      </c>
    </row>
    <row r="31" spans="1:2">
      <c r="A31" s="16" t="s">
        <v>32</v>
      </c>
      <c r="B31" s="15" t="s">
        <v>430</v>
      </c>
    </row>
    <row r="32" spans="1:2">
      <c r="A32" s="16" t="s">
        <v>33</v>
      </c>
      <c r="B32" s="15" t="s">
        <v>431</v>
      </c>
    </row>
    <row r="33" spans="1:2">
      <c r="A33" s="16" t="s">
        <v>34</v>
      </c>
      <c r="B33" s="15" t="s">
        <v>432</v>
      </c>
    </row>
    <row r="34" spans="1:2">
      <c r="A34" s="16" t="s">
        <v>35</v>
      </c>
      <c r="B34" s="15" t="s">
        <v>433</v>
      </c>
    </row>
    <row r="35" spans="1:2">
      <c r="A35" s="16" t="s">
        <v>36</v>
      </c>
      <c r="B35" s="15" t="s">
        <v>434</v>
      </c>
    </row>
    <row r="36" spans="1:2">
      <c r="A36" s="16" t="s">
        <v>37</v>
      </c>
      <c r="B36" s="15" t="s">
        <v>435</v>
      </c>
    </row>
    <row r="37" spans="1:2">
      <c r="A37" s="16" t="s">
        <v>38</v>
      </c>
      <c r="B37" s="15" t="s">
        <v>436</v>
      </c>
    </row>
    <row r="38" spans="1:2">
      <c r="A38" s="16" t="s">
        <v>39</v>
      </c>
      <c r="B38" s="15" t="s">
        <v>437</v>
      </c>
    </row>
    <row r="39" spans="1:2">
      <c r="A39" s="16" t="s">
        <v>40</v>
      </c>
      <c r="B39" s="15" t="s">
        <v>438</v>
      </c>
    </row>
    <row r="40" spans="1:2">
      <c r="A40" s="16" t="s">
        <v>41</v>
      </c>
      <c r="B40" s="15" t="s">
        <v>439</v>
      </c>
    </row>
    <row r="41" spans="1:2">
      <c r="A41" s="16" t="s">
        <v>42</v>
      </c>
      <c r="B41" s="15" t="s">
        <v>440</v>
      </c>
    </row>
    <row r="42" spans="1:2">
      <c r="A42" s="16" t="s">
        <v>43</v>
      </c>
      <c r="B42" s="15" t="s">
        <v>441</v>
      </c>
    </row>
    <row r="43" spans="1:2">
      <c r="A43" s="16" t="s">
        <v>44</v>
      </c>
      <c r="B43" s="15" t="s">
        <v>442</v>
      </c>
    </row>
    <row r="44" spans="1:2">
      <c r="A44" s="16" t="s">
        <v>45</v>
      </c>
      <c r="B44" s="15" t="s">
        <v>443</v>
      </c>
    </row>
    <row r="45" spans="1:2">
      <c r="A45" s="16" t="s">
        <v>46</v>
      </c>
      <c r="B45" s="15" t="s">
        <v>444</v>
      </c>
    </row>
    <row r="46" spans="1:2">
      <c r="A46" s="16" t="s">
        <v>47</v>
      </c>
      <c r="B46" s="15" t="s">
        <v>445</v>
      </c>
    </row>
    <row r="47" spans="1:2">
      <c r="A47" s="16" t="s">
        <v>48</v>
      </c>
      <c r="B47" s="15" t="s">
        <v>446</v>
      </c>
    </row>
    <row r="48" spans="1:2">
      <c r="A48" s="16" t="s">
        <v>49</v>
      </c>
      <c r="B48" s="15" t="s">
        <v>447</v>
      </c>
    </row>
    <row r="49" spans="1:2">
      <c r="A49" s="16" t="s">
        <v>50</v>
      </c>
      <c r="B49" s="15" t="s">
        <v>448</v>
      </c>
    </row>
    <row r="50" spans="1:2">
      <c r="A50" s="16" t="s">
        <v>51</v>
      </c>
      <c r="B50" s="15" t="s">
        <v>449</v>
      </c>
    </row>
    <row r="51" spans="1:2">
      <c r="A51" s="16" t="s">
        <v>52</v>
      </c>
      <c r="B51" s="15" t="s">
        <v>450</v>
      </c>
    </row>
    <row r="52" spans="1:2">
      <c r="A52" s="16" t="s">
        <v>53</v>
      </c>
      <c r="B52" s="15" t="s">
        <v>451</v>
      </c>
    </row>
    <row r="53" spans="1:2">
      <c r="A53" s="16" t="s">
        <v>54</v>
      </c>
      <c r="B53" s="15" t="s">
        <v>452</v>
      </c>
    </row>
    <row r="54" spans="1:2">
      <c r="A54" s="16" t="s">
        <v>55</v>
      </c>
      <c r="B54" s="15" t="s">
        <v>453</v>
      </c>
    </row>
    <row r="55" spans="1:2">
      <c r="A55" s="16" t="s">
        <v>56</v>
      </c>
      <c r="B55" s="15" t="s">
        <v>454</v>
      </c>
    </row>
    <row r="56" spans="1:2">
      <c r="A56" s="16" t="s">
        <v>57</v>
      </c>
      <c r="B56" s="15" t="s">
        <v>455</v>
      </c>
    </row>
    <row r="57" spans="1:2">
      <c r="A57" s="16" t="s">
        <v>58</v>
      </c>
      <c r="B57" s="15" t="s">
        <v>456</v>
      </c>
    </row>
    <row r="58" spans="1:2">
      <c r="A58" s="16" t="s">
        <v>59</v>
      </c>
      <c r="B58" s="15" t="s">
        <v>457</v>
      </c>
    </row>
    <row r="59" spans="1:2">
      <c r="A59" s="16" t="s">
        <v>60</v>
      </c>
      <c r="B59" s="15" t="s">
        <v>458</v>
      </c>
    </row>
    <row r="60" spans="1:2">
      <c r="A60" s="16" t="s">
        <v>61</v>
      </c>
      <c r="B60" s="15" t="s">
        <v>459</v>
      </c>
    </row>
    <row r="61" spans="1:2">
      <c r="A61" s="16" t="s">
        <v>62</v>
      </c>
      <c r="B61" s="15" t="s">
        <v>460</v>
      </c>
    </row>
    <row r="62" spans="1:2">
      <c r="A62" s="16" t="s">
        <v>63</v>
      </c>
      <c r="B62" s="15" t="s">
        <v>461</v>
      </c>
    </row>
    <row r="63" spans="1:2">
      <c r="A63" s="16" t="s">
        <v>64</v>
      </c>
      <c r="B63" s="15" t="s">
        <v>462</v>
      </c>
    </row>
    <row r="64" spans="1:2">
      <c r="A64" s="16" t="s">
        <v>65</v>
      </c>
      <c r="B64" s="15" t="s">
        <v>463</v>
      </c>
    </row>
    <row r="65" spans="1:2">
      <c r="A65" s="16" t="s">
        <v>66</v>
      </c>
      <c r="B65" s="15" t="s">
        <v>464</v>
      </c>
    </row>
    <row r="66" spans="1:2">
      <c r="A66" s="16" t="s">
        <v>67</v>
      </c>
      <c r="B66" s="15" t="s">
        <v>465</v>
      </c>
    </row>
    <row r="67" spans="1:2">
      <c r="A67" s="16" t="s">
        <v>68</v>
      </c>
      <c r="B67" s="15" t="s">
        <v>466</v>
      </c>
    </row>
    <row r="68" spans="1:2">
      <c r="A68" s="16" t="s">
        <v>69</v>
      </c>
      <c r="B68" s="15" t="s">
        <v>467</v>
      </c>
    </row>
    <row r="69" spans="1:2">
      <c r="A69" s="16" t="s">
        <v>70</v>
      </c>
      <c r="B69" s="15" t="s">
        <v>468</v>
      </c>
    </row>
    <row r="70" spans="1:2">
      <c r="A70" s="16" t="s">
        <v>71</v>
      </c>
      <c r="B70" s="15" t="s">
        <v>469</v>
      </c>
    </row>
    <row r="71" spans="1:2">
      <c r="A71" s="16" t="s">
        <v>72</v>
      </c>
      <c r="B71" s="15" t="s">
        <v>470</v>
      </c>
    </row>
    <row r="72" spans="1:2">
      <c r="A72" s="16" t="s">
        <v>73</v>
      </c>
      <c r="B72" s="15" t="s">
        <v>471</v>
      </c>
    </row>
    <row r="73" spans="1:2">
      <c r="A73" s="16" t="s">
        <v>74</v>
      </c>
      <c r="B73" s="15" t="s">
        <v>472</v>
      </c>
    </row>
    <row r="74" spans="1:2">
      <c r="A74" s="16" t="s">
        <v>75</v>
      </c>
      <c r="B74" s="15" t="s">
        <v>473</v>
      </c>
    </row>
    <row r="75" spans="1:2">
      <c r="A75" s="16" t="s">
        <v>76</v>
      </c>
      <c r="B75" s="15" t="s">
        <v>474</v>
      </c>
    </row>
    <row r="76" spans="1:2">
      <c r="A76" s="16" t="s">
        <v>77</v>
      </c>
      <c r="B76" s="15" t="s">
        <v>475</v>
      </c>
    </row>
    <row r="77" spans="1:2">
      <c r="A77" s="16" t="s">
        <v>78</v>
      </c>
      <c r="B77" s="15" t="s">
        <v>476</v>
      </c>
    </row>
    <row r="78" spans="1:2">
      <c r="A78" s="16" t="s">
        <v>79</v>
      </c>
      <c r="B78" s="15" t="s">
        <v>477</v>
      </c>
    </row>
    <row r="79" spans="1:2">
      <c r="A79" s="16" t="s">
        <v>80</v>
      </c>
      <c r="B79" s="15" t="s">
        <v>478</v>
      </c>
    </row>
    <row r="80" spans="1:2">
      <c r="A80" s="16" t="s">
        <v>81</v>
      </c>
      <c r="B80" s="15" t="s">
        <v>479</v>
      </c>
    </row>
    <row r="81" spans="1:2">
      <c r="A81" s="16" t="s">
        <v>82</v>
      </c>
      <c r="B81" s="15" t="s">
        <v>480</v>
      </c>
    </row>
    <row r="82" spans="1:2">
      <c r="A82" s="16" t="s">
        <v>83</v>
      </c>
      <c r="B82" s="15" t="s">
        <v>481</v>
      </c>
    </row>
    <row r="83" spans="1:2">
      <c r="A83" s="16" t="s">
        <v>84</v>
      </c>
      <c r="B83" s="15" t="s">
        <v>482</v>
      </c>
    </row>
    <row r="84" spans="1:2">
      <c r="A84" s="16" t="s">
        <v>85</v>
      </c>
      <c r="B84" s="15" t="s">
        <v>483</v>
      </c>
    </row>
    <row r="85" spans="1:2">
      <c r="A85" s="16" t="s">
        <v>86</v>
      </c>
      <c r="B85" s="15" t="s">
        <v>484</v>
      </c>
    </row>
    <row r="86" spans="1:2">
      <c r="A86" s="16" t="s">
        <v>87</v>
      </c>
      <c r="B86" s="15" t="s">
        <v>485</v>
      </c>
    </row>
    <row r="87" spans="1:2">
      <c r="A87" s="16" t="s">
        <v>88</v>
      </c>
      <c r="B87" s="15" t="s">
        <v>486</v>
      </c>
    </row>
    <row r="88" spans="1:2">
      <c r="A88" s="16" t="s">
        <v>89</v>
      </c>
      <c r="B88" s="15" t="s">
        <v>487</v>
      </c>
    </row>
    <row r="89" spans="1:2">
      <c r="A89" s="16" t="s">
        <v>90</v>
      </c>
      <c r="B89" s="15" t="s">
        <v>488</v>
      </c>
    </row>
    <row r="90" spans="1:2">
      <c r="A90" s="16" t="s">
        <v>91</v>
      </c>
      <c r="B90" s="15" t="s">
        <v>489</v>
      </c>
    </row>
    <row r="91" spans="1:2">
      <c r="A91" s="16" t="s">
        <v>92</v>
      </c>
      <c r="B91" s="15" t="s">
        <v>490</v>
      </c>
    </row>
    <row r="92" spans="1:2">
      <c r="A92" s="16" t="s">
        <v>93</v>
      </c>
      <c r="B92" s="15" t="s">
        <v>491</v>
      </c>
    </row>
    <row r="93" spans="1:2">
      <c r="A93" s="16" t="s">
        <v>94</v>
      </c>
      <c r="B93" s="15" t="s">
        <v>492</v>
      </c>
    </row>
    <row r="94" spans="1:2">
      <c r="A94" s="16" t="s">
        <v>95</v>
      </c>
      <c r="B94" s="15" t="s">
        <v>493</v>
      </c>
    </row>
    <row r="95" spans="1:2">
      <c r="A95" s="16" t="s">
        <v>96</v>
      </c>
      <c r="B95" s="15" t="s">
        <v>494</v>
      </c>
    </row>
    <row r="96" spans="1:2">
      <c r="A96" s="16" t="s">
        <v>97</v>
      </c>
      <c r="B96" s="15" t="s">
        <v>495</v>
      </c>
    </row>
    <row r="97" spans="1:2">
      <c r="A97" s="16" t="s">
        <v>98</v>
      </c>
      <c r="B97" s="15" t="s">
        <v>496</v>
      </c>
    </row>
    <row r="98" spans="1:2">
      <c r="A98" s="16" t="s">
        <v>99</v>
      </c>
      <c r="B98" s="15" t="s">
        <v>497</v>
      </c>
    </row>
    <row r="99" spans="1:2">
      <c r="A99" s="16" t="s">
        <v>100</v>
      </c>
      <c r="B99" s="15" t="s">
        <v>498</v>
      </c>
    </row>
    <row r="100" spans="1:2">
      <c r="A100" s="16" t="s">
        <v>101</v>
      </c>
      <c r="B100" s="15" t="s">
        <v>499</v>
      </c>
    </row>
    <row r="101" spans="1:2">
      <c r="A101" s="16" t="s">
        <v>102</v>
      </c>
      <c r="B101" s="15" t="s">
        <v>500</v>
      </c>
    </row>
    <row r="102" spans="1:2">
      <c r="A102" s="16" t="s">
        <v>103</v>
      </c>
      <c r="B102" s="15" t="s">
        <v>501</v>
      </c>
    </row>
    <row r="103" spans="1:2">
      <c r="A103" s="16" t="s">
        <v>104</v>
      </c>
      <c r="B103" s="15" t="s">
        <v>502</v>
      </c>
    </row>
    <row r="104" spans="1:2">
      <c r="A104" s="16" t="s">
        <v>105</v>
      </c>
      <c r="B104" s="15" t="s">
        <v>503</v>
      </c>
    </row>
    <row r="105" spans="1:2">
      <c r="A105" s="16" t="s">
        <v>106</v>
      </c>
      <c r="B105" s="15" t="s">
        <v>504</v>
      </c>
    </row>
    <row r="106" spans="1:2">
      <c r="A106" s="16" t="s">
        <v>107</v>
      </c>
      <c r="B106" s="15" t="s">
        <v>505</v>
      </c>
    </row>
    <row r="107" spans="1:2">
      <c r="A107" s="16" t="s">
        <v>108</v>
      </c>
      <c r="B107" s="15" t="s">
        <v>506</v>
      </c>
    </row>
    <row r="108" spans="1:2">
      <c r="A108" s="16" t="s">
        <v>109</v>
      </c>
      <c r="B108" s="15" t="s">
        <v>507</v>
      </c>
    </row>
    <row r="109" spans="1:2">
      <c r="A109" s="16" t="s">
        <v>110</v>
      </c>
      <c r="B109" s="15" t="s">
        <v>508</v>
      </c>
    </row>
    <row r="110" spans="1:2">
      <c r="A110" s="16" t="s">
        <v>111</v>
      </c>
      <c r="B110" s="15" t="s">
        <v>509</v>
      </c>
    </row>
    <row r="111" spans="1:2">
      <c r="A111" s="16" t="s">
        <v>112</v>
      </c>
      <c r="B111" s="15" t="s">
        <v>510</v>
      </c>
    </row>
    <row r="112" spans="1:2">
      <c r="A112" s="16" t="s">
        <v>113</v>
      </c>
      <c r="B112" s="15" t="s">
        <v>511</v>
      </c>
    </row>
    <row r="113" spans="1:2">
      <c r="A113" s="16" t="s">
        <v>114</v>
      </c>
      <c r="B113" s="15" t="s">
        <v>512</v>
      </c>
    </row>
    <row r="114" spans="1:2">
      <c r="A114" s="16" t="s">
        <v>115</v>
      </c>
      <c r="B114" s="15" t="s">
        <v>513</v>
      </c>
    </row>
    <row r="115" spans="1:2">
      <c r="A115" s="16" t="s">
        <v>116</v>
      </c>
      <c r="B115" s="15" t="s">
        <v>514</v>
      </c>
    </row>
    <row r="116" spans="1:2">
      <c r="A116" s="16" t="s">
        <v>117</v>
      </c>
      <c r="B116" s="15" t="s">
        <v>515</v>
      </c>
    </row>
    <row r="117" spans="1:2">
      <c r="A117" s="16" t="s">
        <v>118</v>
      </c>
      <c r="B117" s="15" t="s">
        <v>516</v>
      </c>
    </row>
    <row r="118" spans="1:2">
      <c r="A118" s="16" t="s">
        <v>119</v>
      </c>
      <c r="B118" s="15" t="s">
        <v>517</v>
      </c>
    </row>
    <row r="119" spans="1:2">
      <c r="A119" s="16" t="s">
        <v>120</v>
      </c>
      <c r="B119" s="15" t="s">
        <v>518</v>
      </c>
    </row>
    <row r="120" spans="1:2">
      <c r="A120" s="16" t="s">
        <v>121</v>
      </c>
      <c r="B120" s="15" t="s">
        <v>519</v>
      </c>
    </row>
    <row r="121" spans="1:2">
      <c r="A121" s="16" t="s">
        <v>122</v>
      </c>
      <c r="B121" s="15" t="s">
        <v>520</v>
      </c>
    </row>
    <row r="122" spans="1:2">
      <c r="A122" s="16" t="s">
        <v>123</v>
      </c>
      <c r="B122" s="15" t="s">
        <v>521</v>
      </c>
    </row>
    <row r="123" spans="1:2">
      <c r="A123" s="16" t="s">
        <v>124</v>
      </c>
      <c r="B123" s="15" t="s">
        <v>522</v>
      </c>
    </row>
    <row r="124" spans="1:2">
      <c r="A124" s="16" t="s">
        <v>125</v>
      </c>
      <c r="B124" s="15" t="s">
        <v>523</v>
      </c>
    </row>
    <row r="125" spans="1:2">
      <c r="A125" s="16" t="s">
        <v>126</v>
      </c>
      <c r="B125" s="15" t="s">
        <v>524</v>
      </c>
    </row>
    <row r="126" spans="1:2">
      <c r="A126" s="16" t="s">
        <v>127</v>
      </c>
      <c r="B126" s="15" t="s">
        <v>525</v>
      </c>
    </row>
    <row r="127" spans="1:2">
      <c r="A127" s="16" t="s">
        <v>128</v>
      </c>
      <c r="B127" s="15" t="s">
        <v>526</v>
      </c>
    </row>
    <row r="128" spans="1:2">
      <c r="A128" s="16" t="s">
        <v>129</v>
      </c>
      <c r="B128" s="15" t="s">
        <v>527</v>
      </c>
    </row>
    <row r="129" spans="1:2">
      <c r="A129" s="16" t="s">
        <v>130</v>
      </c>
      <c r="B129" s="15" t="s">
        <v>528</v>
      </c>
    </row>
    <row r="130" spans="1:2">
      <c r="A130" s="16" t="s">
        <v>131</v>
      </c>
      <c r="B130" s="15" t="s">
        <v>529</v>
      </c>
    </row>
    <row r="131" spans="1:2">
      <c r="A131" s="16" t="s">
        <v>132</v>
      </c>
      <c r="B131" s="15" t="s">
        <v>530</v>
      </c>
    </row>
    <row r="132" spans="1:2">
      <c r="A132" s="16" t="s">
        <v>133</v>
      </c>
      <c r="B132" s="15" t="s">
        <v>531</v>
      </c>
    </row>
    <row r="133" spans="1:2">
      <c r="A133" s="16" t="s">
        <v>134</v>
      </c>
      <c r="B133" s="15" t="s">
        <v>532</v>
      </c>
    </row>
    <row r="134" spans="1:2">
      <c r="A134" s="16" t="s">
        <v>135</v>
      </c>
      <c r="B134" s="15" t="s">
        <v>533</v>
      </c>
    </row>
    <row r="135" spans="1:2">
      <c r="A135" s="16" t="s">
        <v>136</v>
      </c>
      <c r="B135" s="15" t="s">
        <v>534</v>
      </c>
    </row>
    <row r="136" spans="1:2">
      <c r="A136" s="16" t="s">
        <v>137</v>
      </c>
      <c r="B136" s="15" t="s">
        <v>535</v>
      </c>
    </row>
    <row r="137" spans="1:2">
      <c r="A137" s="16" t="s">
        <v>138</v>
      </c>
      <c r="B137" s="15" t="s">
        <v>536</v>
      </c>
    </row>
    <row r="138" spans="1:2">
      <c r="A138" s="16" t="s">
        <v>139</v>
      </c>
      <c r="B138" s="15" t="s">
        <v>537</v>
      </c>
    </row>
    <row r="139" spans="1:2">
      <c r="A139" s="16" t="s">
        <v>140</v>
      </c>
      <c r="B139" s="15" t="s">
        <v>538</v>
      </c>
    </row>
    <row r="140" spans="1:2">
      <c r="A140" s="16" t="s">
        <v>141</v>
      </c>
      <c r="B140" s="15" t="s">
        <v>539</v>
      </c>
    </row>
    <row r="141" spans="1:2">
      <c r="A141" s="16" t="s">
        <v>142</v>
      </c>
      <c r="B141" s="15" t="s">
        <v>540</v>
      </c>
    </row>
    <row r="142" spans="1:2">
      <c r="A142" s="16" t="s">
        <v>143</v>
      </c>
      <c r="B142" s="15" t="s">
        <v>541</v>
      </c>
    </row>
    <row r="143" spans="1:2">
      <c r="A143" s="16" t="s">
        <v>144</v>
      </c>
      <c r="B143" s="15" t="s">
        <v>542</v>
      </c>
    </row>
    <row r="144" spans="1:2">
      <c r="A144" s="16" t="s">
        <v>145</v>
      </c>
      <c r="B144" s="15" t="s">
        <v>543</v>
      </c>
    </row>
    <row r="145" spans="1:2">
      <c r="A145" s="16" t="s">
        <v>146</v>
      </c>
      <c r="B145" s="15" t="s">
        <v>544</v>
      </c>
    </row>
    <row r="146" spans="1:2">
      <c r="A146" s="16" t="s">
        <v>147</v>
      </c>
      <c r="B146" s="15" t="s">
        <v>545</v>
      </c>
    </row>
    <row r="147" spans="1:2">
      <c r="A147" s="16" t="s">
        <v>148</v>
      </c>
      <c r="B147" s="15" t="s">
        <v>546</v>
      </c>
    </row>
    <row r="148" spans="1:2">
      <c r="A148" s="16" t="s">
        <v>149</v>
      </c>
      <c r="B148" s="15" t="s">
        <v>547</v>
      </c>
    </row>
    <row r="149" spans="1:2">
      <c r="A149" s="16" t="s">
        <v>150</v>
      </c>
      <c r="B149" s="15" t="s">
        <v>548</v>
      </c>
    </row>
    <row r="150" spans="1:2">
      <c r="A150" s="16" t="s">
        <v>151</v>
      </c>
      <c r="B150" s="15" t="s">
        <v>549</v>
      </c>
    </row>
    <row r="151" spans="1:2">
      <c r="A151" s="16" t="s">
        <v>152</v>
      </c>
      <c r="B151" s="15" t="s">
        <v>550</v>
      </c>
    </row>
    <row r="152" spans="1:2">
      <c r="A152" s="16" t="s">
        <v>153</v>
      </c>
      <c r="B152" s="15" t="s">
        <v>551</v>
      </c>
    </row>
    <row r="153" spans="1:2">
      <c r="A153" s="16" t="s">
        <v>154</v>
      </c>
      <c r="B153" s="15" t="s">
        <v>552</v>
      </c>
    </row>
    <row r="154" spans="1:2">
      <c r="A154" s="16" t="s">
        <v>155</v>
      </c>
      <c r="B154" s="15" t="s">
        <v>553</v>
      </c>
    </row>
    <row r="155" spans="1:2">
      <c r="A155" s="16" t="s">
        <v>156</v>
      </c>
      <c r="B155" s="15" t="s">
        <v>554</v>
      </c>
    </row>
    <row r="156" spans="1:2">
      <c r="A156" s="16" t="s">
        <v>157</v>
      </c>
      <c r="B156" s="15" t="s">
        <v>555</v>
      </c>
    </row>
    <row r="157" spans="1:2">
      <c r="A157" s="16" t="s">
        <v>158</v>
      </c>
      <c r="B157" s="15" t="s">
        <v>556</v>
      </c>
    </row>
    <row r="158" spans="1:2">
      <c r="A158" s="16" t="s">
        <v>159</v>
      </c>
      <c r="B158" s="15" t="s">
        <v>557</v>
      </c>
    </row>
    <row r="159" spans="1:2">
      <c r="A159" s="16" t="s">
        <v>160</v>
      </c>
      <c r="B159" s="15" t="s">
        <v>558</v>
      </c>
    </row>
    <row r="160" spans="1:2">
      <c r="A160" s="16" t="s">
        <v>161</v>
      </c>
      <c r="B160" s="15" t="s">
        <v>559</v>
      </c>
    </row>
    <row r="161" spans="1:2">
      <c r="A161" s="16" t="s">
        <v>162</v>
      </c>
      <c r="B161" s="15" t="s">
        <v>560</v>
      </c>
    </row>
    <row r="162" spans="1:2">
      <c r="A162" s="16" t="s">
        <v>163</v>
      </c>
      <c r="B162" s="15" t="s">
        <v>561</v>
      </c>
    </row>
    <row r="163" spans="1:2">
      <c r="A163" s="16" t="s">
        <v>164</v>
      </c>
      <c r="B163" s="15" t="s">
        <v>562</v>
      </c>
    </row>
    <row r="164" spans="1:2">
      <c r="A164" s="16" t="s">
        <v>165</v>
      </c>
      <c r="B164" s="15" t="s">
        <v>563</v>
      </c>
    </row>
    <row r="165" spans="1:2">
      <c r="A165" s="16" t="s">
        <v>166</v>
      </c>
      <c r="B165" s="15" t="s">
        <v>564</v>
      </c>
    </row>
    <row r="166" spans="1:2">
      <c r="A166" s="16" t="s">
        <v>167</v>
      </c>
      <c r="B166" s="15" t="s">
        <v>565</v>
      </c>
    </row>
    <row r="167" spans="1:2">
      <c r="A167" s="16" t="s">
        <v>168</v>
      </c>
      <c r="B167" s="15" t="s">
        <v>566</v>
      </c>
    </row>
    <row r="168" spans="1:2">
      <c r="A168" s="16" t="s">
        <v>169</v>
      </c>
      <c r="B168" s="15" t="s">
        <v>567</v>
      </c>
    </row>
    <row r="169" spans="1:2">
      <c r="A169" s="16" t="s">
        <v>170</v>
      </c>
      <c r="B169" s="15" t="s">
        <v>568</v>
      </c>
    </row>
    <row r="170" spans="1:2">
      <c r="A170" s="16" t="s">
        <v>171</v>
      </c>
      <c r="B170" s="15" t="s">
        <v>569</v>
      </c>
    </row>
    <row r="171" spans="1:2">
      <c r="A171" s="16" t="s">
        <v>172</v>
      </c>
      <c r="B171" s="15" t="s">
        <v>570</v>
      </c>
    </row>
    <row r="172" spans="1:2">
      <c r="A172" s="16" t="s">
        <v>173</v>
      </c>
      <c r="B172" s="15" t="s">
        <v>571</v>
      </c>
    </row>
    <row r="173" spans="1:2">
      <c r="A173" s="16" t="s">
        <v>174</v>
      </c>
      <c r="B173" s="15" t="s">
        <v>572</v>
      </c>
    </row>
    <row r="174" spans="1:2">
      <c r="A174" s="16" t="s">
        <v>175</v>
      </c>
      <c r="B174" s="15" t="s">
        <v>573</v>
      </c>
    </row>
    <row r="175" spans="1:2">
      <c r="A175" s="16" t="s">
        <v>176</v>
      </c>
      <c r="B175" s="15" t="s">
        <v>574</v>
      </c>
    </row>
    <row r="176" spans="1:2">
      <c r="A176" s="16" t="s">
        <v>177</v>
      </c>
      <c r="B176" s="15" t="s">
        <v>575</v>
      </c>
    </row>
    <row r="177" spans="1:2">
      <c r="A177" s="16" t="s">
        <v>178</v>
      </c>
      <c r="B177" s="15" t="s">
        <v>576</v>
      </c>
    </row>
    <row r="178" spans="1:2">
      <c r="A178" s="16" t="s">
        <v>179</v>
      </c>
      <c r="B178" s="15" t="s">
        <v>577</v>
      </c>
    </row>
    <row r="179" spans="1:2">
      <c r="A179" s="16" t="s">
        <v>180</v>
      </c>
      <c r="B179" s="15" t="s">
        <v>578</v>
      </c>
    </row>
    <row r="180" spans="1:2">
      <c r="A180" s="16" t="s">
        <v>181</v>
      </c>
      <c r="B180" s="15" t="s">
        <v>579</v>
      </c>
    </row>
    <row r="181" spans="1:2">
      <c r="A181" s="16" t="s">
        <v>182</v>
      </c>
      <c r="B181" s="15" t="s">
        <v>580</v>
      </c>
    </row>
    <row r="182" spans="1:2">
      <c r="A182" s="16" t="s">
        <v>183</v>
      </c>
      <c r="B182" s="15" t="s">
        <v>581</v>
      </c>
    </row>
    <row r="183" spans="1:2">
      <c r="A183" s="16" t="s">
        <v>184</v>
      </c>
      <c r="B183" s="15" t="s">
        <v>582</v>
      </c>
    </row>
    <row r="184" spans="1:2">
      <c r="A184" s="16" t="s">
        <v>185</v>
      </c>
      <c r="B184" s="15" t="s">
        <v>583</v>
      </c>
    </row>
    <row r="185" spans="1:2">
      <c r="A185" s="16" t="s">
        <v>186</v>
      </c>
      <c r="B185" s="15" t="s">
        <v>584</v>
      </c>
    </row>
    <row r="186" spans="1:2">
      <c r="A186" s="16" t="s">
        <v>187</v>
      </c>
      <c r="B186" s="15" t="s">
        <v>585</v>
      </c>
    </row>
    <row r="187" spans="1:2">
      <c r="A187" s="16" t="s">
        <v>188</v>
      </c>
      <c r="B187" s="15" t="s">
        <v>586</v>
      </c>
    </row>
    <row r="188" spans="1:2">
      <c r="A188" s="16" t="s">
        <v>189</v>
      </c>
      <c r="B188" s="15" t="s">
        <v>587</v>
      </c>
    </row>
    <row r="189" spans="1:2">
      <c r="A189" s="16" t="s">
        <v>190</v>
      </c>
      <c r="B189" s="15" t="s">
        <v>588</v>
      </c>
    </row>
    <row r="190" spans="1:2">
      <c r="A190" s="16" t="s">
        <v>191</v>
      </c>
      <c r="B190" s="15" t="s">
        <v>589</v>
      </c>
    </row>
    <row r="191" spans="1:2">
      <c r="A191" s="16" t="s">
        <v>192</v>
      </c>
      <c r="B191" s="15" t="s">
        <v>590</v>
      </c>
    </row>
    <row r="192" spans="1:2">
      <c r="A192" s="16" t="s">
        <v>193</v>
      </c>
      <c r="B192" s="15" t="s">
        <v>591</v>
      </c>
    </row>
    <row r="193" spans="1:2">
      <c r="A193" s="16" t="s">
        <v>194</v>
      </c>
      <c r="B193" s="15" t="s">
        <v>592</v>
      </c>
    </row>
    <row r="194" spans="1:2">
      <c r="A194" s="16" t="s">
        <v>195</v>
      </c>
      <c r="B194" s="15" t="s">
        <v>593</v>
      </c>
    </row>
    <row r="195" spans="1:2">
      <c r="A195" s="16" t="s">
        <v>196</v>
      </c>
      <c r="B195" s="15" t="s">
        <v>594</v>
      </c>
    </row>
    <row r="196" spans="1:2">
      <c r="A196" s="16" t="s">
        <v>197</v>
      </c>
      <c r="B196" s="15" t="s">
        <v>595</v>
      </c>
    </row>
    <row r="197" spans="1:2">
      <c r="A197" s="16" t="s">
        <v>198</v>
      </c>
      <c r="B197" s="15" t="s">
        <v>596</v>
      </c>
    </row>
    <row r="198" spans="1:2">
      <c r="A198" s="16" t="s">
        <v>199</v>
      </c>
      <c r="B198" s="15" t="s">
        <v>597</v>
      </c>
    </row>
    <row r="199" spans="1:2">
      <c r="A199" s="16" t="s">
        <v>200</v>
      </c>
      <c r="B199" s="15" t="s">
        <v>598</v>
      </c>
    </row>
    <row r="200" spans="1:2">
      <c r="A200" s="16" t="s">
        <v>201</v>
      </c>
      <c r="B200" s="15" t="s">
        <v>599</v>
      </c>
    </row>
    <row r="201" spans="1:2">
      <c r="A201" s="16" t="s">
        <v>202</v>
      </c>
      <c r="B201" s="15" t="s">
        <v>600</v>
      </c>
    </row>
    <row r="202" spans="1:2">
      <c r="A202" s="16" t="s">
        <v>203</v>
      </c>
      <c r="B202" s="15" t="s">
        <v>601</v>
      </c>
    </row>
    <row r="203" spans="1:2">
      <c r="A203" s="16" t="s">
        <v>204</v>
      </c>
      <c r="B203" s="15" t="s">
        <v>602</v>
      </c>
    </row>
    <row r="204" spans="1:2">
      <c r="A204" s="16" t="s">
        <v>205</v>
      </c>
      <c r="B204" s="15" t="s">
        <v>603</v>
      </c>
    </row>
    <row r="205" spans="1:2">
      <c r="A205" s="16" t="s">
        <v>206</v>
      </c>
      <c r="B205" s="15" t="s">
        <v>604</v>
      </c>
    </row>
    <row r="206" spans="1:2">
      <c r="A206" s="16" t="s">
        <v>207</v>
      </c>
      <c r="B206" s="15" t="s">
        <v>605</v>
      </c>
    </row>
    <row r="207" spans="1:2">
      <c r="A207" s="16" t="s">
        <v>208</v>
      </c>
      <c r="B207" s="15" t="s">
        <v>606</v>
      </c>
    </row>
    <row r="208" spans="1:2">
      <c r="A208" s="16" t="s">
        <v>209</v>
      </c>
      <c r="B208" s="15" t="s">
        <v>607</v>
      </c>
    </row>
    <row r="209" spans="1:2">
      <c r="A209" s="16" t="s">
        <v>210</v>
      </c>
      <c r="B209" s="15" t="s">
        <v>608</v>
      </c>
    </row>
    <row r="210" spans="1:2">
      <c r="A210" s="16" t="s">
        <v>211</v>
      </c>
      <c r="B210" s="15" t="s">
        <v>609</v>
      </c>
    </row>
    <row r="211" spans="1:2">
      <c r="A211" s="16" t="s">
        <v>212</v>
      </c>
      <c r="B211" s="15" t="s">
        <v>610</v>
      </c>
    </row>
    <row r="212" spans="1:2">
      <c r="A212" s="16" t="s">
        <v>213</v>
      </c>
      <c r="B212" s="15" t="s">
        <v>611</v>
      </c>
    </row>
    <row r="213" spans="1:2">
      <c r="A213" s="16" t="s">
        <v>214</v>
      </c>
      <c r="B213" s="15" t="s">
        <v>612</v>
      </c>
    </row>
    <row r="214" spans="1:2">
      <c r="A214" s="16" t="s">
        <v>215</v>
      </c>
      <c r="B214" s="15" t="s">
        <v>613</v>
      </c>
    </row>
    <row r="215" spans="1:2">
      <c r="A215" s="16" t="s">
        <v>216</v>
      </c>
      <c r="B215" s="15" t="s">
        <v>614</v>
      </c>
    </row>
    <row r="216" spans="1:2">
      <c r="A216" s="16" t="s">
        <v>217</v>
      </c>
      <c r="B216" s="15" t="s">
        <v>615</v>
      </c>
    </row>
    <row r="217" spans="1:2">
      <c r="A217" s="16" t="s">
        <v>218</v>
      </c>
      <c r="B217" s="15" t="s">
        <v>616</v>
      </c>
    </row>
    <row r="218" spans="1:2">
      <c r="A218" s="16" t="s">
        <v>219</v>
      </c>
      <c r="B218" s="15" t="s">
        <v>617</v>
      </c>
    </row>
    <row r="219" spans="1:2">
      <c r="A219" s="16" t="s">
        <v>220</v>
      </c>
      <c r="B219" s="15" t="s">
        <v>618</v>
      </c>
    </row>
    <row r="220" spans="1:2">
      <c r="A220" s="16" t="s">
        <v>221</v>
      </c>
      <c r="B220" s="15" t="s">
        <v>619</v>
      </c>
    </row>
    <row r="221" spans="1:2">
      <c r="A221" s="16" t="s">
        <v>222</v>
      </c>
      <c r="B221" s="15" t="s">
        <v>620</v>
      </c>
    </row>
    <row r="222" spans="1:2">
      <c r="A222" s="16" t="s">
        <v>223</v>
      </c>
      <c r="B222" s="15" t="s">
        <v>621</v>
      </c>
    </row>
    <row r="223" spans="1:2">
      <c r="A223" s="16" t="s">
        <v>224</v>
      </c>
      <c r="B223" s="15" t="s">
        <v>622</v>
      </c>
    </row>
    <row r="224" spans="1:2">
      <c r="A224" s="16" t="s">
        <v>225</v>
      </c>
      <c r="B224" s="15" t="s">
        <v>623</v>
      </c>
    </row>
    <row r="225" spans="1:2">
      <c r="A225" s="16" t="s">
        <v>226</v>
      </c>
      <c r="B225" s="15" t="s">
        <v>624</v>
      </c>
    </row>
    <row r="226" spans="1:2">
      <c r="A226" s="16" t="s">
        <v>227</v>
      </c>
      <c r="B226" s="15" t="s">
        <v>625</v>
      </c>
    </row>
    <row r="227" spans="1:2">
      <c r="A227" s="16" t="s">
        <v>228</v>
      </c>
      <c r="B227" s="15" t="s">
        <v>626</v>
      </c>
    </row>
    <row r="228" spans="1:2">
      <c r="A228" s="16" t="s">
        <v>229</v>
      </c>
      <c r="B228" s="15" t="s">
        <v>627</v>
      </c>
    </row>
    <row r="229" spans="1:2">
      <c r="A229" s="16" t="s">
        <v>230</v>
      </c>
      <c r="B229" s="15" t="s">
        <v>628</v>
      </c>
    </row>
    <row r="230" spans="1:2">
      <c r="A230" s="16" t="s">
        <v>231</v>
      </c>
      <c r="B230" s="15" t="s">
        <v>629</v>
      </c>
    </row>
    <row r="231" spans="1:2">
      <c r="A231" s="16" t="s">
        <v>232</v>
      </c>
      <c r="B231" s="15" t="s">
        <v>630</v>
      </c>
    </row>
    <row r="232" spans="1:2">
      <c r="A232" s="16" t="s">
        <v>233</v>
      </c>
      <c r="B232" s="15" t="s">
        <v>631</v>
      </c>
    </row>
    <row r="233" spans="1:2">
      <c r="A233" s="16" t="s">
        <v>234</v>
      </c>
      <c r="B233" s="15" t="s">
        <v>632</v>
      </c>
    </row>
    <row r="234" spans="1:2">
      <c r="A234" s="16" t="s">
        <v>235</v>
      </c>
      <c r="B234" s="15" t="s">
        <v>633</v>
      </c>
    </row>
    <row r="235" spans="1:2">
      <c r="A235" s="16" t="s">
        <v>236</v>
      </c>
      <c r="B235" s="15" t="s">
        <v>634</v>
      </c>
    </row>
    <row r="236" spans="1:2">
      <c r="A236" s="16" t="s">
        <v>237</v>
      </c>
      <c r="B236" s="15" t="s">
        <v>635</v>
      </c>
    </row>
    <row r="237" spans="1:2">
      <c r="A237" s="16" t="s">
        <v>238</v>
      </c>
      <c r="B237" s="15" t="s">
        <v>636</v>
      </c>
    </row>
    <row r="238" spans="1:2">
      <c r="A238" s="16" t="s">
        <v>239</v>
      </c>
      <c r="B238" s="15" t="s">
        <v>637</v>
      </c>
    </row>
    <row r="239" spans="1:2">
      <c r="A239" s="16" t="s">
        <v>240</v>
      </c>
      <c r="B239" s="15" t="s">
        <v>638</v>
      </c>
    </row>
    <row r="240" spans="1:2">
      <c r="A240" s="16" t="s">
        <v>241</v>
      </c>
      <c r="B240" s="15" t="s">
        <v>639</v>
      </c>
    </row>
    <row r="241" spans="1:2">
      <c r="A241" s="16" t="s">
        <v>242</v>
      </c>
      <c r="B241" s="15" t="s">
        <v>640</v>
      </c>
    </row>
    <row r="242" spans="1:2">
      <c r="A242" s="16" t="s">
        <v>243</v>
      </c>
      <c r="B242" s="15" t="s">
        <v>641</v>
      </c>
    </row>
    <row r="243" spans="1:2">
      <c r="A243" s="16" t="s">
        <v>244</v>
      </c>
      <c r="B243" s="15" t="s">
        <v>642</v>
      </c>
    </row>
    <row r="244" spans="1:2">
      <c r="A244" s="16" t="s">
        <v>245</v>
      </c>
      <c r="B244" s="15" t="s">
        <v>643</v>
      </c>
    </row>
    <row r="245" spans="1:2">
      <c r="A245" s="16" t="s">
        <v>246</v>
      </c>
      <c r="B245" s="15" t="s">
        <v>644</v>
      </c>
    </row>
    <row r="246" spans="1:2">
      <c r="A246" s="16" t="s">
        <v>247</v>
      </c>
      <c r="B246" s="15" t="s">
        <v>645</v>
      </c>
    </row>
    <row r="247" spans="1:2">
      <c r="A247" s="16" t="s">
        <v>248</v>
      </c>
      <c r="B247" s="15" t="s">
        <v>646</v>
      </c>
    </row>
    <row r="248" spans="1:2">
      <c r="A248" s="16" t="s">
        <v>249</v>
      </c>
      <c r="B248" s="15" t="s">
        <v>647</v>
      </c>
    </row>
    <row r="249" spans="1:2">
      <c r="A249" s="16" t="s">
        <v>250</v>
      </c>
      <c r="B249" s="15" t="s">
        <v>648</v>
      </c>
    </row>
    <row r="250" spans="1:2">
      <c r="A250" s="16" t="s">
        <v>251</v>
      </c>
      <c r="B250" s="15" t="s">
        <v>649</v>
      </c>
    </row>
    <row r="251" spans="1:2">
      <c r="A251" s="16" t="s">
        <v>252</v>
      </c>
      <c r="B251" s="15" t="s">
        <v>650</v>
      </c>
    </row>
    <row r="252" spans="1:2">
      <c r="A252" s="16" t="s">
        <v>253</v>
      </c>
      <c r="B252" s="15" t="s">
        <v>651</v>
      </c>
    </row>
    <row r="253" spans="1:2">
      <c r="A253" s="16" t="s">
        <v>254</v>
      </c>
      <c r="B253" s="15" t="s">
        <v>652</v>
      </c>
    </row>
    <row r="254" spans="1:2">
      <c r="A254" s="16" t="s">
        <v>255</v>
      </c>
      <c r="B254" s="15" t="s">
        <v>653</v>
      </c>
    </row>
    <row r="255" spans="1:2">
      <c r="A255" s="16" t="s">
        <v>256</v>
      </c>
      <c r="B255" s="15" t="s">
        <v>654</v>
      </c>
    </row>
    <row r="256" spans="1:2">
      <c r="A256" s="16" t="s">
        <v>257</v>
      </c>
      <c r="B256" s="15" t="s">
        <v>655</v>
      </c>
    </row>
    <row r="257" spans="1:2">
      <c r="A257" s="16" t="s">
        <v>258</v>
      </c>
      <c r="B257" s="15" t="s">
        <v>656</v>
      </c>
    </row>
    <row r="258" spans="1:2">
      <c r="A258" s="16" t="s">
        <v>259</v>
      </c>
      <c r="B258" s="15" t="s">
        <v>657</v>
      </c>
    </row>
    <row r="259" spans="1:2">
      <c r="A259" s="16" t="s">
        <v>260</v>
      </c>
      <c r="B259" s="15" t="s">
        <v>658</v>
      </c>
    </row>
    <row r="260" spans="1:2">
      <c r="A260" s="16" t="s">
        <v>261</v>
      </c>
      <c r="B260" s="15" t="s">
        <v>659</v>
      </c>
    </row>
    <row r="261" spans="1:2">
      <c r="A261" s="16" t="s">
        <v>262</v>
      </c>
      <c r="B261" s="15" t="s">
        <v>660</v>
      </c>
    </row>
    <row r="262" spans="1:2">
      <c r="A262" s="16" t="s">
        <v>263</v>
      </c>
      <c r="B262" s="15" t="s">
        <v>661</v>
      </c>
    </row>
    <row r="263" spans="1:2">
      <c r="A263" s="16" t="s">
        <v>264</v>
      </c>
      <c r="B263" s="15" t="s">
        <v>662</v>
      </c>
    </row>
    <row r="264" spans="1:2">
      <c r="A264" s="16" t="s">
        <v>265</v>
      </c>
      <c r="B264" s="15" t="s">
        <v>663</v>
      </c>
    </row>
    <row r="265" spans="1:2">
      <c r="A265" s="16" t="s">
        <v>266</v>
      </c>
      <c r="B265" s="15" t="s">
        <v>664</v>
      </c>
    </row>
    <row r="266" spans="1:2">
      <c r="A266" s="16" t="s">
        <v>267</v>
      </c>
      <c r="B266" s="15" t="s">
        <v>665</v>
      </c>
    </row>
    <row r="267" spans="1:2">
      <c r="A267" s="16" t="s">
        <v>268</v>
      </c>
      <c r="B267" s="15" t="s">
        <v>666</v>
      </c>
    </row>
    <row r="268" spans="1:2">
      <c r="A268" s="16" t="s">
        <v>269</v>
      </c>
      <c r="B268" s="15" t="s">
        <v>667</v>
      </c>
    </row>
    <row r="269" spans="1:2">
      <c r="A269" s="16" t="s">
        <v>270</v>
      </c>
      <c r="B269" s="15" t="s">
        <v>668</v>
      </c>
    </row>
    <row r="270" spans="1:2">
      <c r="A270" s="16" t="s">
        <v>271</v>
      </c>
      <c r="B270" s="15" t="s">
        <v>669</v>
      </c>
    </row>
    <row r="271" spans="1:2">
      <c r="A271" s="16" t="s">
        <v>272</v>
      </c>
      <c r="B271" s="15" t="s">
        <v>670</v>
      </c>
    </row>
    <row r="272" spans="1:2">
      <c r="A272" s="16" t="s">
        <v>273</v>
      </c>
      <c r="B272" s="15" t="s">
        <v>671</v>
      </c>
    </row>
    <row r="273" spans="1:2">
      <c r="A273" s="16" t="s">
        <v>274</v>
      </c>
      <c r="B273" s="15" t="s">
        <v>672</v>
      </c>
    </row>
    <row r="274" spans="1:2">
      <c r="A274" s="16" t="s">
        <v>275</v>
      </c>
      <c r="B274" s="15" t="s">
        <v>673</v>
      </c>
    </row>
    <row r="275" spans="1:2">
      <c r="A275" s="16" t="s">
        <v>276</v>
      </c>
      <c r="B275" s="15" t="s">
        <v>674</v>
      </c>
    </row>
    <row r="276" spans="1:2">
      <c r="A276" s="16" t="s">
        <v>277</v>
      </c>
      <c r="B276" s="15" t="s">
        <v>675</v>
      </c>
    </row>
    <row r="277" spans="1:2">
      <c r="A277" s="16" t="s">
        <v>278</v>
      </c>
      <c r="B277" s="15" t="s">
        <v>676</v>
      </c>
    </row>
    <row r="278" spans="1:2">
      <c r="A278" s="16" t="s">
        <v>279</v>
      </c>
      <c r="B278" s="15" t="s">
        <v>677</v>
      </c>
    </row>
    <row r="279" spans="1:2">
      <c r="A279" s="16" t="s">
        <v>280</v>
      </c>
      <c r="B279" s="15" t="s">
        <v>678</v>
      </c>
    </row>
    <row r="280" spans="1:2">
      <c r="A280" s="16" t="s">
        <v>281</v>
      </c>
      <c r="B280" s="15" t="s">
        <v>679</v>
      </c>
    </row>
    <row r="281" spans="1:2">
      <c r="A281" s="16" t="s">
        <v>282</v>
      </c>
      <c r="B281" s="15" t="s">
        <v>680</v>
      </c>
    </row>
    <row r="282" spans="1:2">
      <c r="A282" s="16" t="s">
        <v>283</v>
      </c>
      <c r="B282" s="15" t="s">
        <v>681</v>
      </c>
    </row>
    <row r="283" spans="1:2">
      <c r="A283" s="16" t="s">
        <v>284</v>
      </c>
      <c r="B283" s="15" t="s">
        <v>682</v>
      </c>
    </row>
    <row r="284" spans="1:2">
      <c r="A284" s="16" t="s">
        <v>285</v>
      </c>
      <c r="B284" s="15" t="s">
        <v>683</v>
      </c>
    </row>
    <row r="285" spans="1:2">
      <c r="A285" s="16" t="s">
        <v>286</v>
      </c>
      <c r="B285" s="15" t="s">
        <v>684</v>
      </c>
    </row>
    <row r="286" spans="1:2">
      <c r="A286" s="16" t="s">
        <v>287</v>
      </c>
      <c r="B286" s="15" t="s">
        <v>685</v>
      </c>
    </row>
    <row r="287" spans="1:2">
      <c r="A287" s="16" t="s">
        <v>288</v>
      </c>
      <c r="B287" s="15" t="s">
        <v>686</v>
      </c>
    </row>
    <row r="288" spans="1:2">
      <c r="A288" s="16" t="s">
        <v>289</v>
      </c>
      <c r="B288" s="15" t="s">
        <v>687</v>
      </c>
    </row>
    <row r="289" spans="1:2">
      <c r="A289" s="16" t="s">
        <v>290</v>
      </c>
      <c r="B289" s="15" t="s">
        <v>688</v>
      </c>
    </row>
    <row r="290" spans="1:2">
      <c r="A290" s="16" t="s">
        <v>291</v>
      </c>
      <c r="B290" s="15" t="s">
        <v>689</v>
      </c>
    </row>
    <row r="291" spans="1:2">
      <c r="A291" s="16" t="s">
        <v>292</v>
      </c>
      <c r="B291" s="15" t="s">
        <v>690</v>
      </c>
    </row>
    <row r="292" spans="1:2">
      <c r="A292" s="16" t="s">
        <v>293</v>
      </c>
      <c r="B292" s="15" t="s">
        <v>691</v>
      </c>
    </row>
    <row r="293" spans="1:2">
      <c r="A293" s="16" t="s">
        <v>294</v>
      </c>
      <c r="B293" s="15" t="s">
        <v>692</v>
      </c>
    </row>
    <row r="294" spans="1:2">
      <c r="A294" s="16" t="s">
        <v>295</v>
      </c>
      <c r="B294" s="15" t="s">
        <v>693</v>
      </c>
    </row>
    <row r="295" spans="1:2">
      <c r="A295" s="16" t="s">
        <v>296</v>
      </c>
      <c r="B295" s="15" t="s">
        <v>694</v>
      </c>
    </row>
    <row r="296" spans="1:2">
      <c r="A296" s="16" t="s">
        <v>297</v>
      </c>
      <c r="B296" s="15" t="s">
        <v>695</v>
      </c>
    </row>
    <row r="297" spans="1:2">
      <c r="A297" s="16" t="s">
        <v>298</v>
      </c>
      <c r="B297" s="15" t="s">
        <v>696</v>
      </c>
    </row>
    <row r="298" spans="1:2">
      <c r="A298" s="16" t="s">
        <v>299</v>
      </c>
      <c r="B298" s="15" t="s">
        <v>697</v>
      </c>
    </row>
    <row r="299" spans="1:2">
      <c r="A299" s="16" t="s">
        <v>300</v>
      </c>
      <c r="B299" s="15" t="s">
        <v>698</v>
      </c>
    </row>
    <row r="300" spans="1:2">
      <c r="A300" s="16" t="s">
        <v>301</v>
      </c>
      <c r="B300" s="15" t="s">
        <v>699</v>
      </c>
    </row>
    <row r="301" spans="1:2">
      <c r="A301" s="16" t="s">
        <v>302</v>
      </c>
      <c r="B301" s="15" t="s">
        <v>700</v>
      </c>
    </row>
    <row r="302" spans="1:2">
      <c r="A302" s="16" t="s">
        <v>303</v>
      </c>
      <c r="B302" s="15" t="s">
        <v>701</v>
      </c>
    </row>
    <row r="303" spans="1:2">
      <c r="A303" s="16" t="s">
        <v>304</v>
      </c>
      <c r="B303" s="15" t="s">
        <v>702</v>
      </c>
    </row>
    <row r="304" spans="1:2">
      <c r="A304" s="16" t="s">
        <v>305</v>
      </c>
      <c r="B304" s="15" t="s">
        <v>703</v>
      </c>
    </row>
    <row r="305" spans="1:2">
      <c r="A305" s="16" t="s">
        <v>306</v>
      </c>
      <c r="B305" s="15" t="s">
        <v>704</v>
      </c>
    </row>
    <row r="306" spans="1:2">
      <c r="A306" s="16" t="s">
        <v>307</v>
      </c>
      <c r="B306" s="15" t="s">
        <v>705</v>
      </c>
    </row>
    <row r="307" spans="1:2">
      <c r="A307" s="16" t="s">
        <v>308</v>
      </c>
      <c r="B307" s="15" t="s">
        <v>706</v>
      </c>
    </row>
    <row r="308" spans="1:2">
      <c r="A308" s="16" t="s">
        <v>309</v>
      </c>
      <c r="B308" s="15" t="s">
        <v>707</v>
      </c>
    </row>
    <row r="309" spans="1:2">
      <c r="A309" s="16" t="s">
        <v>310</v>
      </c>
      <c r="B309" s="15" t="s">
        <v>708</v>
      </c>
    </row>
    <row r="310" spans="1:2">
      <c r="A310" s="16" t="s">
        <v>311</v>
      </c>
      <c r="B310" s="15" t="s">
        <v>709</v>
      </c>
    </row>
    <row r="311" spans="1:2">
      <c r="A311" s="16" t="s">
        <v>312</v>
      </c>
      <c r="B311" s="15" t="s">
        <v>710</v>
      </c>
    </row>
    <row r="312" spans="1:2">
      <c r="A312" s="16" t="s">
        <v>313</v>
      </c>
      <c r="B312" s="15" t="s">
        <v>711</v>
      </c>
    </row>
    <row r="313" spans="1:2">
      <c r="A313" s="16" t="s">
        <v>314</v>
      </c>
      <c r="B313" s="15" t="s">
        <v>712</v>
      </c>
    </row>
    <row r="314" spans="1:2">
      <c r="A314" s="16" t="s">
        <v>315</v>
      </c>
      <c r="B314" s="15" t="s">
        <v>713</v>
      </c>
    </row>
    <row r="315" spans="1:2">
      <c r="A315" s="16" t="s">
        <v>316</v>
      </c>
      <c r="B315" s="15" t="s">
        <v>714</v>
      </c>
    </row>
    <row r="316" spans="1:2">
      <c r="A316" s="16" t="s">
        <v>317</v>
      </c>
      <c r="B316" s="15" t="s">
        <v>715</v>
      </c>
    </row>
    <row r="317" spans="1:2">
      <c r="A317" s="16" t="s">
        <v>318</v>
      </c>
      <c r="B317" s="15" t="s">
        <v>716</v>
      </c>
    </row>
    <row r="318" spans="1:2">
      <c r="A318" s="16" t="s">
        <v>319</v>
      </c>
      <c r="B318" s="15" t="s">
        <v>717</v>
      </c>
    </row>
    <row r="319" spans="1:2">
      <c r="A319" s="16" t="s">
        <v>320</v>
      </c>
      <c r="B319" s="15" t="s">
        <v>718</v>
      </c>
    </row>
    <row r="320" spans="1:2">
      <c r="A320" s="16" t="s">
        <v>321</v>
      </c>
      <c r="B320" s="15" t="s">
        <v>719</v>
      </c>
    </row>
    <row r="321" spans="1:2">
      <c r="A321" s="16" t="s">
        <v>322</v>
      </c>
      <c r="B321" s="15" t="s">
        <v>720</v>
      </c>
    </row>
    <row r="322" spans="1:2">
      <c r="A322" s="16" t="s">
        <v>323</v>
      </c>
      <c r="B322" s="15" t="s">
        <v>721</v>
      </c>
    </row>
    <row r="323" spans="1:2">
      <c r="A323" s="16" t="s">
        <v>324</v>
      </c>
      <c r="B323" s="15" t="s">
        <v>722</v>
      </c>
    </row>
    <row r="324" spans="1:2">
      <c r="A324" s="16" t="s">
        <v>325</v>
      </c>
      <c r="B324" s="15" t="s">
        <v>723</v>
      </c>
    </row>
    <row r="325" spans="1:2">
      <c r="A325" s="16" t="s">
        <v>326</v>
      </c>
      <c r="B325" s="15" t="s">
        <v>724</v>
      </c>
    </row>
    <row r="326" spans="1:2">
      <c r="A326" s="16" t="s">
        <v>327</v>
      </c>
      <c r="B326" s="15" t="s">
        <v>725</v>
      </c>
    </row>
    <row r="327" spans="1:2">
      <c r="A327" s="16" t="s">
        <v>328</v>
      </c>
      <c r="B327" s="15" t="s">
        <v>726</v>
      </c>
    </row>
    <row r="328" spans="1:2">
      <c r="A328" s="16" t="s">
        <v>329</v>
      </c>
      <c r="B328" s="15" t="s">
        <v>727</v>
      </c>
    </row>
    <row r="329" spans="1:2">
      <c r="A329" s="16" t="s">
        <v>330</v>
      </c>
      <c r="B329" s="15" t="s">
        <v>728</v>
      </c>
    </row>
    <row r="330" spans="1:2">
      <c r="A330" s="16" t="s">
        <v>331</v>
      </c>
      <c r="B330" s="15" t="s">
        <v>729</v>
      </c>
    </row>
    <row r="331" spans="1:2">
      <c r="A331" s="16" t="s">
        <v>332</v>
      </c>
      <c r="B331" s="15" t="s">
        <v>730</v>
      </c>
    </row>
    <row r="332" spans="1:2">
      <c r="A332" s="16" t="s">
        <v>333</v>
      </c>
      <c r="B332" s="15" t="s">
        <v>731</v>
      </c>
    </row>
    <row r="333" spans="1:2">
      <c r="A333" s="16" t="s">
        <v>334</v>
      </c>
      <c r="B333" s="15" t="s">
        <v>732</v>
      </c>
    </row>
    <row r="334" spans="1:2">
      <c r="A334" s="16" t="s">
        <v>335</v>
      </c>
      <c r="B334" s="15" t="s">
        <v>733</v>
      </c>
    </row>
    <row r="335" spans="1:2">
      <c r="A335" s="16" t="s">
        <v>336</v>
      </c>
      <c r="B335" s="15" t="s">
        <v>734</v>
      </c>
    </row>
    <row r="336" spans="1:2">
      <c r="A336" s="16" t="s">
        <v>337</v>
      </c>
      <c r="B336" s="15" t="s">
        <v>735</v>
      </c>
    </row>
    <row r="337" spans="1:2">
      <c r="A337" s="16" t="s">
        <v>338</v>
      </c>
      <c r="B337" s="15" t="s">
        <v>736</v>
      </c>
    </row>
    <row r="338" spans="1:2">
      <c r="A338" s="16" t="s">
        <v>339</v>
      </c>
      <c r="B338" s="15" t="s">
        <v>737</v>
      </c>
    </row>
    <row r="339" spans="1:2">
      <c r="A339" s="16" t="s">
        <v>340</v>
      </c>
      <c r="B339" s="15" t="s">
        <v>738</v>
      </c>
    </row>
    <row r="340" spans="1:2">
      <c r="A340" s="16" t="s">
        <v>341</v>
      </c>
      <c r="B340" s="15" t="s">
        <v>739</v>
      </c>
    </row>
    <row r="341" spans="1:2">
      <c r="A341" s="16" t="s">
        <v>342</v>
      </c>
      <c r="B341" s="15" t="s">
        <v>740</v>
      </c>
    </row>
    <row r="342" spans="1:2">
      <c r="A342" s="16" t="s">
        <v>343</v>
      </c>
      <c r="B342" s="15" t="s">
        <v>741</v>
      </c>
    </row>
    <row r="343" spans="1:2">
      <c r="A343" s="16" t="s">
        <v>344</v>
      </c>
      <c r="B343" s="15" t="s">
        <v>742</v>
      </c>
    </row>
    <row r="344" spans="1:2">
      <c r="A344" s="16" t="s">
        <v>345</v>
      </c>
      <c r="B344" s="15" t="s">
        <v>743</v>
      </c>
    </row>
    <row r="345" spans="1:2">
      <c r="A345" s="16" t="s">
        <v>346</v>
      </c>
      <c r="B345" s="15" t="s">
        <v>744</v>
      </c>
    </row>
    <row r="346" spans="1:2">
      <c r="A346" s="16" t="s">
        <v>347</v>
      </c>
      <c r="B346" s="15" t="s">
        <v>745</v>
      </c>
    </row>
    <row r="347" spans="1:2">
      <c r="A347" s="16" t="s">
        <v>348</v>
      </c>
      <c r="B347" s="15" t="s">
        <v>746</v>
      </c>
    </row>
    <row r="348" spans="1:2">
      <c r="A348" s="16" t="s">
        <v>349</v>
      </c>
      <c r="B348" s="15" t="s">
        <v>747</v>
      </c>
    </row>
    <row r="349" spans="1:2">
      <c r="A349" s="16" t="s">
        <v>350</v>
      </c>
      <c r="B349" s="15" t="s">
        <v>748</v>
      </c>
    </row>
    <row r="350" spans="1:2">
      <c r="A350" s="16" t="s">
        <v>351</v>
      </c>
      <c r="B350" s="15" t="s">
        <v>749</v>
      </c>
    </row>
    <row r="351" spans="1:2">
      <c r="A351" s="16" t="s">
        <v>352</v>
      </c>
      <c r="B351" s="15" t="s">
        <v>750</v>
      </c>
    </row>
    <row r="352" spans="1:2">
      <c r="A352" s="16" t="s">
        <v>353</v>
      </c>
      <c r="B352" s="15" t="s">
        <v>751</v>
      </c>
    </row>
    <row r="353" spans="1:2">
      <c r="A353" s="16" t="s">
        <v>354</v>
      </c>
      <c r="B353" s="15" t="s">
        <v>752</v>
      </c>
    </row>
    <row r="354" spans="1:2">
      <c r="A354" s="16" t="s">
        <v>355</v>
      </c>
      <c r="B354" s="15" t="s">
        <v>753</v>
      </c>
    </row>
    <row r="355" spans="1:2">
      <c r="A355" s="16" t="s">
        <v>356</v>
      </c>
      <c r="B355" s="15" t="s">
        <v>754</v>
      </c>
    </row>
    <row r="356" spans="1:2">
      <c r="A356" s="16" t="s">
        <v>357</v>
      </c>
      <c r="B356" s="15" t="s">
        <v>755</v>
      </c>
    </row>
    <row r="357" spans="1:2">
      <c r="A357" s="16" t="s">
        <v>358</v>
      </c>
      <c r="B357" s="15" t="s">
        <v>756</v>
      </c>
    </row>
    <row r="358" spans="1:2">
      <c r="A358" s="16" t="s">
        <v>359</v>
      </c>
      <c r="B358" s="15" t="s">
        <v>757</v>
      </c>
    </row>
    <row r="359" spans="1:2">
      <c r="A359" s="16" t="s">
        <v>360</v>
      </c>
      <c r="B359" s="15" t="s">
        <v>758</v>
      </c>
    </row>
    <row r="360" spans="1:2">
      <c r="A360" s="16" t="s">
        <v>361</v>
      </c>
      <c r="B360" s="15" t="s">
        <v>759</v>
      </c>
    </row>
    <row r="361" spans="1:2">
      <c r="A361" s="16" t="s">
        <v>362</v>
      </c>
      <c r="B361" s="15" t="s">
        <v>760</v>
      </c>
    </row>
    <row r="362" spans="1:2">
      <c r="A362" s="16" t="s">
        <v>363</v>
      </c>
      <c r="B362" s="15" t="s">
        <v>761</v>
      </c>
    </row>
    <row r="363" spans="1:2">
      <c r="A363" s="16" t="s">
        <v>364</v>
      </c>
      <c r="B363" s="15" t="s">
        <v>762</v>
      </c>
    </row>
    <row r="364" spans="1:2">
      <c r="A364" s="16" t="s">
        <v>365</v>
      </c>
      <c r="B364" s="15" t="s">
        <v>763</v>
      </c>
    </row>
    <row r="365" spans="1:2">
      <c r="A365" s="16" t="s">
        <v>366</v>
      </c>
      <c r="B365" s="15" t="s">
        <v>764</v>
      </c>
    </row>
    <row r="366" spans="1:2">
      <c r="A366" s="16" t="s">
        <v>367</v>
      </c>
      <c r="B366" s="15" t="s">
        <v>765</v>
      </c>
    </row>
    <row r="367" spans="1:2">
      <c r="A367" s="16" t="s">
        <v>368</v>
      </c>
      <c r="B367" s="15" t="s">
        <v>766</v>
      </c>
    </row>
    <row r="368" spans="1:2">
      <c r="A368" s="16" t="s">
        <v>369</v>
      </c>
      <c r="B368" s="15" t="s">
        <v>767</v>
      </c>
    </row>
    <row r="369" spans="1:2">
      <c r="A369" s="16" t="s">
        <v>370</v>
      </c>
      <c r="B369" s="15" t="s">
        <v>768</v>
      </c>
    </row>
    <row r="370" spans="1:2">
      <c r="A370" s="16" t="s">
        <v>371</v>
      </c>
      <c r="B370" s="15" t="s">
        <v>769</v>
      </c>
    </row>
    <row r="371" spans="1:2">
      <c r="A371" s="16" t="s">
        <v>372</v>
      </c>
      <c r="B371" s="15" t="s">
        <v>770</v>
      </c>
    </row>
    <row r="372" spans="1:2">
      <c r="A372" s="16" t="s">
        <v>373</v>
      </c>
      <c r="B372" s="15" t="s">
        <v>771</v>
      </c>
    </row>
    <row r="373" spans="1:2">
      <c r="A373" s="17" t="s">
        <v>374</v>
      </c>
      <c r="B373" s="15" t="s">
        <v>772</v>
      </c>
    </row>
    <row r="374" spans="1:2">
      <c r="A374" s="16" t="s">
        <v>375</v>
      </c>
      <c r="B374" s="15" t="s">
        <v>773</v>
      </c>
    </row>
    <row r="375" spans="1:2">
      <c r="A375" s="16" t="s">
        <v>376</v>
      </c>
      <c r="B375" s="15" t="s">
        <v>774</v>
      </c>
    </row>
    <row r="376" spans="1:2">
      <c r="A376" s="16" t="s">
        <v>377</v>
      </c>
      <c r="B376" s="15" t="s">
        <v>775</v>
      </c>
    </row>
    <row r="377" spans="1:2">
      <c r="A377" s="16" t="s">
        <v>378</v>
      </c>
      <c r="B377" s="15" t="s">
        <v>776</v>
      </c>
    </row>
    <row r="378" spans="1:2">
      <c r="A378" s="16" t="s">
        <v>379</v>
      </c>
      <c r="B378" s="15" t="s">
        <v>777</v>
      </c>
    </row>
    <row r="379" spans="1:2">
      <c r="A379" s="16" t="s">
        <v>380</v>
      </c>
      <c r="B379" s="15" t="s">
        <v>778</v>
      </c>
    </row>
    <row r="380" spans="1:2">
      <c r="A380" s="16" t="s">
        <v>381</v>
      </c>
      <c r="B380" s="15" t="s">
        <v>779</v>
      </c>
    </row>
    <row r="381" spans="1:2">
      <c r="A381" s="16" t="s">
        <v>382</v>
      </c>
      <c r="B381" s="15" t="s">
        <v>780</v>
      </c>
    </row>
    <row r="382" spans="1:2">
      <c r="A382" s="16" t="s">
        <v>383</v>
      </c>
      <c r="B382" s="15" t="s">
        <v>781</v>
      </c>
    </row>
    <row r="383" spans="1:2">
      <c r="A383" s="16" t="s">
        <v>384</v>
      </c>
      <c r="B383" s="15" t="s">
        <v>782</v>
      </c>
    </row>
    <row r="384" spans="1:2">
      <c r="A384" s="16" t="s">
        <v>385</v>
      </c>
      <c r="B384" s="15" t="s">
        <v>783</v>
      </c>
    </row>
    <row r="385" spans="1:2">
      <c r="A385" s="16" t="s">
        <v>386</v>
      </c>
      <c r="B385" s="15" t="s">
        <v>784</v>
      </c>
    </row>
    <row r="386" spans="1:2">
      <c r="A386" s="16" t="s">
        <v>387</v>
      </c>
      <c r="B386" s="15" t="s">
        <v>785</v>
      </c>
    </row>
    <row r="387" spans="1:2">
      <c r="A387" s="16" t="s">
        <v>388</v>
      </c>
      <c r="B387" s="15" t="s">
        <v>786</v>
      </c>
    </row>
    <row r="388" spans="1:2">
      <c r="A388" s="16" t="s">
        <v>389</v>
      </c>
      <c r="B388" s="15" t="s">
        <v>787</v>
      </c>
    </row>
    <row r="389" spans="1:2">
      <c r="A389" s="16" t="s">
        <v>390</v>
      </c>
      <c r="B389" s="15" t="s">
        <v>788</v>
      </c>
    </row>
    <row r="390" spans="1:2">
      <c r="A390" s="16" t="s">
        <v>391</v>
      </c>
      <c r="B390" s="15" t="s">
        <v>789</v>
      </c>
    </row>
    <row r="391" spans="1:2">
      <c r="A391" s="16" t="s">
        <v>392</v>
      </c>
      <c r="B391" s="15" t="s">
        <v>790</v>
      </c>
    </row>
    <row r="392" spans="1:2">
      <c r="A392" s="16" t="s">
        <v>393</v>
      </c>
      <c r="B392" s="15" t="s">
        <v>791</v>
      </c>
    </row>
    <row r="393" spans="1:2">
      <c r="A393" s="16" t="s">
        <v>394</v>
      </c>
      <c r="B393" s="15" t="s">
        <v>792</v>
      </c>
    </row>
    <row r="394" spans="1:2">
      <c r="A394" s="16" t="s">
        <v>395</v>
      </c>
      <c r="B394" s="15" t="s">
        <v>793</v>
      </c>
    </row>
    <row r="395" spans="1:2">
      <c r="A395" s="16" t="s">
        <v>396</v>
      </c>
      <c r="B395" s="15" t="s">
        <v>794</v>
      </c>
    </row>
    <row r="396" spans="1:2">
      <c r="A396" s="16" t="s">
        <v>397</v>
      </c>
      <c r="B396" s="15" t="s">
        <v>795</v>
      </c>
    </row>
    <row r="397" spans="1:2">
      <c r="A397" s="16" t="s">
        <v>398</v>
      </c>
      <c r="B397" s="15" t="s">
        <v>796</v>
      </c>
    </row>
    <row r="398" spans="1:2">
      <c r="A398" s="16" t="s">
        <v>399</v>
      </c>
      <c r="B398" s="15" t="s">
        <v>797</v>
      </c>
    </row>
    <row r="399" spans="1:2" ht="13.5" thickBot="1">
      <c r="A399" s="18" t="s">
        <v>400</v>
      </c>
      <c r="B399" s="15" t="s">
        <v>798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L399"/>
  <sheetViews>
    <sheetView topLeftCell="O1" workbookViewId="0">
      <selection sqref="A1:AL1"/>
    </sheetView>
  </sheetViews>
  <sheetFormatPr defaultRowHeight="12.75"/>
  <sheetData>
    <row r="1" spans="1:38">
      <c r="A1" s="24">
        <v>1</v>
      </c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</row>
    <row r="2" spans="1:38">
      <c r="A2" s="20">
        <v>-0.21540000000000001</v>
      </c>
      <c r="B2" s="20">
        <v>0.35270000000000001</v>
      </c>
      <c r="C2" s="20">
        <v>-0.18859999999999999</v>
      </c>
      <c r="D2" s="20">
        <v>0.1467</v>
      </c>
      <c r="E2" s="20">
        <v>4.5400000000000003E-2</v>
      </c>
      <c r="F2" s="20">
        <v>-0.1215</v>
      </c>
      <c r="G2" s="20">
        <v>-0.2863</v>
      </c>
      <c r="H2" s="20">
        <v>0.13270000000000001</v>
      </c>
      <c r="I2" s="20">
        <v>4.07E-2</v>
      </c>
      <c r="J2" s="20">
        <v>5.0000000000000001E-3</v>
      </c>
      <c r="K2" s="20">
        <v>-3.6200000000000003E-2</v>
      </c>
      <c r="L2" s="20">
        <v>0.14990000000000001</v>
      </c>
      <c r="M2" s="20">
        <v>7.9899999999999999E-2</v>
      </c>
      <c r="N2" s="20">
        <v>0.23480000000000001</v>
      </c>
      <c r="O2" s="20">
        <v>1.89E-2</v>
      </c>
      <c r="P2" s="20">
        <v>0.17219999999999999</v>
      </c>
      <c r="Q2" s="20">
        <v>0.17699999999999999</v>
      </c>
      <c r="R2" s="20">
        <v>-7.9899999999999999E-2</v>
      </c>
      <c r="S2" s="20">
        <v>9.0399999999999994E-2</v>
      </c>
      <c r="T2" s="20">
        <v>-2.8500000000000001E-2</v>
      </c>
      <c r="U2" s="20">
        <v>-8.8400000000000006E-2</v>
      </c>
      <c r="V2" s="20">
        <v>5.1700000000000003E-2</v>
      </c>
      <c r="W2" s="20">
        <v>-4.6100000000000002E-2</v>
      </c>
      <c r="X2" s="20">
        <v>-0.1706</v>
      </c>
      <c r="Y2" s="20">
        <v>1.66E-2</v>
      </c>
      <c r="Z2" s="20">
        <v>6.0999999999999999E-2</v>
      </c>
      <c r="AA2" s="20">
        <v>0.15720000000000001</v>
      </c>
      <c r="AB2" s="20">
        <v>6.1800000000000001E-2</v>
      </c>
      <c r="AC2" s="20">
        <v>-0.25359999999999999</v>
      </c>
      <c r="AD2" s="20">
        <v>-0.1542</v>
      </c>
      <c r="AE2" s="20">
        <v>0.11409999999999999</v>
      </c>
      <c r="AF2" s="20">
        <v>0.11840000000000001</v>
      </c>
      <c r="AG2" s="20">
        <v>-9.5699999999999993E-2</v>
      </c>
      <c r="AH2" s="20">
        <v>0.28599999999999998</v>
      </c>
      <c r="AI2" s="20">
        <v>-7.3800000000000004E-2</v>
      </c>
      <c r="AJ2" s="20">
        <v>-5.33E-2</v>
      </c>
      <c r="AK2" s="20">
        <v>-0.3841</v>
      </c>
      <c r="AL2" s="21">
        <v>-0.23649999999999999</v>
      </c>
    </row>
    <row r="3" spans="1:38">
      <c r="A3" s="20">
        <v>1.8499999999999999E-2</v>
      </c>
      <c r="B3" s="20">
        <v>0.39119999999999999</v>
      </c>
      <c r="C3" s="20">
        <v>1.38E-2</v>
      </c>
      <c r="D3" s="20">
        <v>8.2400000000000001E-2</v>
      </c>
      <c r="E3" s="20">
        <v>-2.75E-2</v>
      </c>
      <c r="F3" s="20">
        <v>8.2100000000000006E-2</v>
      </c>
      <c r="G3" s="20">
        <v>9.06E-2</v>
      </c>
      <c r="H3" s="20">
        <v>0.17050000000000001</v>
      </c>
      <c r="I3" s="20">
        <v>-0.17910000000000001</v>
      </c>
      <c r="J3" s="20">
        <v>-0.1022</v>
      </c>
      <c r="K3" s="20">
        <v>-3.9100000000000003E-2</v>
      </c>
      <c r="L3" s="20">
        <v>-0.1741</v>
      </c>
      <c r="M3" s="20">
        <v>-8.6300000000000002E-2</v>
      </c>
      <c r="N3" s="20">
        <v>7.7000000000000002E-3</v>
      </c>
      <c r="O3" s="20">
        <v>-2.8000000000000001E-2</v>
      </c>
      <c r="P3" s="20">
        <v>0.1186</v>
      </c>
      <c r="Q3" s="20">
        <v>-5.96E-2</v>
      </c>
      <c r="R3" s="20">
        <v>0.1623</v>
      </c>
      <c r="S3" s="20">
        <v>0.3352</v>
      </c>
      <c r="T3" s="20">
        <v>-9.4899999999999998E-2</v>
      </c>
      <c r="U3" s="20">
        <v>-0.1444</v>
      </c>
      <c r="V3" s="20">
        <v>0.1401</v>
      </c>
      <c r="W3" s="20">
        <v>-7.0000000000000007E-2</v>
      </c>
      <c r="X3" s="20">
        <v>0.1118</v>
      </c>
      <c r="Y3" s="20">
        <v>-0.1532</v>
      </c>
      <c r="Z3" s="20">
        <v>0.1106</v>
      </c>
      <c r="AA3" s="20">
        <v>0.3352</v>
      </c>
      <c r="AB3" s="20">
        <v>0.2009</v>
      </c>
      <c r="AC3" s="20">
        <v>3.5900000000000001E-2</v>
      </c>
      <c r="AD3" s="20">
        <v>-1.49E-2</v>
      </c>
      <c r="AE3" s="20">
        <v>-0.1313</v>
      </c>
      <c r="AF3" s="20">
        <v>-6.7299999999999999E-2</v>
      </c>
      <c r="AG3" s="20">
        <v>-0.28760000000000002</v>
      </c>
      <c r="AH3" s="20">
        <v>2.1100000000000001E-2</v>
      </c>
      <c r="AI3" s="20">
        <v>-0.32050000000000001</v>
      </c>
      <c r="AJ3" s="20">
        <v>-0.19750000000000001</v>
      </c>
      <c r="AK3" s="20">
        <v>-0.2281</v>
      </c>
      <c r="AL3" s="21">
        <v>-2.01E-2</v>
      </c>
    </row>
    <row r="4" spans="1:38">
      <c r="A4" s="20">
        <v>0.33729999999999999</v>
      </c>
      <c r="B4" s="20">
        <v>4.5999999999999999E-2</v>
      </c>
      <c r="C4" s="20">
        <v>0.12909999999999999</v>
      </c>
      <c r="D4" s="20">
        <v>-2.7000000000000001E-3</v>
      </c>
      <c r="E4" s="20">
        <v>0.37440000000000001</v>
      </c>
      <c r="F4" s="20">
        <v>-0.1477</v>
      </c>
      <c r="G4" s="20">
        <v>0.28949999999999998</v>
      </c>
      <c r="H4" s="20">
        <v>-3.39E-2</v>
      </c>
      <c r="I4" s="20">
        <v>0.214</v>
      </c>
      <c r="J4" s="20">
        <v>0.02</v>
      </c>
      <c r="K4" s="20">
        <v>-0.1094</v>
      </c>
      <c r="L4" s="20">
        <v>-0.219</v>
      </c>
      <c r="M4" s="20">
        <v>4.7199999999999999E-2</v>
      </c>
      <c r="N4" s="20">
        <v>2.8000000000000001E-2</v>
      </c>
      <c r="O4" s="20">
        <v>-6.1600000000000002E-2</v>
      </c>
      <c r="P4" s="20">
        <v>-0.30980000000000002</v>
      </c>
      <c r="Q4" s="20">
        <v>7.3400000000000007E-2</v>
      </c>
      <c r="R4" s="20">
        <v>0.1011</v>
      </c>
      <c r="S4" s="20">
        <v>-6.5699999999999995E-2</v>
      </c>
      <c r="T4" s="20">
        <v>-0.2137</v>
      </c>
      <c r="U4" s="20">
        <v>-5.04E-2</v>
      </c>
      <c r="V4" s="20">
        <v>3.5999999999999997E-2</v>
      </c>
      <c r="W4" s="20">
        <v>-8.4900000000000003E-2</v>
      </c>
      <c r="X4" s="20">
        <v>0.2137</v>
      </c>
      <c r="Y4" s="20">
        <v>3.6900000000000002E-2</v>
      </c>
      <c r="Z4" s="20">
        <v>0.14180000000000001</v>
      </c>
      <c r="AA4" s="20">
        <v>3.8899999999999997E-2</v>
      </c>
      <c r="AB4" s="20">
        <v>-0.19689999999999999</v>
      </c>
      <c r="AC4" s="20">
        <v>0.1595</v>
      </c>
      <c r="AD4" s="20">
        <v>-0.1167</v>
      </c>
      <c r="AE4" s="20">
        <v>5.96E-2</v>
      </c>
      <c r="AF4" s="20">
        <v>-9.1399999999999995E-2</v>
      </c>
      <c r="AG4" s="20">
        <v>1.8599999999999998E-2</v>
      </c>
      <c r="AH4" s="20">
        <v>-8.2500000000000004E-2</v>
      </c>
      <c r="AI4" s="20">
        <v>-8.5500000000000007E-2</v>
      </c>
      <c r="AJ4" s="20">
        <v>-0.29330000000000001</v>
      </c>
      <c r="AK4" s="20">
        <v>7.22E-2</v>
      </c>
      <c r="AL4" s="21">
        <v>-0.26590000000000003</v>
      </c>
    </row>
    <row r="5" spans="1:38">
      <c r="A5" s="20">
        <v>-0.123</v>
      </c>
      <c r="B5" s="20">
        <v>-0.25040000000000001</v>
      </c>
      <c r="C5" s="20">
        <v>6.2100000000000002E-2</v>
      </c>
      <c r="D5" s="20">
        <v>0.23960000000000001</v>
      </c>
      <c r="E5" s="20">
        <v>0.313</v>
      </c>
      <c r="F5" s="20">
        <v>-0.18079999999999999</v>
      </c>
      <c r="G5" s="20">
        <v>0.16009999999999999</v>
      </c>
      <c r="H5" s="20">
        <v>0.1532</v>
      </c>
      <c r="I5" s="20">
        <v>-4.2599999999999999E-2</v>
      </c>
      <c r="J5" s="20">
        <v>-0.18729999999999999</v>
      </c>
      <c r="K5" s="20">
        <v>-0.2266</v>
      </c>
      <c r="L5" s="20">
        <v>-0.3135</v>
      </c>
      <c r="M5" s="20">
        <v>4.3E-3</v>
      </c>
      <c r="N5" s="20">
        <v>8.1600000000000006E-2</v>
      </c>
      <c r="O5" s="20">
        <v>1E-3</v>
      </c>
      <c r="P5" s="20">
        <v>5.1000000000000004E-3</v>
      </c>
      <c r="Q5" s="20">
        <v>1.1299999999999999E-2</v>
      </c>
      <c r="R5" s="20">
        <v>0.105</v>
      </c>
      <c r="S5" s="20">
        <v>-7.1499999999999994E-2</v>
      </c>
      <c r="T5" s="20">
        <v>5.9200000000000003E-2</v>
      </c>
      <c r="U5" s="20">
        <v>4.36E-2</v>
      </c>
      <c r="V5" s="20">
        <v>4.7999999999999996E-3</v>
      </c>
      <c r="W5" s="20">
        <v>0.32679999999999998</v>
      </c>
      <c r="X5" s="20">
        <v>-6.7000000000000002E-3</v>
      </c>
      <c r="Y5" s="20">
        <v>-6.5000000000000002E-2</v>
      </c>
      <c r="Z5" s="20">
        <v>0.26419999999999999</v>
      </c>
      <c r="AA5" s="20">
        <v>-5.0099999999999999E-2</v>
      </c>
      <c r="AB5" s="20">
        <v>-0.12809999999999999</v>
      </c>
      <c r="AC5" s="20">
        <v>0.18729999999999999</v>
      </c>
      <c r="AD5" s="20">
        <v>-0.3034</v>
      </c>
      <c r="AE5" s="20">
        <v>-0.24679999999999999</v>
      </c>
      <c r="AF5" s="20">
        <v>-4.5999999999999999E-3</v>
      </c>
      <c r="AG5" s="20">
        <v>1.54E-2</v>
      </c>
      <c r="AH5" s="20">
        <v>-0.1358</v>
      </c>
      <c r="AI5" s="20">
        <v>3.5900000000000001E-2</v>
      </c>
      <c r="AJ5" s="20">
        <v>0.1782</v>
      </c>
      <c r="AK5" s="20">
        <v>0.15049999999999999</v>
      </c>
      <c r="AL5" s="21">
        <v>-6.2399999999999997E-2</v>
      </c>
    </row>
    <row r="6" spans="1:38">
      <c r="A6" s="20">
        <v>0.15609999999999999</v>
      </c>
      <c r="B6" s="20">
        <v>-0.1416</v>
      </c>
      <c r="C6" s="20">
        <v>0.14430000000000001</v>
      </c>
      <c r="D6" s="20">
        <v>0.15909999999999999</v>
      </c>
      <c r="E6" s="20">
        <v>5.8900000000000001E-2</v>
      </c>
      <c r="F6" s="20">
        <v>-1.9599999999999999E-2</v>
      </c>
      <c r="G6" s="20">
        <v>-0.13719999999999999</v>
      </c>
      <c r="H6" s="20">
        <v>-0.1323</v>
      </c>
      <c r="I6" s="20">
        <v>-6.08E-2</v>
      </c>
      <c r="J6" s="20">
        <v>3.44E-2</v>
      </c>
      <c r="K6" s="20">
        <v>-6.25E-2</v>
      </c>
      <c r="L6" s="20">
        <v>-0.18279999999999999</v>
      </c>
      <c r="M6" s="20">
        <v>-1.3899999999999999E-2</v>
      </c>
      <c r="N6" s="20">
        <v>-0.1236</v>
      </c>
      <c r="O6" s="20">
        <v>-0.1462</v>
      </c>
      <c r="P6" s="20">
        <v>0.24579999999999999</v>
      </c>
      <c r="Q6" s="20">
        <v>-0.40429999999999999</v>
      </c>
      <c r="R6" s="20">
        <v>-1.17E-2</v>
      </c>
      <c r="S6" s="20">
        <v>0.19209999999999999</v>
      </c>
      <c r="T6" s="20">
        <v>-8.2400000000000001E-2</v>
      </c>
      <c r="U6" s="20">
        <v>0.20349999999999999</v>
      </c>
      <c r="V6" s="20">
        <v>0.27829999999999999</v>
      </c>
      <c r="W6" s="20">
        <v>4.0899999999999999E-2</v>
      </c>
      <c r="X6" s="20">
        <v>-3.3599999999999998E-2</v>
      </c>
      <c r="Y6" s="20">
        <v>0.14319999999999999</v>
      </c>
      <c r="Z6" s="20">
        <v>-8.1000000000000003E-2</v>
      </c>
      <c r="AA6" s="20">
        <v>-6.93E-2</v>
      </c>
      <c r="AB6" s="20">
        <v>-0.1091</v>
      </c>
      <c r="AC6" s="20">
        <v>0.221</v>
      </c>
      <c r="AD6" s="20">
        <v>-2.2100000000000002E-2</v>
      </c>
      <c r="AE6" s="20">
        <v>-0.2412</v>
      </c>
      <c r="AF6" s="20">
        <v>6.4100000000000004E-2</v>
      </c>
      <c r="AG6" s="20">
        <v>-0.20130000000000001</v>
      </c>
      <c r="AH6" s="20">
        <v>-2.1600000000000001E-2</v>
      </c>
      <c r="AI6" s="20">
        <v>0.24060000000000001</v>
      </c>
      <c r="AJ6" s="20">
        <v>0.114</v>
      </c>
      <c r="AK6" s="20">
        <v>0.25919999999999999</v>
      </c>
      <c r="AL6" s="21">
        <v>-0.25750000000000001</v>
      </c>
    </row>
    <row r="7" spans="1:38">
      <c r="A7" s="20">
        <v>-0.20449999999999999</v>
      </c>
      <c r="B7" s="20">
        <v>-0.38109999999999999</v>
      </c>
      <c r="C7" s="20">
        <v>-6.83E-2</v>
      </c>
      <c r="D7" s="20">
        <v>-0.2056</v>
      </c>
      <c r="E7" s="20">
        <v>-0.1588</v>
      </c>
      <c r="F7" s="20">
        <v>-3.39E-2</v>
      </c>
      <c r="G7" s="20">
        <v>-0.11940000000000001</v>
      </c>
      <c r="H7" s="20">
        <v>0.1731</v>
      </c>
      <c r="I7" s="20">
        <v>0.14779999999999999</v>
      </c>
      <c r="J7" s="20">
        <v>0.19009999999999999</v>
      </c>
      <c r="K7" s="20">
        <v>-1.7999999999999999E-2</v>
      </c>
      <c r="L7" s="20">
        <v>-0.2099</v>
      </c>
      <c r="M7" s="20">
        <v>0.1333</v>
      </c>
      <c r="N7" s="20">
        <v>6.6699999999999995E-2</v>
      </c>
      <c r="O7" s="20">
        <v>0.31</v>
      </c>
      <c r="P7" s="20">
        <v>-0.2883</v>
      </c>
      <c r="Q7" s="20">
        <v>4.0300000000000002E-2</v>
      </c>
      <c r="R7" s="20">
        <v>3.5099999999999999E-2</v>
      </c>
      <c r="S7" s="20">
        <v>8.1100000000000005E-2</v>
      </c>
      <c r="T7" s="20">
        <v>-0.18390000000000001</v>
      </c>
      <c r="U7" s="20">
        <v>-0.1326</v>
      </c>
      <c r="V7" s="20">
        <v>0.14499999999999999</v>
      </c>
      <c r="W7" s="20">
        <v>0.1704</v>
      </c>
      <c r="X7" s="20">
        <v>-9.4799999999999995E-2</v>
      </c>
      <c r="Y7" s="20">
        <v>-0.25259999999999999</v>
      </c>
      <c r="Z7" s="20">
        <v>3.2000000000000001E-2</v>
      </c>
      <c r="AA7" s="20">
        <v>-8.6499999999999994E-2</v>
      </c>
      <c r="AB7" s="20">
        <v>0.26819999999999999</v>
      </c>
      <c r="AC7" s="20">
        <v>-0.1036</v>
      </c>
      <c r="AD7" s="20">
        <v>3.9800000000000002E-2</v>
      </c>
      <c r="AE7" s="20">
        <v>6.5799999999999997E-2</v>
      </c>
      <c r="AF7" s="20">
        <v>0.18490000000000001</v>
      </c>
      <c r="AG7" s="20">
        <v>3.5999999999999997E-2</v>
      </c>
      <c r="AH7" s="20">
        <v>-2.35E-2</v>
      </c>
      <c r="AI7" s="20">
        <v>0.15290000000000001</v>
      </c>
      <c r="AJ7" s="20">
        <v>0.1636</v>
      </c>
      <c r="AK7" s="20">
        <v>0.15459999999999999</v>
      </c>
      <c r="AL7" s="21">
        <v>-2.76E-2</v>
      </c>
    </row>
    <row r="8" spans="1:38">
      <c r="A8" s="20">
        <v>-0.41310000000000002</v>
      </c>
      <c r="B8" s="20">
        <v>0.123</v>
      </c>
      <c r="C8" s="20">
        <v>7.1300000000000002E-2</v>
      </c>
      <c r="D8" s="20">
        <v>-0.16170000000000001</v>
      </c>
      <c r="E8" s="20">
        <v>-0.3705</v>
      </c>
      <c r="F8" s="20">
        <v>8.3500000000000005E-2</v>
      </c>
      <c r="G8" s="20">
        <v>-2.5700000000000001E-2</v>
      </c>
      <c r="H8" s="20">
        <v>-0.2472</v>
      </c>
      <c r="I8" s="20">
        <v>8.9899999999999994E-2</v>
      </c>
      <c r="J8" s="20">
        <v>0.2979</v>
      </c>
      <c r="K8" s="20">
        <v>-2.9100000000000001E-2</v>
      </c>
      <c r="L8" s="20">
        <v>0.16550000000000001</v>
      </c>
      <c r="M8" s="20">
        <v>-7.4000000000000003E-3</v>
      </c>
      <c r="N8" s="20">
        <v>0.2626</v>
      </c>
      <c r="O8" s="20">
        <v>-0.1008</v>
      </c>
      <c r="P8" s="20">
        <v>3.39E-2</v>
      </c>
      <c r="Q8" s="20">
        <v>3.4099999999999998E-2</v>
      </c>
      <c r="R8" s="20">
        <v>0.16259999999999999</v>
      </c>
      <c r="S8" s="20">
        <v>-6.3899999999999998E-2</v>
      </c>
      <c r="T8" s="20">
        <v>0.114</v>
      </c>
      <c r="U8" s="20">
        <v>4.19E-2</v>
      </c>
      <c r="V8" s="20">
        <v>-0.39269999999999999</v>
      </c>
      <c r="W8" s="20">
        <v>-0.1111</v>
      </c>
      <c r="X8" s="20">
        <v>8.3400000000000002E-2</v>
      </c>
      <c r="Y8" s="20">
        <v>-0.1196</v>
      </c>
      <c r="Z8" s="20">
        <v>7.6100000000000001E-2</v>
      </c>
      <c r="AA8" s="20">
        <v>-9.8299999999999998E-2</v>
      </c>
      <c r="AB8" s="20">
        <v>-8.5599999999999996E-2</v>
      </c>
      <c r="AC8" s="20">
        <v>-4.1000000000000002E-2</v>
      </c>
      <c r="AD8" s="20">
        <v>0.1628</v>
      </c>
      <c r="AE8" s="20">
        <v>0.123</v>
      </c>
      <c r="AF8" s="20">
        <v>0.104</v>
      </c>
      <c r="AG8" s="20">
        <v>9.2799999999999994E-2</v>
      </c>
      <c r="AH8" s="20">
        <v>0.2107</v>
      </c>
      <c r="AI8" s="20">
        <v>-8.3099999999999993E-2</v>
      </c>
      <c r="AJ8" s="20">
        <v>-0.01</v>
      </c>
      <c r="AK8" s="20">
        <v>1.9599999999999999E-2</v>
      </c>
      <c r="AL8" s="21">
        <v>5.4000000000000003E-3</v>
      </c>
    </row>
    <row r="9" spans="1:38">
      <c r="A9" s="20">
        <v>0.44090000000000001</v>
      </c>
      <c r="B9" s="20">
        <v>-0.32450000000000001</v>
      </c>
      <c r="C9" s="20">
        <v>0.2165</v>
      </c>
      <c r="D9" s="20">
        <v>-5.5100000000000003E-2</v>
      </c>
      <c r="E9" s="20">
        <v>0.14280000000000001</v>
      </c>
      <c r="F9" s="20">
        <v>-0.1535</v>
      </c>
      <c r="G9" s="20">
        <v>-0.20469999999999999</v>
      </c>
      <c r="H9" s="20">
        <v>-0.15629999999999999</v>
      </c>
      <c r="I9" s="20">
        <v>4.4400000000000002E-2</v>
      </c>
      <c r="J9" s="20">
        <v>0.29520000000000002</v>
      </c>
      <c r="K9" s="20">
        <v>1.35E-2</v>
      </c>
      <c r="L9" s="20">
        <v>-5.0599999999999999E-2</v>
      </c>
      <c r="M9" s="20">
        <v>-4.8899999999999999E-2</v>
      </c>
      <c r="N9" s="20">
        <v>-8.72E-2</v>
      </c>
      <c r="O9" s="20">
        <v>5.1700000000000003E-2</v>
      </c>
      <c r="P9" s="20">
        <v>-0.10009999999999999</v>
      </c>
      <c r="Q9" s="20">
        <v>-0.17829999999999999</v>
      </c>
      <c r="R9" s="20">
        <v>0.2379</v>
      </c>
      <c r="S9" s="20">
        <v>-1.35E-2</v>
      </c>
      <c r="T9" s="20">
        <v>-8.3999999999999995E-3</v>
      </c>
      <c r="U9" s="20">
        <v>7.9799999999999996E-2</v>
      </c>
      <c r="V9" s="20">
        <v>0.2137</v>
      </c>
      <c r="W9" s="20">
        <v>3.8800000000000001E-2</v>
      </c>
      <c r="X9" s="20">
        <v>0.16869999999999999</v>
      </c>
      <c r="Y9" s="20">
        <v>0.2671</v>
      </c>
      <c r="Z9" s="20">
        <v>-0.1479</v>
      </c>
      <c r="AA9" s="20">
        <v>-1.29E-2</v>
      </c>
      <c r="AB9" s="20">
        <v>-8.2100000000000006E-2</v>
      </c>
      <c r="AC9" s="20">
        <v>2.0199999999999999E-2</v>
      </c>
      <c r="AD9" s="20">
        <v>-0.13500000000000001</v>
      </c>
      <c r="AE9" s="20">
        <v>7.3000000000000001E-3</v>
      </c>
      <c r="AF9" s="20">
        <v>-1.6299999999999999E-2</v>
      </c>
      <c r="AG9" s="20">
        <v>-6.2399999999999997E-2</v>
      </c>
      <c r="AH9" s="20">
        <v>-0.311</v>
      </c>
      <c r="AI9" s="20">
        <v>-4.1599999999999998E-2</v>
      </c>
      <c r="AJ9" s="20">
        <v>4.5499999999999999E-2</v>
      </c>
      <c r="AK9" s="20">
        <v>-0.15690000000000001</v>
      </c>
      <c r="AL9" s="21">
        <v>8.3199999999999996E-2</v>
      </c>
    </row>
    <row r="10" spans="1:38">
      <c r="A10" s="20">
        <v>0.36870000000000003</v>
      </c>
      <c r="B10" s="20">
        <v>-8.7800000000000003E-2</v>
      </c>
      <c r="C10" s="20">
        <v>0.2056</v>
      </c>
      <c r="D10" s="20">
        <v>0.24909999999999999</v>
      </c>
      <c r="E10" s="20">
        <v>-0.17369999999999999</v>
      </c>
      <c r="F10" s="20">
        <v>2.9999999999999997E-4</v>
      </c>
      <c r="G10" s="20">
        <v>-0.30470000000000003</v>
      </c>
      <c r="H10" s="20">
        <v>0.1653</v>
      </c>
      <c r="I10" s="20">
        <v>1.5800000000000002E-2</v>
      </c>
      <c r="J10" s="20">
        <v>3.3399999999999999E-2</v>
      </c>
      <c r="K10" s="20">
        <v>-5.79E-2</v>
      </c>
      <c r="L10" s="20">
        <v>0.21659999999999999</v>
      </c>
      <c r="M10" s="20">
        <v>0.23960000000000001</v>
      </c>
      <c r="N10" s="20">
        <v>-9.4500000000000001E-2</v>
      </c>
      <c r="O10" s="20">
        <v>-0.30499999999999999</v>
      </c>
      <c r="P10" s="20">
        <v>-1.7299999999999999E-2</v>
      </c>
      <c r="Q10" s="20">
        <v>6.4500000000000002E-2</v>
      </c>
      <c r="R10" s="20">
        <v>-0.29409999999999997</v>
      </c>
      <c r="S10" s="20">
        <v>5.4100000000000002E-2</v>
      </c>
      <c r="T10" s="20">
        <v>7.0300000000000001E-2</v>
      </c>
      <c r="U10" s="20">
        <v>-8.3999999999999995E-3</v>
      </c>
      <c r="V10" s="20">
        <v>0.10630000000000001</v>
      </c>
      <c r="W10" s="20">
        <v>-0.15809999999999999</v>
      </c>
      <c r="X10" s="20">
        <v>0</v>
      </c>
      <c r="Y10" s="20">
        <v>6.7100000000000007E-2</v>
      </c>
      <c r="Z10" s="20">
        <v>0.11840000000000001</v>
      </c>
      <c r="AA10" s="20">
        <v>9.9400000000000002E-2</v>
      </c>
      <c r="AB10" s="20">
        <v>6.88E-2</v>
      </c>
      <c r="AC10" s="20">
        <v>-0.28720000000000001</v>
      </c>
      <c r="AD10" s="20">
        <v>-0.1077</v>
      </c>
      <c r="AE10" s="20">
        <v>-0.13020000000000001</v>
      </c>
      <c r="AF10" s="20">
        <v>8.3799999999999999E-2</v>
      </c>
      <c r="AG10" s="20">
        <v>4.1799999999999997E-2</v>
      </c>
      <c r="AH10" s="20">
        <v>-1.4999999999999999E-2</v>
      </c>
      <c r="AI10" s="20">
        <v>0.13739999999999999</v>
      </c>
      <c r="AJ10" s="20">
        <v>-0.25779999999999997</v>
      </c>
      <c r="AK10" s="20">
        <v>-0.1273</v>
      </c>
      <c r="AL10" s="21">
        <v>2.8500000000000001E-2</v>
      </c>
    </row>
    <row r="11" spans="1:38">
      <c r="A11" s="20">
        <v>-0.1351</v>
      </c>
      <c r="B11" s="20">
        <v>0.18790000000000001</v>
      </c>
      <c r="C11" s="20">
        <v>1.9099999999999999E-2</v>
      </c>
      <c r="D11" s="20">
        <v>5.3999999999999999E-2</v>
      </c>
      <c r="E11" s="20">
        <v>0.34670000000000001</v>
      </c>
      <c r="F11" s="20">
        <v>9.7999999999999997E-3</v>
      </c>
      <c r="G11" s="20">
        <v>9.4600000000000004E-2</v>
      </c>
      <c r="H11" s="20">
        <v>0.26769999999999999</v>
      </c>
      <c r="I11" s="20">
        <v>-0.25290000000000001</v>
      </c>
      <c r="J11" s="20">
        <v>-4.7899999999999998E-2</v>
      </c>
      <c r="K11" s="20">
        <v>-3.6200000000000003E-2</v>
      </c>
      <c r="L11" s="20">
        <v>-6.59E-2</v>
      </c>
      <c r="M11" s="20">
        <v>-6.7000000000000004E-2</v>
      </c>
      <c r="N11" s="20">
        <v>8.14E-2</v>
      </c>
      <c r="O11" s="20">
        <v>3.3E-3</v>
      </c>
      <c r="P11" s="20">
        <v>-0.12909999999999999</v>
      </c>
      <c r="Q11" s="20">
        <v>0.4415</v>
      </c>
      <c r="R11" s="20">
        <v>0.21190000000000001</v>
      </c>
      <c r="S11" s="20">
        <v>-0.1263</v>
      </c>
      <c r="T11" s="20">
        <v>-0.15570000000000001</v>
      </c>
      <c r="U11" s="20">
        <v>-2.6200000000000001E-2</v>
      </c>
      <c r="V11" s="20">
        <v>6.1600000000000002E-2</v>
      </c>
      <c r="W11" s="20">
        <v>-0.3206</v>
      </c>
      <c r="X11" s="20">
        <v>-0.2462</v>
      </c>
      <c r="Y11" s="20">
        <v>0.16309999999999999</v>
      </c>
      <c r="Z11" s="20">
        <v>-0.13469999999999999</v>
      </c>
      <c r="AA11" s="20">
        <v>-0.1603</v>
      </c>
      <c r="AB11" s="20">
        <v>7.5899999999999995E-2</v>
      </c>
      <c r="AC11" s="20">
        <v>-8.7900000000000006E-2</v>
      </c>
      <c r="AD11" s="20">
        <v>0.2336</v>
      </c>
      <c r="AE11" s="20">
        <v>8.0000000000000002E-3</v>
      </c>
      <c r="AF11" s="20">
        <v>-9.8500000000000004E-2</v>
      </c>
      <c r="AG11" s="20">
        <v>0.11890000000000001</v>
      </c>
      <c r="AH11" s="20">
        <v>-0.1191</v>
      </c>
      <c r="AI11" s="20">
        <v>-0.108</v>
      </c>
      <c r="AJ11" s="20">
        <v>-4.7100000000000003E-2</v>
      </c>
      <c r="AK11" s="20">
        <v>3.9699999999999999E-2</v>
      </c>
      <c r="AL11" s="21">
        <v>-5.1400000000000001E-2</v>
      </c>
    </row>
    <row r="12" spans="1:38">
      <c r="A12" s="20">
        <v>-0.43419999999999997</v>
      </c>
      <c r="B12" s="20">
        <v>0.2296</v>
      </c>
      <c r="C12" s="20">
        <v>-0.34200000000000003</v>
      </c>
      <c r="D12" s="20">
        <v>7.3000000000000001E-3</v>
      </c>
      <c r="E12" s="20">
        <v>1.0800000000000001E-2</v>
      </c>
      <c r="F12" s="20">
        <v>-0.22040000000000001</v>
      </c>
      <c r="G12" s="20">
        <v>-9.06E-2</v>
      </c>
      <c r="H12" s="20">
        <v>0.25669999999999998</v>
      </c>
      <c r="I12" s="20">
        <v>-9.2799999999999994E-2</v>
      </c>
      <c r="J12" s="20">
        <v>8.2400000000000001E-2</v>
      </c>
      <c r="K12" s="20">
        <v>-8.2199999999999995E-2</v>
      </c>
      <c r="L12" s="20">
        <v>0.18940000000000001</v>
      </c>
      <c r="M12" s="20">
        <v>0.29849999999999999</v>
      </c>
      <c r="N12" s="20">
        <v>-6.4999999999999997E-3</v>
      </c>
      <c r="O12" s="20">
        <v>-0.17469999999999999</v>
      </c>
      <c r="P12" s="20">
        <v>0.27629999999999999</v>
      </c>
      <c r="Q12" s="20">
        <v>1.78E-2</v>
      </c>
      <c r="R12" s="20">
        <v>-1.8E-3</v>
      </c>
      <c r="S12" s="20">
        <v>-6.3E-3</v>
      </c>
      <c r="T12" s="20">
        <v>-1.2E-2</v>
      </c>
      <c r="U12" s="20">
        <v>-6.1400000000000003E-2</v>
      </c>
      <c r="V12" s="20">
        <v>-1.6500000000000001E-2</v>
      </c>
      <c r="W12" s="20">
        <v>-0.1865</v>
      </c>
      <c r="X12" s="20">
        <v>-2.9399999999999999E-2</v>
      </c>
      <c r="Y12" s="20">
        <v>-0.1298</v>
      </c>
      <c r="Z12" s="20">
        <v>2.41E-2</v>
      </c>
      <c r="AA12" s="20">
        <v>3.8199999999999998E-2</v>
      </c>
      <c r="AB12" s="20">
        <v>-5.2900000000000003E-2</v>
      </c>
      <c r="AC12" s="20">
        <v>3.8399999999999997E-2</v>
      </c>
      <c r="AD12" s="20">
        <v>0.32890000000000003</v>
      </c>
      <c r="AE12" s="20">
        <v>7.7499999999999999E-2</v>
      </c>
      <c r="AF12" s="20">
        <v>0.15140000000000001</v>
      </c>
      <c r="AG12" s="20">
        <v>-0.17879999999999999</v>
      </c>
      <c r="AH12" s="20">
        <v>6.9000000000000006E-2</v>
      </c>
      <c r="AI12" s="20">
        <v>0.12330000000000001</v>
      </c>
      <c r="AJ12" s="20">
        <v>4.41E-2</v>
      </c>
      <c r="AK12" s="20">
        <v>-7.4499999999999997E-2</v>
      </c>
      <c r="AL12" s="21">
        <v>-7.0400000000000004E-2</v>
      </c>
    </row>
    <row r="13" spans="1:38">
      <c r="A13" s="20">
        <v>-3.5000000000000003E-2</v>
      </c>
      <c r="B13" s="20">
        <v>0.29299999999999998</v>
      </c>
      <c r="C13" s="20">
        <v>-0.20100000000000001</v>
      </c>
      <c r="D13" s="20">
        <v>0.17760000000000001</v>
      </c>
      <c r="E13" s="20">
        <v>0.2311</v>
      </c>
      <c r="F13" s="20">
        <v>9.0399999999999994E-2</v>
      </c>
      <c r="G13" s="20">
        <v>-0.17299999999999999</v>
      </c>
      <c r="H13" s="20">
        <v>-9.3100000000000002E-2</v>
      </c>
      <c r="I13" s="20">
        <v>0.2021</v>
      </c>
      <c r="J13" s="20">
        <v>4.3E-3</v>
      </c>
      <c r="K13" s="20">
        <v>0.109</v>
      </c>
      <c r="L13" s="20">
        <v>0.18459999999999999</v>
      </c>
      <c r="M13" s="20">
        <v>-7.1599999999999997E-2</v>
      </c>
      <c r="N13" s="20">
        <v>0.21820000000000001</v>
      </c>
      <c r="O13" s="20">
        <v>4.5999999999999999E-3</v>
      </c>
      <c r="P13" s="20">
        <v>0.1022</v>
      </c>
      <c r="Q13" s="20">
        <v>4.1399999999999999E-2</v>
      </c>
      <c r="R13" s="20">
        <v>-0.28760000000000002</v>
      </c>
      <c r="S13" s="20">
        <v>0.1464</v>
      </c>
      <c r="T13" s="20">
        <v>-3.4700000000000002E-2</v>
      </c>
      <c r="U13" s="20">
        <v>-0.12939999999999999</v>
      </c>
      <c r="V13" s="20">
        <v>9.4200000000000006E-2</v>
      </c>
      <c r="W13" s="20">
        <v>0.22570000000000001</v>
      </c>
      <c r="X13" s="20">
        <v>-0.21709999999999999</v>
      </c>
      <c r="Y13" s="20">
        <v>1.24E-2</v>
      </c>
      <c r="Z13" s="20">
        <v>-0.1232</v>
      </c>
      <c r="AA13" s="20">
        <v>-0.1195</v>
      </c>
      <c r="AB13" s="20">
        <v>0.27260000000000001</v>
      </c>
      <c r="AC13" s="20">
        <v>6.4799999999999996E-2</v>
      </c>
      <c r="AD13" s="20">
        <v>-0.25019999999999998</v>
      </c>
      <c r="AE13" s="20">
        <v>9.4000000000000004E-3</v>
      </c>
      <c r="AF13" s="20">
        <v>0.1138</v>
      </c>
      <c r="AG13" s="20">
        <v>-0.2707</v>
      </c>
      <c r="AH13" s="20">
        <v>-0.10440000000000001</v>
      </c>
      <c r="AI13" s="20">
        <v>-8.3000000000000001E-3</v>
      </c>
      <c r="AJ13" s="20">
        <v>-5.1400000000000001E-2</v>
      </c>
      <c r="AK13" s="20">
        <v>-0.2341</v>
      </c>
      <c r="AL13" s="21">
        <v>-0.18590000000000001</v>
      </c>
    </row>
    <row r="14" spans="1:38">
      <c r="A14" s="20">
        <v>1.7500000000000002E-2</v>
      </c>
      <c r="B14" s="20">
        <v>-0.34439999999999998</v>
      </c>
      <c r="C14" s="20">
        <v>-0.1817</v>
      </c>
      <c r="D14" s="20">
        <v>4.0899999999999999E-2</v>
      </c>
      <c r="E14" s="20">
        <v>0.45939999999999998</v>
      </c>
      <c r="F14" s="20">
        <v>-3.7600000000000001E-2</v>
      </c>
      <c r="G14" s="20">
        <v>-0.15670000000000001</v>
      </c>
      <c r="H14" s="20">
        <v>0.2339</v>
      </c>
      <c r="I14" s="20">
        <v>-0.27579999999999999</v>
      </c>
      <c r="J14" s="20">
        <v>-0.11940000000000001</v>
      </c>
      <c r="K14" s="20">
        <v>-8.3900000000000002E-2</v>
      </c>
      <c r="L14" s="20">
        <v>2.2599999999999999E-2</v>
      </c>
      <c r="M14" s="20">
        <v>-0.15110000000000001</v>
      </c>
      <c r="N14" s="20">
        <v>0.31609999999999999</v>
      </c>
      <c r="O14" s="20">
        <v>6.13E-2</v>
      </c>
      <c r="P14" s="20">
        <v>0.23250000000000001</v>
      </c>
      <c r="Q14" s="20">
        <v>0.26800000000000002</v>
      </c>
      <c r="R14" s="20">
        <v>-4.2500000000000003E-2</v>
      </c>
      <c r="S14" s="20">
        <v>-9.4000000000000004E-3</v>
      </c>
      <c r="T14" s="20">
        <v>0.17369999999999999</v>
      </c>
      <c r="U14" s="20">
        <v>6.9400000000000003E-2</v>
      </c>
      <c r="V14" s="20">
        <v>-4.6800000000000001E-2</v>
      </c>
      <c r="W14" s="20">
        <v>-0.1177</v>
      </c>
      <c r="X14" s="20">
        <v>0.2185</v>
      </c>
      <c r="Y14" s="20">
        <v>-5.67E-2</v>
      </c>
      <c r="Z14" s="20">
        <v>-3.4700000000000002E-2</v>
      </c>
      <c r="AA14" s="20">
        <v>-0.17879999999999999</v>
      </c>
      <c r="AB14" s="20">
        <v>0.1148</v>
      </c>
      <c r="AC14" s="20">
        <v>-3.8E-3</v>
      </c>
      <c r="AD14" s="20">
        <v>-6.6900000000000001E-2</v>
      </c>
      <c r="AE14" s="20">
        <v>-0.15909999999999999</v>
      </c>
      <c r="AF14" s="20">
        <v>-3.2000000000000002E-3</v>
      </c>
      <c r="AG14" s="20">
        <v>-7.3700000000000002E-2</v>
      </c>
      <c r="AH14" s="20">
        <v>-0.13250000000000001</v>
      </c>
      <c r="AI14" s="20">
        <v>3.1199999999999999E-2</v>
      </c>
      <c r="AJ14" s="20">
        <v>1.7999999999999999E-2</v>
      </c>
      <c r="AK14" s="20">
        <v>6.7000000000000002E-3</v>
      </c>
      <c r="AL14" s="21">
        <v>-4.7999999999999996E-3</v>
      </c>
    </row>
    <row r="15" spans="1:38">
      <c r="A15" s="20">
        <v>0.28889999999999999</v>
      </c>
      <c r="B15" s="20">
        <v>-0.37740000000000001</v>
      </c>
      <c r="C15" s="20">
        <v>0.17419999999999999</v>
      </c>
      <c r="D15" s="20">
        <v>-0.19339999999999999</v>
      </c>
      <c r="E15" s="20">
        <v>-0.1053</v>
      </c>
      <c r="F15" s="20">
        <v>5.16E-2</v>
      </c>
      <c r="G15" s="20">
        <v>-0.32919999999999999</v>
      </c>
      <c r="H15" s="20">
        <v>8.5000000000000006E-2</v>
      </c>
      <c r="I15" s="20">
        <v>-5.16E-2</v>
      </c>
      <c r="J15" s="20">
        <v>-5.3400000000000003E-2</v>
      </c>
      <c r="K15" s="20">
        <v>-4.1599999999999998E-2</v>
      </c>
      <c r="L15" s="20">
        <v>-1.6000000000000001E-3</v>
      </c>
      <c r="M15" s="20">
        <v>0.11260000000000001</v>
      </c>
      <c r="N15" s="20">
        <v>-0.2205</v>
      </c>
      <c r="O15" s="20">
        <v>-0.13550000000000001</v>
      </c>
      <c r="P15" s="20">
        <v>-6.6600000000000006E-2</v>
      </c>
      <c r="Q15" s="20">
        <v>0.13739999999999999</v>
      </c>
      <c r="R15" s="20">
        <v>-4.6800000000000001E-2</v>
      </c>
      <c r="S15" s="20">
        <v>-4.4999999999999998E-2</v>
      </c>
      <c r="T15" s="20">
        <v>-1.1599999999999999E-2</v>
      </c>
      <c r="U15" s="20">
        <v>1.4200000000000001E-2</v>
      </c>
      <c r="V15" s="20">
        <v>6.9500000000000006E-2</v>
      </c>
      <c r="W15" s="20">
        <v>0.1032</v>
      </c>
      <c r="X15" s="20">
        <v>-0.2492</v>
      </c>
      <c r="Y15" s="20">
        <v>0.29389999999999999</v>
      </c>
      <c r="Z15" s="20">
        <v>-5.45E-2</v>
      </c>
      <c r="AA15" s="20">
        <v>-6.5000000000000002E-2</v>
      </c>
      <c r="AB15" s="20">
        <v>-0.25969999999999999</v>
      </c>
      <c r="AC15" s="20">
        <v>2.3999999999999998E-3</v>
      </c>
      <c r="AD15" s="20">
        <v>5.5800000000000002E-2</v>
      </c>
      <c r="AE15" s="20">
        <v>9.3399999999999997E-2</v>
      </c>
      <c r="AF15" s="20">
        <v>0.36530000000000001</v>
      </c>
      <c r="AG15" s="20">
        <v>-7.6799999999999993E-2</v>
      </c>
      <c r="AH15" s="20">
        <v>7.5300000000000006E-2</v>
      </c>
      <c r="AI15" s="20">
        <v>0.18870000000000001</v>
      </c>
      <c r="AJ15" s="20">
        <v>6.5000000000000002E-2</v>
      </c>
      <c r="AK15" s="20">
        <v>5.1299999999999998E-2</v>
      </c>
      <c r="AL15" s="21">
        <v>0.156</v>
      </c>
    </row>
    <row r="16" spans="1:38">
      <c r="A16" s="20">
        <v>0.28139999999999998</v>
      </c>
      <c r="B16" s="20">
        <v>8.8700000000000001E-2</v>
      </c>
      <c r="C16" s="20">
        <v>0.1376</v>
      </c>
      <c r="D16" s="20">
        <v>-0.10920000000000001</v>
      </c>
      <c r="E16" s="20">
        <v>4.8899999999999999E-2</v>
      </c>
      <c r="F16" s="20">
        <v>-0.1081</v>
      </c>
      <c r="G16" s="20">
        <v>0.15640000000000001</v>
      </c>
      <c r="H16" s="20">
        <v>-1.77E-2</v>
      </c>
      <c r="I16" s="20">
        <v>5.8299999999999998E-2</v>
      </c>
      <c r="J16" s="20">
        <v>-3.2199999999999999E-2</v>
      </c>
      <c r="K16" s="20">
        <v>-6.7500000000000004E-2</v>
      </c>
      <c r="L16" s="20">
        <v>-0.17979999999999999</v>
      </c>
      <c r="M16" s="20">
        <v>3.2000000000000001E-2</v>
      </c>
      <c r="N16" s="20">
        <v>-0.111</v>
      </c>
      <c r="O16" s="20">
        <v>-0.05</v>
      </c>
      <c r="P16" s="20">
        <v>-0.3049</v>
      </c>
      <c r="Q16" s="20">
        <v>0.12709999999999999</v>
      </c>
      <c r="R16" s="20">
        <v>6.4699999999999994E-2</v>
      </c>
      <c r="S16" s="20">
        <v>-0.14319999999999999</v>
      </c>
      <c r="T16" s="20">
        <v>0.29709999999999998</v>
      </c>
      <c r="U16" s="20">
        <v>5.45E-2</v>
      </c>
      <c r="V16" s="20">
        <v>-5.5999999999999999E-3</v>
      </c>
      <c r="W16" s="20">
        <v>-3.2000000000000002E-3</v>
      </c>
      <c r="X16" s="20">
        <v>0.1371</v>
      </c>
      <c r="Y16" s="20">
        <v>0.32840000000000003</v>
      </c>
      <c r="Z16" s="20">
        <v>-0.14860000000000001</v>
      </c>
      <c r="AA16" s="20">
        <v>-0.24779999999999999</v>
      </c>
      <c r="AB16" s="20">
        <v>4.8599999999999997E-2</v>
      </c>
      <c r="AC16" s="20">
        <v>-0.12770000000000001</v>
      </c>
      <c r="AD16" s="20">
        <v>0.1167</v>
      </c>
      <c r="AE16" s="20">
        <v>0.16880000000000001</v>
      </c>
      <c r="AF16" s="20">
        <v>-9.0899999999999995E-2</v>
      </c>
      <c r="AG16" s="20">
        <v>-0.23599999999999999</v>
      </c>
      <c r="AH16" s="20">
        <v>0.3256</v>
      </c>
      <c r="AI16" s="20">
        <v>-4.1399999999999999E-2</v>
      </c>
      <c r="AJ16" s="20">
        <v>-2.93E-2</v>
      </c>
      <c r="AK16" s="20">
        <v>-8.8999999999999996E-2</v>
      </c>
      <c r="AL16" s="21">
        <v>-0.33110000000000001</v>
      </c>
    </row>
    <row r="17" spans="1:38">
      <c r="A17" s="20">
        <v>0.22220000000000001</v>
      </c>
      <c r="B17" s="20">
        <v>7.4099999999999999E-2</v>
      </c>
      <c r="C17" s="20">
        <v>0.27850000000000003</v>
      </c>
      <c r="D17" s="20">
        <v>0.15240000000000001</v>
      </c>
      <c r="E17" s="20">
        <v>-5.0900000000000001E-2</v>
      </c>
      <c r="F17" s="20">
        <v>-0.14530000000000001</v>
      </c>
      <c r="G17" s="20">
        <v>4.41E-2</v>
      </c>
      <c r="H17" s="20">
        <v>0.31069999999999998</v>
      </c>
      <c r="I17" s="20">
        <v>3.9199999999999999E-2</v>
      </c>
      <c r="J17" s="20">
        <v>-0.1096</v>
      </c>
      <c r="K17" s="20">
        <v>-0.30659999999999998</v>
      </c>
      <c r="L17" s="20">
        <v>-0.1004</v>
      </c>
      <c r="M17" s="20">
        <v>0.1326</v>
      </c>
      <c r="N17" s="20">
        <v>-0.158</v>
      </c>
      <c r="O17" s="20">
        <v>-6.7699999999999996E-2</v>
      </c>
      <c r="P17" s="20">
        <v>4.1399999999999999E-2</v>
      </c>
      <c r="Q17" s="20">
        <v>0.1797</v>
      </c>
      <c r="R17" s="20">
        <v>-4.1399999999999999E-2</v>
      </c>
      <c r="S17" s="20">
        <v>-0.28789999999999999</v>
      </c>
      <c r="T17" s="20">
        <v>0.22950000000000001</v>
      </c>
      <c r="U17" s="20">
        <v>-5.33E-2</v>
      </c>
      <c r="V17" s="20">
        <v>7.85E-2</v>
      </c>
      <c r="W17" s="20">
        <v>-0.2344</v>
      </c>
      <c r="X17" s="20">
        <v>-0.36149999999999999</v>
      </c>
      <c r="Y17" s="20">
        <v>0.16700000000000001</v>
      </c>
      <c r="Z17" s="20">
        <v>0.22409999999999999</v>
      </c>
      <c r="AA17" s="20">
        <v>-8.0999999999999996E-3</v>
      </c>
      <c r="AB17" s="20">
        <v>-0.12989999999999999</v>
      </c>
      <c r="AC17" s="20">
        <v>7.7700000000000005E-2</v>
      </c>
      <c r="AD17" s="20">
        <v>-2.76E-2</v>
      </c>
      <c r="AE17" s="20">
        <v>-6.4100000000000004E-2</v>
      </c>
      <c r="AF17" s="20">
        <v>-1.7299999999999999E-2</v>
      </c>
      <c r="AG17" s="20">
        <v>-1.2999999999999999E-2</v>
      </c>
      <c r="AH17" s="20">
        <v>-0.1865</v>
      </c>
      <c r="AI17" s="20">
        <v>0.19650000000000001</v>
      </c>
      <c r="AJ17" s="20">
        <v>3.7100000000000001E-2</v>
      </c>
      <c r="AK17" s="20">
        <v>-2.1600000000000001E-2</v>
      </c>
      <c r="AL17" s="21">
        <v>-9.9599999999999994E-2</v>
      </c>
    </row>
    <row r="18" spans="1:38">
      <c r="A18" s="20">
        <v>0.3604</v>
      </c>
      <c r="B18" s="20">
        <v>-2.1499999999999998E-2</v>
      </c>
      <c r="C18" s="20">
        <v>0.1981</v>
      </c>
      <c r="D18" s="20">
        <v>-0.1668</v>
      </c>
      <c r="E18" s="20">
        <v>0.39839999999999998</v>
      </c>
      <c r="F18" s="20">
        <v>-9.9599999999999994E-2</v>
      </c>
      <c r="G18" s="20">
        <v>0.26950000000000002</v>
      </c>
      <c r="H18" s="20">
        <v>-0.1135</v>
      </c>
      <c r="I18" s="20">
        <v>0.13669999999999999</v>
      </c>
      <c r="J18" s="20">
        <v>-0.1479</v>
      </c>
      <c r="K18" s="20">
        <v>5.6399999999999999E-2</v>
      </c>
      <c r="L18" s="20">
        <v>8.9800000000000005E-2</v>
      </c>
      <c r="M18" s="20">
        <v>0.2477</v>
      </c>
      <c r="N18" s="20">
        <v>0.1827</v>
      </c>
      <c r="O18" s="20">
        <v>0.10349999999999999</v>
      </c>
      <c r="P18" s="20">
        <v>-0.27839999999999998</v>
      </c>
      <c r="Q18" s="20">
        <v>-0.21340000000000001</v>
      </c>
      <c r="R18" s="20">
        <v>-0.1024</v>
      </c>
      <c r="S18" s="20">
        <v>-0.1983</v>
      </c>
      <c r="T18" s="20">
        <v>-0.108</v>
      </c>
      <c r="U18" s="20">
        <v>-0.1699</v>
      </c>
      <c r="V18" s="20">
        <v>-9.8500000000000004E-2</v>
      </c>
      <c r="W18" s="20">
        <v>-2.7099999999999999E-2</v>
      </c>
      <c r="X18" s="20">
        <v>8.0000000000000004E-4</v>
      </c>
      <c r="Y18" s="20">
        <v>-4.4600000000000001E-2</v>
      </c>
      <c r="Z18" s="20">
        <v>0.16070000000000001</v>
      </c>
      <c r="AA18" s="20">
        <v>-9.3200000000000005E-2</v>
      </c>
      <c r="AB18" s="20">
        <v>-0.14649999999999999</v>
      </c>
      <c r="AC18" s="20">
        <v>0.1241</v>
      </c>
      <c r="AD18" s="20">
        <v>-0.14280000000000001</v>
      </c>
      <c r="AE18" s="20">
        <v>-0.12189999999999999</v>
      </c>
      <c r="AF18" s="20">
        <v>-5.4699999999999999E-2</v>
      </c>
      <c r="AG18" s="20">
        <v>0.16880000000000001</v>
      </c>
      <c r="AH18" s="20">
        <v>-2.4299999999999999E-2</v>
      </c>
      <c r="AI18" s="20">
        <v>5.3600000000000002E-2</v>
      </c>
      <c r="AJ18" s="20">
        <v>-0.10100000000000001</v>
      </c>
      <c r="AK18" s="20">
        <v>3.49E-2</v>
      </c>
      <c r="AL18" s="21">
        <v>-0.1113</v>
      </c>
    </row>
    <row r="19" spans="1:38">
      <c r="A19" s="20">
        <v>4.6600000000000003E-2</v>
      </c>
      <c r="B19" s="20">
        <v>0.2092</v>
      </c>
      <c r="C19" s="20">
        <v>-8.5800000000000001E-2</v>
      </c>
      <c r="D19" s="20">
        <v>-0.10580000000000001</v>
      </c>
      <c r="E19" s="20">
        <v>-1.8599999999999998E-2</v>
      </c>
      <c r="F19" s="20">
        <v>0.13039999999999999</v>
      </c>
      <c r="G19" s="20">
        <v>7.0099999999999996E-2</v>
      </c>
      <c r="H19" s="20">
        <v>7.2599999999999998E-2</v>
      </c>
      <c r="I19" s="20">
        <v>3.6700000000000003E-2</v>
      </c>
      <c r="J19" s="20">
        <v>1.67E-2</v>
      </c>
      <c r="K19" s="20">
        <v>0.20610000000000001</v>
      </c>
      <c r="L19" s="20">
        <v>0.1671</v>
      </c>
      <c r="M19" s="20">
        <v>0.4027</v>
      </c>
      <c r="N19" s="20">
        <v>0.26119999999999999</v>
      </c>
      <c r="O19" s="20">
        <v>5.4699999999999999E-2</v>
      </c>
      <c r="P19" s="20">
        <v>-0.1042</v>
      </c>
      <c r="Q19" s="20">
        <v>9.7000000000000003E-2</v>
      </c>
      <c r="R19" s="20">
        <v>1.9E-2</v>
      </c>
      <c r="S19" s="20">
        <v>-0.13389999999999999</v>
      </c>
      <c r="T19" s="20">
        <v>-0.18049999999999999</v>
      </c>
      <c r="U19" s="20">
        <v>-5.4000000000000003E-3</v>
      </c>
      <c r="V19" s="20">
        <v>2.46E-2</v>
      </c>
      <c r="W19" s="20">
        <v>0.21249999999999999</v>
      </c>
      <c r="X19" s="20">
        <v>-4.5199999999999997E-2</v>
      </c>
      <c r="Y19" s="20">
        <v>-0.13900000000000001</v>
      </c>
      <c r="Z19" s="20">
        <v>0.1865</v>
      </c>
      <c r="AA19" s="20">
        <v>-0.49299999999999999</v>
      </c>
      <c r="AB19" s="20">
        <v>-0.19120000000000001</v>
      </c>
      <c r="AC19" s="20">
        <v>-4.5199999999999997E-2</v>
      </c>
      <c r="AD19" s="20">
        <v>-0.222</v>
      </c>
      <c r="AE19" s="20">
        <v>-0.1628</v>
      </c>
      <c r="AF19" s="20">
        <v>3.09E-2</v>
      </c>
      <c r="AG19" s="20">
        <v>8.4000000000000005E-2</v>
      </c>
      <c r="AH19" s="20">
        <v>-0.1547</v>
      </c>
      <c r="AI19" s="20">
        <v>-0.158</v>
      </c>
      <c r="AJ19" s="20">
        <v>-0.1011</v>
      </c>
      <c r="AK19" s="20">
        <v>5.9200000000000003E-2</v>
      </c>
      <c r="AL19" s="21">
        <v>-3.5499999999999997E-2</v>
      </c>
    </row>
    <row r="20" spans="1:38">
      <c r="A20" s="20">
        <v>-0.4385</v>
      </c>
      <c r="B20" s="20">
        <v>0.57620000000000005</v>
      </c>
      <c r="C20" s="20">
        <v>-0.2137</v>
      </c>
      <c r="D20" s="20">
        <v>-0.12720000000000001</v>
      </c>
      <c r="E20" s="20">
        <v>-2E-3</v>
      </c>
      <c r="F20" s="20">
        <v>0.1007</v>
      </c>
      <c r="G20" s="20">
        <v>6.88E-2</v>
      </c>
      <c r="H20" s="20">
        <v>0.10539999999999999</v>
      </c>
      <c r="I20" s="20">
        <v>0.19489999999999999</v>
      </c>
      <c r="J20" s="20">
        <v>-0.17660000000000001</v>
      </c>
      <c r="K20" s="20">
        <v>0.1898</v>
      </c>
      <c r="L20" s="20">
        <v>-5.6800000000000003E-2</v>
      </c>
      <c r="M20" s="20">
        <v>-0.1381</v>
      </c>
      <c r="N20" s="20">
        <v>2.4500000000000001E-2</v>
      </c>
      <c r="O20" s="20">
        <v>-2.7099999999999999E-2</v>
      </c>
      <c r="P20" s="20">
        <v>1.6000000000000001E-3</v>
      </c>
      <c r="Q20" s="20">
        <v>5.8599999999999999E-2</v>
      </c>
      <c r="R20" s="20">
        <v>-0.1852</v>
      </c>
      <c r="S20" s="20">
        <v>0.11799999999999999</v>
      </c>
      <c r="T20" s="20">
        <v>1.4E-3</v>
      </c>
      <c r="U20" s="20">
        <v>6.5000000000000002E-2</v>
      </c>
      <c r="V20" s="20">
        <v>-9.8500000000000004E-2</v>
      </c>
      <c r="W20" s="20">
        <v>-7.22E-2</v>
      </c>
      <c r="X20" s="20">
        <v>-2.23E-2</v>
      </c>
      <c r="Y20" s="20">
        <v>-0.1152</v>
      </c>
      <c r="Z20" s="20">
        <v>0.183</v>
      </c>
      <c r="AA20" s="20">
        <v>6.7000000000000004E-2</v>
      </c>
      <c r="AB20" s="20">
        <v>-8.7900000000000006E-2</v>
      </c>
      <c r="AC20" s="20">
        <v>-0.18740000000000001</v>
      </c>
      <c r="AD20" s="20">
        <v>-0.1082</v>
      </c>
      <c r="AE20" s="20">
        <v>0.1603</v>
      </c>
      <c r="AF20" s="20">
        <v>4.0099999999999997E-2</v>
      </c>
      <c r="AG20" s="20">
        <v>1.32E-2</v>
      </c>
      <c r="AH20" s="20">
        <v>-0.1212</v>
      </c>
      <c r="AI20" s="20">
        <v>-2.3099999999999999E-2</v>
      </c>
      <c r="AJ20" s="20">
        <v>-3.7900000000000003E-2</v>
      </c>
      <c r="AK20" s="20">
        <v>0.15390000000000001</v>
      </c>
      <c r="AL20" s="21">
        <v>0.1186</v>
      </c>
    </row>
    <row r="21" spans="1:38">
      <c r="A21" s="20">
        <v>0.41499999999999998</v>
      </c>
      <c r="B21" s="20">
        <v>-0.34429999999999999</v>
      </c>
      <c r="C21" s="20">
        <v>9.3799999999999994E-2</v>
      </c>
      <c r="D21" s="20">
        <v>-0.38769999999999999</v>
      </c>
      <c r="E21" s="20">
        <v>0.36030000000000001</v>
      </c>
      <c r="F21" s="20">
        <v>-6.9900000000000004E-2</v>
      </c>
      <c r="G21" s="20">
        <v>5.6399999999999999E-2</v>
      </c>
      <c r="H21" s="20">
        <v>-0.15060000000000001</v>
      </c>
      <c r="I21" s="20">
        <v>-7.1199999999999999E-2</v>
      </c>
      <c r="J21" s="20">
        <v>-0.21579999999999999</v>
      </c>
      <c r="K21" s="20">
        <v>0.26350000000000001</v>
      </c>
      <c r="L21" s="20">
        <v>0.1085</v>
      </c>
      <c r="M21" s="20">
        <v>6.7699999999999996E-2</v>
      </c>
      <c r="N21" s="20">
        <v>-0.1081</v>
      </c>
      <c r="O21" s="20">
        <v>0.14069999999999999</v>
      </c>
      <c r="P21" s="20">
        <v>-4.2999999999999997E-2</v>
      </c>
      <c r="Q21" s="20">
        <v>-0.32519999999999999</v>
      </c>
      <c r="R21" s="20">
        <v>0.1255</v>
      </c>
      <c r="S21" s="20">
        <v>4.4299999999999999E-2</v>
      </c>
      <c r="T21" s="20">
        <v>7.6399999999999996E-2</v>
      </c>
      <c r="U21" s="20">
        <v>5.5999999999999999E-3</v>
      </c>
      <c r="V21" s="20">
        <v>2.3E-2</v>
      </c>
      <c r="W21" s="20">
        <v>5.9900000000000002E-2</v>
      </c>
      <c r="X21" s="20">
        <v>-6.2899999999999998E-2</v>
      </c>
      <c r="Y21" s="20">
        <v>9.5899999999999999E-2</v>
      </c>
      <c r="Z21" s="20">
        <v>-0.1341</v>
      </c>
      <c r="AA21" s="20">
        <v>-1.5599999999999999E-2</v>
      </c>
      <c r="AB21" s="20">
        <v>2.47E-2</v>
      </c>
      <c r="AC21" s="20">
        <v>-1.9099999999999999E-2</v>
      </c>
      <c r="AD21" s="20">
        <v>-7.6399999999999996E-2</v>
      </c>
      <c r="AE21" s="20">
        <v>-2.87E-2</v>
      </c>
      <c r="AF21" s="20">
        <v>-2.3E-2</v>
      </c>
      <c r="AG21" s="20">
        <v>-5.7700000000000001E-2</v>
      </c>
      <c r="AH21" s="20">
        <v>6.6000000000000003E-2</v>
      </c>
      <c r="AI21" s="20">
        <v>0.13539999999999999</v>
      </c>
      <c r="AJ21" s="20">
        <v>7.1599999999999997E-2</v>
      </c>
      <c r="AK21" s="20">
        <v>-0.1168</v>
      </c>
      <c r="AL21" s="21">
        <v>3.1699999999999999E-2</v>
      </c>
    </row>
    <row r="22" spans="1:38">
      <c r="A22" s="20">
        <v>0.51559999999999995</v>
      </c>
      <c r="B22" s="20">
        <v>-0.36080000000000001</v>
      </c>
      <c r="C22" s="20">
        <v>0.1517</v>
      </c>
      <c r="D22" s="20">
        <v>-0.34449999999999997</v>
      </c>
      <c r="E22" s="20">
        <v>0.2792</v>
      </c>
      <c r="F22" s="20">
        <v>-0.1426</v>
      </c>
      <c r="G22" s="20">
        <v>-7.1900000000000006E-2</v>
      </c>
      <c r="H22" s="20">
        <v>-0.1263</v>
      </c>
      <c r="I22" s="20">
        <v>3.6299999999999999E-2</v>
      </c>
      <c r="J22" s="20">
        <v>-0.12089999999999999</v>
      </c>
      <c r="K22" s="20">
        <v>0.1946</v>
      </c>
      <c r="L22" s="20">
        <v>4.7100000000000003E-2</v>
      </c>
      <c r="M22" s="20">
        <v>5.2600000000000001E-2</v>
      </c>
      <c r="N22" s="20">
        <v>-6.83E-2</v>
      </c>
      <c r="O22" s="20">
        <v>-0.18679999999999999</v>
      </c>
      <c r="P22" s="20">
        <v>-0.1263</v>
      </c>
      <c r="Q22" s="20">
        <v>-0.13719999999999999</v>
      </c>
      <c r="R22" s="20">
        <v>-1.4500000000000001E-2</v>
      </c>
      <c r="S22" s="20">
        <v>3.6299999999999999E-2</v>
      </c>
      <c r="T22" s="20">
        <v>-5.0200000000000002E-2</v>
      </c>
      <c r="U22" s="20">
        <v>0.10580000000000001</v>
      </c>
      <c r="V22" s="20">
        <v>0.2019</v>
      </c>
      <c r="W22" s="20">
        <v>6.7100000000000007E-2</v>
      </c>
      <c r="X22" s="20">
        <v>0.12509999999999999</v>
      </c>
      <c r="Y22" s="20">
        <v>0.1094</v>
      </c>
      <c r="Z22" s="20">
        <v>-0.188</v>
      </c>
      <c r="AA22" s="20">
        <v>-8.7599999999999997E-2</v>
      </c>
      <c r="AB22" s="20">
        <v>0.1148</v>
      </c>
      <c r="AC22" s="20">
        <v>3.2000000000000001E-2</v>
      </c>
      <c r="AD22" s="20">
        <v>-7.9200000000000007E-2</v>
      </c>
      <c r="AE22" s="20">
        <v>1.7500000000000002E-2</v>
      </c>
      <c r="AF22" s="20">
        <v>6.9500000000000006E-2</v>
      </c>
      <c r="AG22" s="20">
        <v>0.12870000000000001</v>
      </c>
      <c r="AH22" s="20">
        <v>-0.13780000000000001</v>
      </c>
      <c r="AI22" s="20">
        <v>-0.11</v>
      </c>
      <c r="AJ22" s="20">
        <v>2.06E-2</v>
      </c>
      <c r="AK22" s="20">
        <v>-1.5699999999999999E-2</v>
      </c>
      <c r="AL22" s="21">
        <v>6.7699999999999996E-2</v>
      </c>
    </row>
    <row r="23" spans="1:38">
      <c r="A23" s="20">
        <v>6.4100000000000004E-2</v>
      </c>
      <c r="B23" s="20">
        <v>-0.2064</v>
      </c>
      <c r="C23" s="20">
        <v>0.20619999999999999</v>
      </c>
      <c r="D23" s="20">
        <v>-0.1043</v>
      </c>
      <c r="E23" s="20">
        <v>0.48299999999999998</v>
      </c>
      <c r="F23" s="20">
        <v>0.1138</v>
      </c>
      <c r="G23" s="20">
        <v>0.21890000000000001</v>
      </c>
      <c r="H23" s="20">
        <v>-8.4699999999999998E-2</v>
      </c>
      <c r="I23" s="20">
        <v>0.1673</v>
      </c>
      <c r="J23" s="20">
        <v>-0.13900000000000001</v>
      </c>
      <c r="K23" s="20">
        <v>0.10829999999999999</v>
      </c>
      <c r="L23" s="20">
        <v>-8.4699999999999998E-2</v>
      </c>
      <c r="M23" s="20">
        <v>-1.01E-2</v>
      </c>
      <c r="N23" s="20">
        <v>8.9499999999999996E-2</v>
      </c>
      <c r="O23" s="20">
        <v>-7.2800000000000004E-2</v>
      </c>
      <c r="P23" s="20">
        <v>0.21909999999999999</v>
      </c>
      <c r="Q23" s="20">
        <v>3.5200000000000002E-2</v>
      </c>
      <c r="R23" s="20">
        <v>-0.1855</v>
      </c>
      <c r="S23" s="20">
        <v>7.3599999999999999E-2</v>
      </c>
      <c r="T23" s="20">
        <v>-0.14499999999999999</v>
      </c>
      <c r="U23" s="20">
        <v>3.8600000000000002E-2</v>
      </c>
      <c r="V23" s="20">
        <v>-0.2414</v>
      </c>
      <c r="W23" s="20">
        <v>4.1799999999999997E-2</v>
      </c>
      <c r="X23" s="20">
        <v>0.1027</v>
      </c>
      <c r="Y23" s="20">
        <v>7.5700000000000003E-2</v>
      </c>
      <c r="Z23" s="20">
        <v>3.6299999999999999E-2</v>
      </c>
      <c r="AA23" s="20">
        <v>-0.1641</v>
      </c>
      <c r="AB23" s="20">
        <v>1.2999999999999999E-3</v>
      </c>
      <c r="AC23" s="20">
        <v>-0.1779</v>
      </c>
      <c r="AD23" s="20">
        <v>-1.9900000000000001E-2</v>
      </c>
      <c r="AE23" s="20">
        <v>-6.5100000000000005E-2</v>
      </c>
      <c r="AF23" s="20">
        <v>-4.3099999999999999E-2</v>
      </c>
      <c r="AG23" s="20">
        <v>-0.31969999999999998</v>
      </c>
      <c r="AH23" s="20">
        <v>-0.31069999999999998</v>
      </c>
      <c r="AI23" s="20">
        <v>-1.2999999999999999E-2</v>
      </c>
      <c r="AJ23" s="20">
        <v>0.18740000000000001</v>
      </c>
      <c r="AK23" s="20">
        <v>-4.3700000000000003E-2</v>
      </c>
      <c r="AL23" s="21">
        <v>0.1694</v>
      </c>
    </row>
    <row r="24" spans="1:38">
      <c r="A24" s="20">
        <v>0.38100000000000001</v>
      </c>
      <c r="B24" s="20">
        <v>-2.9399999999999999E-2</v>
      </c>
      <c r="C24" s="20">
        <v>0.33410000000000001</v>
      </c>
      <c r="D24" s="20">
        <v>-0.21640000000000001</v>
      </c>
      <c r="E24" s="20">
        <v>-0.14649999999999999</v>
      </c>
      <c r="F24" s="20">
        <v>-0.31819999999999998</v>
      </c>
      <c r="G24" s="20">
        <v>0.10050000000000001</v>
      </c>
      <c r="H24" s="20">
        <v>-0.2167</v>
      </c>
      <c r="I24" s="20">
        <v>-7.6300000000000007E-2</v>
      </c>
      <c r="J24" s="20">
        <v>-4.87E-2</v>
      </c>
      <c r="K24" s="20">
        <v>5.1200000000000002E-2</v>
      </c>
      <c r="L24" s="20">
        <v>0.1186</v>
      </c>
      <c r="M24" s="20">
        <v>0.22750000000000001</v>
      </c>
      <c r="N24" s="20">
        <v>-9.9299999999999999E-2</v>
      </c>
      <c r="O24" s="20">
        <v>-0.13550000000000001</v>
      </c>
      <c r="P24" s="20">
        <v>5.1499999999999997E-2</v>
      </c>
      <c r="Q24" s="20">
        <v>-2.2700000000000001E-2</v>
      </c>
      <c r="R24" s="20">
        <v>-0.15140000000000001</v>
      </c>
      <c r="S24" s="20">
        <v>0.1143</v>
      </c>
      <c r="T24" s="20">
        <v>-2.1499999999999998E-2</v>
      </c>
      <c r="U24" s="20">
        <v>-6.5000000000000002E-2</v>
      </c>
      <c r="V24" s="20">
        <v>-7.5999999999999998E-2</v>
      </c>
      <c r="W24" s="20">
        <v>-1.35E-2</v>
      </c>
      <c r="X24" s="20">
        <v>6.6199999999999995E-2</v>
      </c>
      <c r="Y24" s="20">
        <v>2.76E-2</v>
      </c>
      <c r="Z24" s="20">
        <v>0.23139999999999999</v>
      </c>
      <c r="AA24" s="20">
        <v>4.5999999999999999E-3</v>
      </c>
      <c r="AB24" s="20">
        <v>-7.1999999999999995E-2</v>
      </c>
      <c r="AC24" s="20">
        <v>-0.19159999999999999</v>
      </c>
      <c r="AD24" s="20">
        <v>-8.0000000000000002E-3</v>
      </c>
      <c r="AE24" s="20">
        <v>-3.3099999999999997E-2</v>
      </c>
      <c r="AF24" s="20">
        <v>7.7600000000000002E-2</v>
      </c>
      <c r="AG24" s="20">
        <v>-0.16339999999999999</v>
      </c>
      <c r="AH24" s="20">
        <v>-1.9900000000000001E-2</v>
      </c>
      <c r="AI24" s="20">
        <v>0.44819999999999999</v>
      </c>
      <c r="AJ24" s="20">
        <v>-0.14990000000000001</v>
      </c>
      <c r="AK24" s="20">
        <v>-3.7000000000000002E-3</v>
      </c>
      <c r="AL24" s="21">
        <v>5.21E-2</v>
      </c>
    </row>
    <row r="25" spans="1:38">
      <c r="A25" s="20">
        <v>0.3972</v>
      </c>
      <c r="B25" s="20">
        <v>-0.432</v>
      </c>
      <c r="C25" s="20">
        <v>-0.12</v>
      </c>
      <c r="D25" s="20">
        <v>-0.1812</v>
      </c>
      <c r="E25" s="20">
        <v>0.14219999999999999</v>
      </c>
      <c r="F25" s="20">
        <v>-2.18E-2</v>
      </c>
      <c r="G25" s="20">
        <v>-0.1124</v>
      </c>
      <c r="H25" s="20">
        <v>3.9800000000000002E-2</v>
      </c>
      <c r="I25" s="20">
        <v>-0.13800000000000001</v>
      </c>
      <c r="J25" s="20">
        <v>-0.1472</v>
      </c>
      <c r="K25" s="20">
        <v>2.35E-2</v>
      </c>
      <c r="L25" s="20">
        <v>0.21099999999999999</v>
      </c>
      <c r="M25" s="20">
        <v>-0.16109999999999999</v>
      </c>
      <c r="N25" s="20">
        <v>0.13250000000000001</v>
      </c>
      <c r="O25" s="20">
        <v>0.1699</v>
      </c>
      <c r="P25" s="20">
        <v>-0.06</v>
      </c>
      <c r="Q25" s="20">
        <v>5.0000000000000001E-3</v>
      </c>
      <c r="R25" s="20">
        <v>-7.1000000000000004E-3</v>
      </c>
      <c r="S25" s="20">
        <v>-4.1099999999999998E-2</v>
      </c>
      <c r="T25" s="20">
        <v>0.21010000000000001</v>
      </c>
      <c r="U25" s="20">
        <v>-8.72E-2</v>
      </c>
      <c r="V25" s="20">
        <v>0.1439</v>
      </c>
      <c r="W25" s="20">
        <v>-0.1527</v>
      </c>
      <c r="X25" s="20">
        <v>0.30199999999999999</v>
      </c>
      <c r="Y25" s="20">
        <v>7.8399999999999997E-2</v>
      </c>
      <c r="Z25" s="20">
        <v>-0.18290000000000001</v>
      </c>
      <c r="AA25" s="20">
        <v>-4.6600000000000003E-2</v>
      </c>
      <c r="AB25" s="20">
        <v>0.1208</v>
      </c>
      <c r="AC25" s="20">
        <v>-4.7800000000000002E-2</v>
      </c>
      <c r="AD25" s="20">
        <v>-0.20849999999999999</v>
      </c>
      <c r="AE25" s="20">
        <v>-0.1812</v>
      </c>
      <c r="AF25" s="20">
        <v>0.1116</v>
      </c>
      <c r="AG25" s="20">
        <v>2.06E-2</v>
      </c>
      <c r="AH25" s="20">
        <v>-0.13170000000000001</v>
      </c>
      <c r="AI25" s="20">
        <v>0.22570000000000001</v>
      </c>
      <c r="AJ25" s="20">
        <v>6.08E-2</v>
      </c>
      <c r="AK25" s="20">
        <v>4.9099999999999998E-2</v>
      </c>
      <c r="AL25" s="21">
        <v>2.8500000000000001E-2</v>
      </c>
    </row>
    <row r="26" spans="1:38">
      <c r="A26" s="20">
        <v>-0.15329999999999999</v>
      </c>
      <c r="B26" s="20">
        <v>-0.4042</v>
      </c>
      <c r="C26" s="20">
        <v>0.30049999999999999</v>
      </c>
      <c r="D26" s="20">
        <v>-0.19289999999999999</v>
      </c>
      <c r="E26" s="20">
        <v>8.9599999999999999E-2</v>
      </c>
      <c r="F26" s="20">
        <v>0.36070000000000002</v>
      </c>
      <c r="G26" s="20">
        <v>-0.20669999999999999</v>
      </c>
      <c r="H26" s="20">
        <v>5.8799999999999998E-2</v>
      </c>
      <c r="I26" s="20">
        <v>0.31890000000000002</v>
      </c>
      <c r="J26" s="20">
        <v>1.8100000000000002E-2</v>
      </c>
      <c r="K26" s="20">
        <v>-0.25659999999999999</v>
      </c>
      <c r="L26" s="20">
        <v>-2.8000000000000001E-2</v>
      </c>
      <c r="M26" s="20">
        <v>6.2700000000000006E-2</v>
      </c>
      <c r="N26" s="20">
        <v>-0.1918</v>
      </c>
      <c r="O26" s="20">
        <v>0.24529999999999999</v>
      </c>
      <c r="P26" s="20">
        <v>-5.1299999999999998E-2</v>
      </c>
      <c r="Q26" s="20">
        <v>-0.17699999999999999</v>
      </c>
      <c r="R26" s="20">
        <v>3.2899999999999999E-2</v>
      </c>
      <c r="S26" s="20">
        <v>-6.4000000000000003E-3</v>
      </c>
      <c r="T26" s="20">
        <v>-1.7000000000000001E-2</v>
      </c>
      <c r="U26" s="20">
        <v>0.1865</v>
      </c>
      <c r="V26" s="20">
        <v>0.1076</v>
      </c>
      <c r="W26" s="20">
        <v>-9.6600000000000005E-2</v>
      </c>
      <c r="X26" s="20">
        <v>-2.0199999999999999E-2</v>
      </c>
      <c r="Y26" s="20">
        <v>2.87E-2</v>
      </c>
      <c r="Z26" s="20">
        <v>-0.21490000000000001</v>
      </c>
      <c r="AA26" s="20">
        <v>-6.1899999999999997E-2</v>
      </c>
      <c r="AB26" s="20">
        <v>0.14760000000000001</v>
      </c>
      <c r="AC26" s="20">
        <v>-5.0599999999999999E-2</v>
      </c>
      <c r="AD26" s="20">
        <v>-0.11360000000000001</v>
      </c>
      <c r="AE26" s="20">
        <v>0.13059999999999999</v>
      </c>
      <c r="AF26" s="20">
        <v>0.12740000000000001</v>
      </c>
      <c r="AG26" s="20">
        <v>1.38E-2</v>
      </c>
      <c r="AH26" s="20">
        <v>-7.3300000000000004E-2</v>
      </c>
      <c r="AI26" s="20">
        <v>-4.3200000000000002E-2</v>
      </c>
      <c r="AJ26" s="20">
        <v>-5.3E-3</v>
      </c>
      <c r="AK26" s="20">
        <v>9.2700000000000005E-2</v>
      </c>
      <c r="AL26" s="21">
        <v>5.3100000000000001E-2</v>
      </c>
    </row>
    <row r="27" spans="1:38">
      <c r="A27" s="20">
        <v>-0.18310000000000001</v>
      </c>
      <c r="B27" s="20">
        <v>0.49780000000000002</v>
      </c>
      <c r="C27" s="20">
        <v>-0.3755</v>
      </c>
      <c r="D27" s="20">
        <v>2.1600000000000001E-2</v>
      </c>
      <c r="E27" s="20">
        <v>4.9500000000000002E-2</v>
      </c>
      <c r="F27" s="20">
        <v>-8.7499999999999994E-2</v>
      </c>
      <c r="G27" s="20">
        <v>1.1900000000000001E-2</v>
      </c>
      <c r="H27" s="20">
        <v>0.18740000000000001</v>
      </c>
      <c r="I27" s="20">
        <v>3.3399999999999999E-2</v>
      </c>
      <c r="J27" s="20">
        <v>6.8900000000000003E-2</v>
      </c>
      <c r="K27" s="20">
        <v>7.0099999999999996E-2</v>
      </c>
      <c r="L27" s="20">
        <v>0.1168</v>
      </c>
      <c r="M27" s="20">
        <v>-5.6099999999999997E-2</v>
      </c>
      <c r="N27" s="20">
        <v>5.0200000000000002E-2</v>
      </c>
      <c r="O27" s="20">
        <v>6.6400000000000001E-2</v>
      </c>
      <c r="P27" s="20">
        <v>8.2900000000000001E-2</v>
      </c>
      <c r="Q27" s="20">
        <v>8.3799999999999999E-2</v>
      </c>
      <c r="R27" s="20">
        <v>2.1499999999999998E-2</v>
      </c>
      <c r="S27" s="20">
        <v>0.1691</v>
      </c>
      <c r="T27" s="20">
        <v>-2.2499999999999999E-2</v>
      </c>
      <c r="U27" s="20">
        <v>-1.67E-2</v>
      </c>
      <c r="V27" s="20">
        <v>-8.1100000000000005E-2</v>
      </c>
      <c r="W27" s="20">
        <v>-0.25390000000000001</v>
      </c>
      <c r="X27" s="20">
        <v>1.9199999999999998E-2</v>
      </c>
      <c r="Y27" s="20">
        <v>-0.17180000000000001</v>
      </c>
      <c r="Z27" s="20">
        <v>0.18459999999999999</v>
      </c>
      <c r="AA27" s="20">
        <v>0.14729999999999999</v>
      </c>
      <c r="AB27" s="20">
        <v>-7.3300000000000004E-2</v>
      </c>
      <c r="AC27" s="20">
        <v>-3.44E-2</v>
      </c>
      <c r="AD27" s="20">
        <v>-7.0099999999999996E-2</v>
      </c>
      <c r="AE27" s="20">
        <v>0.2046</v>
      </c>
      <c r="AF27" s="20">
        <v>0.1157</v>
      </c>
      <c r="AG27" s="20">
        <v>-0.20039999999999999</v>
      </c>
      <c r="AH27" s="20">
        <v>2.5399999999999999E-2</v>
      </c>
      <c r="AI27" s="20">
        <v>-0.40139999999999998</v>
      </c>
      <c r="AJ27" s="20">
        <v>-0.1668</v>
      </c>
      <c r="AK27" s="20">
        <v>-1.17E-2</v>
      </c>
      <c r="AL27" s="21">
        <v>-1.8599999999999998E-2</v>
      </c>
    </row>
    <row r="28" spans="1:38">
      <c r="A28" s="20">
        <v>0.57479999999999998</v>
      </c>
      <c r="B28" s="20">
        <v>-0.20660000000000001</v>
      </c>
      <c r="C28" s="20">
        <v>-0.29060000000000002</v>
      </c>
      <c r="D28" s="20">
        <v>0.1772</v>
      </c>
      <c r="E28" s="20">
        <v>0.08</v>
      </c>
      <c r="F28" s="20">
        <v>4.6100000000000002E-2</v>
      </c>
      <c r="G28" s="20">
        <v>-9.7699999999999995E-2</v>
      </c>
      <c r="H28" s="20">
        <v>-4.4000000000000003E-3</v>
      </c>
      <c r="I28" s="20">
        <v>-0.1242</v>
      </c>
      <c r="J28" s="20">
        <v>0.17330000000000001</v>
      </c>
      <c r="K28" s="20">
        <v>-0.18410000000000001</v>
      </c>
      <c r="L28" s="20">
        <v>-6.4000000000000003E-3</v>
      </c>
      <c r="M28" s="20">
        <v>0.23799999999999999</v>
      </c>
      <c r="N28" s="20">
        <v>-0.32540000000000002</v>
      </c>
      <c r="O28" s="20">
        <v>5.3999999999999999E-2</v>
      </c>
      <c r="P28" s="20">
        <v>-0.16489999999999999</v>
      </c>
      <c r="Q28" s="20">
        <v>-0.24199999999999999</v>
      </c>
      <c r="R28" s="20">
        <v>-9.2999999999999992E-3</v>
      </c>
      <c r="S28" s="20">
        <v>0.1615</v>
      </c>
      <c r="T28" s="20">
        <v>-6.1800000000000001E-2</v>
      </c>
      <c r="U28" s="20">
        <v>0.1065</v>
      </c>
      <c r="V28" s="20">
        <v>3.44E-2</v>
      </c>
      <c r="W28" s="20">
        <v>-2.75E-2</v>
      </c>
      <c r="X28" s="20">
        <v>6.1800000000000001E-2</v>
      </c>
      <c r="Y28" s="20">
        <v>5.8900000000000001E-2</v>
      </c>
      <c r="Z28" s="20">
        <v>-0.14630000000000001</v>
      </c>
      <c r="AA28" s="20">
        <v>-4.8599999999999997E-2</v>
      </c>
      <c r="AB28" s="20">
        <v>8.1500000000000003E-2</v>
      </c>
      <c r="AC28" s="20">
        <v>-9.7999999999999997E-3</v>
      </c>
      <c r="AD28" s="20">
        <v>0.12759999999999999</v>
      </c>
      <c r="AE28" s="20">
        <v>6.6299999999999998E-2</v>
      </c>
      <c r="AF28" s="20">
        <v>-0.1119</v>
      </c>
      <c r="AG28" s="20">
        <v>-2E-3</v>
      </c>
      <c r="AH28" s="20">
        <v>-0.1222</v>
      </c>
      <c r="AI28" s="20">
        <v>-1.03E-2</v>
      </c>
      <c r="AJ28" s="20">
        <v>1.77E-2</v>
      </c>
      <c r="AK28" s="20">
        <v>0.1777</v>
      </c>
      <c r="AL28" s="21">
        <v>-3.5799999999999998E-2</v>
      </c>
    </row>
    <row r="29" spans="1:38">
      <c r="A29" s="20">
        <v>0.25850000000000001</v>
      </c>
      <c r="B29" s="20">
        <v>6.0000000000000001E-3</v>
      </c>
      <c r="C29" s="20">
        <v>-0.36899999999999999</v>
      </c>
      <c r="D29" s="20">
        <v>-9.5999999999999992E-3</v>
      </c>
      <c r="E29" s="20">
        <v>1.09E-2</v>
      </c>
      <c r="F29" s="20">
        <v>0.2419</v>
      </c>
      <c r="G29" s="20">
        <v>8.0100000000000005E-2</v>
      </c>
      <c r="H29" s="20">
        <v>-2.7099999999999999E-2</v>
      </c>
      <c r="I29" s="20">
        <v>-4.53E-2</v>
      </c>
      <c r="J29" s="20">
        <v>-6.9199999999999998E-2</v>
      </c>
      <c r="K29" s="20">
        <v>-0.1618</v>
      </c>
      <c r="L29" s="20">
        <v>0.1052</v>
      </c>
      <c r="M29" s="20">
        <v>-0.1704</v>
      </c>
      <c r="N29" s="20">
        <v>-1.9199999999999998E-2</v>
      </c>
      <c r="O29" s="20">
        <v>4.0399999999999998E-2</v>
      </c>
      <c r="P29" s="20">
        <v>4.1000000000000002E-2</v>
      </c>
      <c r="Q29" s="20">
        <v>-0.29549999999999998</v>
      </c>
      <c r="R29" s="20">
        <v>0.13009999999999999</v>
      </c>
      <c r="S29" s="20">
        <v>0.14860000000000001</v>
      </c>
      <c r="T29" s="20">
        <v>0.21410000000000001</v>
      </c>
      <c r="U29" s="20">
        <v>-8.9399999999999993E-2</v>
      </c>
      <c r="V29" s="20">
        <v>0.13439999999999999</v>
      </c>
      <c r="W29" s="20">
        <v>0.16980000000000001</v>
      </c>
      <c r="X29" s="20">
        <v>-8.6699999999999999E-2</v>
      </c>
      <c r="Y29" s="20">
        <v>-5.3900000000000003E-2</v>
      </c>
      <c r="Z29" s="20">
        <v>-0.28499999999999998</v>
      </c>
      <c r="AA29" s="20">
        <v>-4.1399999999999999E-2</v>
      </c>
      <c r="AB29" s="20">
        <v>3.5700000000000003E-2</v>
      </c>
      <c r="AC29" s="20">
        <v>5.5599999999999997E-2</v>
      </c>
      <c r="AD29" s="20">
        <v>5.0599999999999999E-2</v>
      </c>
      <c r="AE29" s="20">
        <v>0.24690000000000001</v>
      </c>
      <c r="AF29" s="20">
        <v>-0.1056</v>
      </c>
      <c r="AG29" s="20">
        <v>-0.25580000000000003</v>
      </c>
      <c r="AH29" s="20">
        <v>0.23200000000000001</v>
      </c>
      <c r="AI29" s="20">
        <v>5.9200000000000003E-2</v>
      </c>
      <c r="AJ29" s="20">
        <v>-9.9900000000000003E-2</v>
      </c>
      <c r="AK29" s="20">
        <v>-0.2863</v>
      </c>
      <c r="AL29" s="21">
        <v>0.20019999999999999</v>
      </c>
    </row>
    <row r="30" spans="1:38">
      <c r="A30" s="20">
        <v>-8.1500000000000003E-2</v>
      </c>
      <c r="B30" s="20">
        <v>8.8000000000000005E-3</v>
      </c>
      <c r="C30" s="20">
        <v>0.18859999999999999</v>
      </c>
      <c r="D30" s="20">
        <v>-9.0899999999999995E-2</v>
      </c>
      <c r="E30" s="20">
        <v>-0.28339999999999999</v>
      </c>
      <c r="F30" s="20">
        <v>-0.3427</v>
      </c>
      <c r="G30" s="20">
        <v>0.22650000000000001</v>
      </c>
      <c r="H30" s="20">
        <v>-0.15590000000000001</v>
      </c>
      <c r="I30" s="20">
        <v>-0.19139999999999999</v>
      </c>
      <c r="J30" s="20">
        <v>5.7200000000000001E-2</v>
      </c>
      <c r="K30" s="20">
        <v>-9.7299999999999998E-2</v>
      </c>
      <c r="L30" s="20">
        <v>0.22470000000000001</v>
      </c>
      <c r="M30" s="20">
        <v>1.6500000000000001E-2</v>
      </c>
      <c r="N30" s="20">
        <v>-0.38840000000000002</v>
      </c>
      <c r="O30" s="20">
        <v>-0.1004</v>
      </c>
      <c r="P30" s="20">
        <v>0.23530000000000001</v>
      </c>
      <c r="Q30" s="20">
        <v>-2.4899999999999999E-2</v>
      </c>
      <c r="R30" s="20">
        <v>0.11269999999999999</v>
      </c>
      <c r="S30" s="20">
        <v>-1.37E-2</v>
      </c>
      <c r="T30" s="20">
        <v>-5.1999999999999998E-2</v>
      </c>
      <c r="U30" s="20">
        <v>-0.1963</v>
      </c>
      <c r="V30" s="20">
        <v>0.18079999999999999</v>
      </c>
      <c r="W30" s="20">
        <v>0.1124</v>
      </c>
      <c r="X30" s="20">
        <v>-6.7100000000000007E-2</v>
      </c>
      <c r="Y30" s="20">
        <v>0.28549999999999998</v>
      </c>
      <c r="Z30" s="20">
        <v>0.1348</v>
      </c>
      <c r="AA30" s="20">
        <v>9.06E-2</v>
      </c>
      <c r="AB30" s="20">
        <v>7.0599999999999996E-2</v>
      </c>
      <c r="AC30" s="20">
        <v>0.21879999999999999</v>
      </c>
      <c r="AD30" s="20">
        <v>-0.1004</v>
      </c>
      <c r="AE30" s="20">
        <v>-1.37E-2</v>
      </c>
      <c r="AF30" s="20">
        <v>-2.0999999999999999E-3</v>
      </c>
      <c r="AG30" s="20">
        <v>0.1331</v>
      </c>
      <c r="AH30" s="20">
        <v>-0.15629999999999999</v>
      </c>
      <c r="AI30" s="20">
        <v>-1.5800000000000002E-2</v>
      </c>
      <c r="AJ30" s="20">
        <v>-0.1229</v>
      </c>
      <c r="AK30" s="20">
        <v>0.15870000000000001</v>
      </c>
      <c r="AL30" s="21">
        <v>3.8600000000000002E-2</v>
      </c>
    </row>
    <row r="31" spans="1:38">
      <c r="A31" s="20">
        <v>0.43659999999999999</v>
      </c>
      <c r="B31" s="20">
        <v>-0.35339999999999999</v>
      </c>
      <c r="C31" s="20">
        <v>-0.28249999999999997</v>
      </c>
      <c r="D31" s="20">
        <v>0.25090000000000001</v>
      </c>
      <c r="E31" s="20">
        <v>0.35560000000000003</v>
      </c>
      <c r="F31" s="20">
        <v>0.13159999999999999</v>
      </c>
      <c r="G31" s="20">
        <v>0.06</v>
      </c>
      <c r="H31" s="20">
        <v>0.1</v>
      </c>
      <c r="I31" s="20">
        <v>-0.19739999999999999</v>
      </c>
      <c r="J31" s="20">
        <v>6.3600000000000004E-2</v>
      </c>
      <c r="K31" s="20">
        <v>-0.2472</v>
      </c>
      <c r="L31" s="20">
        <v>-6.1100000000000002E-2</v>
      </c>
      <c r="M31" s="20">
        <v>4.8399999999999999E-2</v>
      </c>
      <c r="N31" s="20">
        <v>1.49E-2</v>
      </c>
      <c r="O31" s="20">
        <v>-7.9600000000000004E-2</v>
      </c>
      <c r="P31" s="20">
        <v>3.1300000000000001E-2</v>
      </c>
      <c r="Q31" s="20">
        <v>-0.1283</v>
      </c>
      <c r="R31" s="20">
        <v>-0.1036</v>
      </c>
      <c r="S31" s="20">
        <v>2.1100000000000001E-2</v>
      </c>
      <c r="T31" s="20">
        <v>3.0499999999999999E-2</v>
      </c>
      <c r="U31" s="20">
        <v>6.9400000000000003E-2</v>
      </c>
      <c r="V31" s="20">
        <v>6.8699999999999997E-2</v>
      </c>
      <c r="W31" s="20">
        <v>-3.8899999999999997E-2</v>
      </c>
      <c r="X31" s="20">
        <v>-7.7799999999999994E-2</v>
      </c>
      <c r="Y31" s="20">
        <v>-0.152</v>
      </c>
      <c r="Z31" s="20">
        <v>-0.11310000000000001</v>
      </c>
      <c r="AA31" s="20">
        <v>4.4699999999999997E-2</v>
      </c>
      <c r="AB31" s="20">
        <v>-3.8199999999999998E-2</v>
      </c>
      <c r="AC31" s="20">
        <v>-1.8200000000000001E-2</v>
      </c>
      <c r="AD31" s="20">
        <v>1.6E-2</v>
      </c>
      <c r="AE31" s="20">
        <v>-0.1222</v>
      </c>
      <c r="AF31" s="20">
        <v>-0.17119999999999999</v>
      </c>
      <c r="AG31" s="20">
        <v>5.2400000000000002E-2</v>
      </c>
      <c r="AH31" s="20">
        <v>6.0699999999999997E-2</v>
      </c>
      <c r="AI31" s="20">
        <v>-0.1636</v>
      </c>
      <c r="AJ31" s="20">
        <v>0.21199999999999999</v>
      </c>
      <c r="AK31" s="20">
        <v>0.2389</v>
      </c>
      <c r="AL31" s="21">
        <v>3.9600000000000003E-2</v>
      </c>
    </row>
    <row r="32" spans="1:38">
      <c r="A32" s="20">
        <v>0.5403</v>
      </c>
      <c r="B32" s="20">
        <v>-0.22500000000000001</v>
      </c>
      <c r="C32" s="20">
        <v>-5.8500000000000003E-2</v>
      </c>
      <c r="D32" s="20">
        <v>7.0499999999999993E-2</v>
      </c>
      <c r="E32" s="20">
        <v>0.17849999999999999</v>
      </c>
      <c r="F32" s="20">
        <v>-5.0099999999999999E-2</v>
      </c>
      <c r="G32" s="20">
        <v>-8.8999999999999999E-3</v>
      </c>
      <c r="H32" s="20">
        <v>8.5599999999999996E-2</v>
      </c>
      <c r="I32" s="20">
        <v>-0.21659999999999999</v>
      </c>
      <c r="J32" s="20">
        <v>0.12479999999999999</v>
      </c>
      <c r="K32" s="20">
        <v>-0.17849999999999999</v>
      </c>
      <c r="L32" s="20">
        <v>0.1472</v>
      </c>
      <c r="M32" s="20">
        <v>-1.5699999999999999E-2</v>
      </c>
      <c r="N32" s="20">
        <v>-0.35909999999999997</v>
      </c>
      <c r="O32" s="20">
        <v>0.106</v>
      </c>
      <c r="P32" s="20">
        <v>-0.23330000000000001</v>
      </c>
      <c r="Q32" s="20">
        <v>-0.2114</v>
      </c>
      <c r="R32" s="20">
        <v>-2.8199999999999999E-2</v>
      </c>
      <c r="S32" s="20">
        <v>0.18529999999999999</v>
      </c>
      <c r="T32" s="20">
        <v>5.9499999999999997E-2</v>
      </c>
      <c r="U32" s="20">
        <v>0.1096</v>
      </c>
      <c r="V32" s="20">
        <v>6.6799999999999998E-2</v>
      </c>
      <c r="W32" s="20">
        <v>-4.7000000000000002E-3</v>
      </c>
      <c r="X32" s="20">
        <v>-5.1700000000000003E-2</v>
      </c>
      <c r="Y32" s="20">
        <v>3.5499999999999997E-2</v>
      </c>
      <c r="Z32" s="20">
        <v>-0.27410000000000001</v>
      </c>
      <c r="AA32" s="20">
        <v>-5.0599999999999999E-2</v>
      </c>
      <c r="AB32" s="20">
        <v>1.2500000000000001E-2</v>
      </c>
      <c r="AC32" s="20">
        <v>1.5100000000000001E-2</v>
      </c>
      <c r="AD32" s="20">
        <v>5.1200000000000002E-2</v>
      </c>
      <c r="AE32" s="20">
        <v>0.22339999999999999</v>
      </c>
      <c r="AF32" s="20">
        <v>-0.153</v>
      </c>
      <c r="AG32" s="20">
        <v>-6.7900000000000002E-2</v>
      </c>
      <c r="AH32" s="20">
        <v>-1.77E-2</v>
      </c>
      <c r="AI32" s="20">
        <v>-6.3700000000000007E-2</v>
      </c>
      <c r="AJ32" s="20">
        <v>0.13</v>
      </c>
      <c r="AK32" s="20">
        <v>0.11070000000000001</v>
      </c>
      <c r="AL32" s="21">
        <v>2.0899999999999998E-2</v>
      </c>
    </row>
    <row r="33" spans="1:38">
      <c r="A33" s="20">
        <v>0.26219999999999999</v>
      </c>
      <c r="B33" s="20">
        <v>0.39179999999999998</v>
      </c>
      <c r="C33" s="20">
        <v>0.1021</v>
      </c>
      <c r="D33" s="20">
        <v>-6.88E-2</v>
      </c>
      <c r="E33" s="20">
        <v>-0.13</v>
      </c>
      <c r="F33" s="20">
        <v>5.5100000000000003E-2</v>
      </c>
      <c r="G33" s="20">
        <v>0.12889999999999999</v>
      </c>
      <c r="H33" s="20">
        <v>0.20899999999999999</v>
      </c>
      <c r="I33" s="20">
        <v>3.5999999999999997E-2</v>
      </c>
      <c r="J33" s="20">
        <v>-6.5500000000000003E-2</v>
      </c>
      <c r="K33" s="20">
        <v>0.11459999999999999</v>
      </c>
      <c r="L33" s="20">
        <v>-0.16819999999999999</v>
      </c>
      <c r="M33" s="20">
        <v>-0.27639999999999998</v>
      </c>
      <c r="N33" s="20">
        <v>-0.37659999999999999</v>
      </c>
      <c r="O33" s="20">
        <v>0.29759999999999998</v>
      </c>
      <c r="P33" s="20">
        <v>-8.1100000000000005E-2</v>
      </c>
      <c r="Q33" s="20">
        <v>7.7600000000000002E-2</v>
      </c>
      <c r="R33" s="20">
        <v>-0.1424</v>
      </c>
      <c r="S33" s="20">
        <v>0.13700000000000001</v>
      </c>
      <c r="T33" s="20">
        <v>0.1079</v>
      </c>
      <c r="U33" s="20">
        <v>2.9100000000000001E-2</v>
      </c>
      <c r="V33" s="20">
        <v>-0.11020000000000001</v>
      </c>
      <c r="W33" s="20">
        <v>-0.11269999999999999</v>
      </c>
      <c r="X33" s="20">
        <v>-8.4400000000000003E-2</v>
      </c>
      <c r="Y33" s="20">
        <v>2.8500000000000001E-2</v>
      </c>
      <c r="Z33" s="20">
        <v>7.0900000000000005E-2</v>
      </c>
      <c r="AA33" s="20">
        <v>-5.16E-2</v>
      </c>
      <c r="AB33" s="20">
        <v>-3.49E-2</v>
      </c>
      <c r="AC33" s="20">
        <v>0.1963</v>
      </c>
      <c r="AD33" s="20">
        <v>0.1797</v>
      </c>
      <c r="AE33" s="20">
        <v>-0.20130000000000001</v>
      </c>
      <c r="AF33" s="20">
        <v>-0.2223</v>
      </c>
      <c r="AG33" s="20">
        <v>9.9599999999999994E-2</v>
      </c>
      <c r="AH33" s="20">
        <v>-7.7000000000000002E-3</v>
      </c>
      <c r="AI33" s="20">
        <v>-0.1031</v>
      </c>
      <c r="AJ33" s="20">
        <v>-0.1797</v>
      </c>
      <c r="AK33" s="20">
        <v>-2.1000000000000001E-2</v>
      </c>
      <c r="AL33" s="21">
        <v>-9.3399999999999997E-2</v>
      </c>
    </row>
    <row r="34" spans="1:38">
      <c r="A34" s="20">
        <v>-2.18E-2</v>
      </c>
      <c r="B34" s="20">
        <v>-0.21199999999999999</v>
      </c>
      <c r="C34" s="20">
        <v>0.20469999999999999</v>
      </c>
      <c r="D34" s="20">
        <v>-0.04</v>
      </c>
      <c r="E34" s="20">
        <v>0.49569999999999997</v>
      </c>
      <c r="F34" s="20">
        <v>0.1305</v>
      </c>
      <c r="G34" s="20">
        <v>0.23430000000000001</v>
      </c>
      <c r="H34" s="20">
        <v>9.8500000000000004E-2</v>
      </c>
      <c r="I34" s="20">
        <v>-0.24809999999999999</v>
      </c>
      <c r="J34" s="20">
        <v>-0.14360000000000001</v>
      </c>
      <c r="K34" s="20">
        <v>0.1691</v>
      </c>
      <c r="L34" s="20">
        <v>-0.14560000000000001</v>
      </c>
      <c r="M34" s="20">
        <v>4.8999999999999998E-3</v>
      </c>
      <c r="N34" s="20">
        <v>-4.2000000000000003E-2</v>
      </c>
      <c r="O34" s="20">
        <v>-2.3300000000000001E-2</v>
      </c>
      <c r="P34" s="20">
        <v>7.5300000000000006E-2</v>
      </c>
      <c r="Q34" s="20">
        <v>7.3599999999999999E-2</v>
      </c>
      <c r="R34" s="20">
        <v>0.1414</v>
      </c>
      <c r="S34" s="20">
        <v>-0.1167</v>
      </c>
      <c r="T34" s="20">
        <v>-3.4000000000000002E-2</v>
      </c>
      <c r="U34" s="20">
        <v>-0.10489999999999999</v>
      </c>
      <c r="V34" s="20">
        <v>-0.12759999999999999</v>
      </c>
      <c r="W34" s="20">
        <v>9.1999999999999998E-2</v>
      </c>
      <c r="X34" s="20">
        <v>-0.3261</v>
      </c>
      <c r="Y34" s="20">
        <v>0.128</v>
      </c>
      <c r="Z34" s="20">
        <v>-0.1527</v>
      </c>
      <c r="AA34" s="20">
        <v>-0.16309999999999999</v>
      </c>
      <c r="AB34" s="20">
        <v>0.15559999999999999</v>
      </c>
      <c r="AC34" s="20">
        <v>-1.3599999999999999E-2</v>
      </c>
      <c r="AD34" s="20">
        <v>0.10489999999999999</v>
      </c>
      <c r="AE34" s="20">
        <v>-0.1454</v>
      </c>
      <c r="AF34" s="20">
        <v>-0.25919999999999999</v>
      </c>
      <c r="AG34" s="20">
        <v>0.10199999999999999</v>
      </c>
      <c r="AH34" s="20">
        <v>3.5099999999999999E-2</v>
      </c>
      <c r="AI34" s="20">
        <v>-3.1300000000000001E-2</v>
      </c>
      <c r="AJ34" s="20">
        <v>8.14E-2</v>
      </c>
      <c r="AK34" s="20">
        <v>-0.14510000000000001</v>
      </c>
      <c r="AL34" s="21">
        <v>0.1767</v>
      </c>
    </row>
    <row r="35" spans="1:38">
      <c r="A35" s="20">
        <v>4.7699999999999999E-2</v>
      </c>
      <c r="B35" s="20">
        <v>-0.17169999999999999</v>
      </c>
      <c r="C35" s="20">
        <v>-0.15590000000000001</v>
      </c>
      <c r="D35" s="20">
        <v>0.152</v>
      </c>
      <c r="E35" s="20">
        <v>-0.105</v>
      </c>
      <c r="F35" s="20">
        <v>0.43380000000000002</v>
      </c>
      <c r="G35" s="20">
        <v>-0.1812</v>
      </c>
      <c r="H35" s="20">
        <v>0.12620000000000001</v>
      </c>
      <c r="I35" s="20">
        <v>-0.25969999999999999</v>
      </c>
      <c r="J35" s="20">
        <v>5.7500000000000002E-2</v>
      </c>
      <c r="K35" s="20">
        <v>0.20910000000000001</v>
      </c>
      <c r="L35" s="20">
        <v>-0.1573</v>
      </c>
      <c r="M35" s="20">
        <v>1.3100000000000001E-2</v>
      </c>
      <c r="N35" s="20">
        <v>-8.0100000000000005E-2</v>
      </c>
      <c r="O35" s="20">
        <v>-4.6100000000000002E-2</v>
      </c>
      <c r="P35" s="20">
        <v>-0.1694</v>
      </c>
      <c r="Q35" s="20">
        <v>0.22220000000000001</v>
      </c>
      <c r="R35" s="20">
        <v>-0.12230000000000001</v>
      </c>
      <c r="S35" s="20">
        <v>-0.1048</v>
      </c>
      <c r="T35" s="20">
        <v>-7.6E-3</v>
      </c>
      <c r="U35" s="20">
        <v>8.2600000000000007E-2</v>
      </c>
      <c r="V35" s="20">
        <v>0.14729999999999999</v>
      </c>
      <c r="W35" s="20">
        <v>-0.21410000000000001</v>
      </c>
      <c r="X35" s="20">
        <v>4.9700000000000001E-2</v>
      </c>
      <c r="Y35" s="20">
        <v>-1.77E-2</v>
      </c>
      <c r="Z35" s="20">
        <v>5.8000000000000003E-2</v>
      </c>
      <c r="AA35" s="20">
        <v>0.11</v>
      </c>
      <c r="AB35" s="20">
        <v>-0.20699999999999999</v>
      </c>
      <c r="AC35" s="20">
        <v>-0.19020000000000001</v>
      </c>
      <c r="AD35" s="20">
        <v>0.3987</v>
      </c>
      <c r="AE35" s="20">
        <v>-0.11899999999999999</v>
      </c>
      <c r="AF35" s="20">
        <v>8.9599999999999999E-2</v>
      </c>
      <c r="AG35" s="20">
        <v>0.1103</v>
      </c>
      <c r="AH35" s="20">
        <v>-1.5599999999999999E-2</v>
      </c>
      <c r="AI35" s="20">
        <v>0.1153</v>
      </c>
      <c r="AJ35" s="20">
        <v>0.123</v>
      </c>
      <c r="AK35" s="20">
        <v>-0.14729999999999999</v>
      </c>
      <c r="AL35" s="21">
        <v>-7.4300000000000005E-2</v>
      </c>
    </row>
    <row r="36" spans="1:38">
      <c r="A36" s="20">
        <v>-8.0999999999999996E-3</v>
      </c>
      <c r="B36" s="20">
        <v>-0.4924</v>
      </c>
      <c r="C36" s="20">
        <v>-4.7899999999999998E-2</v>
      </c>
      <c r="D36" s="20">
        <v>0.23910000000000001</v>
      </c>
      <c r="E36" s="20">
        <v>0.37190000000000001</v>
      </c>
      <c r="F36" s="20">
        <v>-0.2266</v>
      </c>
      <c r="G36" s="20">
        <v>0.1784</v>
      </c>
      <c r="H36" s="20">
        <v>6.5299999999999997E-2</v>
      </c>
      <c r="I36" s="20">
        <v>-6.7000000000000002E-3</v>
      </c>
      <c r="J36" s="20">
        <v>0.1166</v>
      </c>
      <c r="K36" s="20">
        <v>7.0800000000000002E-2</v>
      </c>
      <c r="L36" s="20">
        <v>-0.23469999999999999</v>
      </c>
      <c r="M36" s="20">
        <v>5.2200000000000003E-2</v>
      </c>
      <c r="N36" s="20">
        <v>4.8999999999999998E-3</v>
      </c>
      <c r="O36" s="20">
        <v>0.31040000000000001</v>
      </c>
      <c r="P36" s="20">
        <v>-0.1668</v>
      </c>
      <c r="Q36" s="20">
        <v>-2.6700000000000002E-2</v>
      </c>
      <c r="R36" s="20">
        <v>2.52E-2</v>
      </c>
      <c r="S36" s="20">
        <v>-8.6199999999999999E-2</v>
      </c>
      <c r="T36" s="20">
        <v>2.5999999999999999E-3</v>
      </c>
      <c r="U36" s="20">
        <v>-6.9599999999999995E-2</v>
      </c>
      <c r="V36" s="20">
        <v>6.5000000000000002E-2</v>
      </c>
      <c r="W36" s="20">
        <v>0.20569999999999999</v>
      </c>
      <c r="X36" s="20">
        <v>1.1900000000000001E-2</v>
      </c>
      <c r="Y36" s="20">
        <v>-8.9099999999999999E-2</v>
      </c>
      <c r="Z36" s="20">
        <v>0.21640000000000001</v>
      </c>
      <c r="AA36" s="20">
        <v>-0.19670000000000001</v>
      </c>
      <c r="AB36" s="20">
        <v>-9.6600000000000005E-2</v>
      </c>
      <c r="AC36" s="20">
        <v>9.3700000000000006E-2</v>
      </c>
      <c r="AD36" s="20">
        <v>-0.17760000000000001</v>
      </c>
      <c r="AE36" s="20">
        <v>-0.20430000000000001</v>
      </c>
      <c r="AF36" s="20">
        <v>-4.7600000000000003E-2</v>
      </c>
      <c r="AG36" s="20">
        <v>2.0899999999999998E-2</v>
      </c>
      <c r="AH36" s="20">
        <v>-3.3099999999999997E-2</v>
      </c>
      <c r="AI36" s="20">
        <v>0.1285</v>
      </c>
      <c r="AJ36" s="20">
        <v>-3.2800000000000003E-2</v>
      </c>
      <c r="AK36" s="20">
        <v>7.1099999999999997E-2</v>
      </c>
      <c r="AL36" s="21">
        <v>-2.5999999999999999E-3</v>
      </c>
    </row>
    <row r="37" spans="1:38">
      <c r="A37" s="20">
        <v>0.1018</v>
      </c>
      <c r="B37" s="20">
        <v>-0.11990000000000001</v>
      </c>
      <c r="C37" s="20">
        <v>0.27329999999999999</v>
      </c>
      <c r="D37" s="20">
        <v>-6.7900000000000002E-2</v>
      </c>
      <c r="E37" s="20">
        <v>6.1000000000000004E-3</v>
      </c>
      <c r="F37" s="20">
        <v>-0.18540000000000001</v>
      </c>
      <c r="G37" s="20">
        <v>1.2999999999999999E-3</v>
      </c>
      <c r="H37" s="20">
        <v>-0.18809999999999999</v>
      </c>
      <c r="I37" s="20">
        <v>-4.9000000000000002E-2</v>
      </c>
      <c r="J37" s="20">
        <v>0.39</v>
      </c>
      <c r="K37" s="20">
        <v>-4.58E-2</v>
      </c>
      <c r="L37" s="20">
        <v>-0.14649999999999999</v>
      </c>
      <c r="M37" s="20">
        <v>-4.6100000000000002E-2</v>
      </c>
      <c r="N37" s="20">
        <v>0.19439999999999999</v>
      </c>
      <c r="O37" s="20">
        <v>-0.1484</v>
      </c>
      <c r="P37" s="20">
        <v>7.4300000000000005E-2</v>
      </c>
      <c r="Q37" s="20">
        <v>0.2253</v>
      </c>
      <c r="R37" s="20">
        <v>4.7100000000000003E-2</v>
      </c>
      <c r="S37" s="20">
        <v>-0.1502</v>
      </c>
      <c r="T37" s="20">
        <v>-0.2437</v>
      </c>
      <c r="U37" s="20">
        <v>4.4499999999999998E-2</v>
      </c>
      <c r="V37" s="20">
        <v>-0.2387</v>
      </c>
      <c r="W37" s="20">
        <v>0.12759999999999999</v>
      </c>
      <c r="X37" s="20">
        <v>6.2100000000000002E-2</v>
      </c>
      <c r="Y37" s="20">
        <v>6.6100000000000006E-2</v>
      </c>
      <c r="Z37" s="20">
        <v>-7.6399999999999996E-2</v>
      </c>
      <c r="AA37" s="20">
        <v>-0.25169999999999998</v>
      </c>
      <c r="AB37" s="20">
        <v>-0.28339999999999999</v>
      </c>
      <c r="AC37" s="20">
        <v>-0.15559999999999999</v>
      </c>
      <c r="AD37" s="20">
        <v>0.18779999999999999</v>
      </c>
      <c r="AE37" s="20">
        <v>0.12839999999999999</v>
      </c>
      <c r="AF37" s="20">
        <v>0.159</v>
      </c>
      <c r="AG37" s="20">
        <v>-0.1215</v>
      </c>
      <c r="AH37" s="20">
        <v>-4.0500000000000001E-2</v>
      </c>
      <c r="AI37" s="20">
        <v>-1.04E-2</v>
      </c>
      <c r="AJ37" s="20">
        <v>0.1244</v>
      </c>
      <c r="AK37" s="20">
        <v>0.27060000000000001</v>
      </c>
      <c r="AL37" s="21">
        <v>7.9600000000000004E-2</v>
      </c>
    </row>
    <row r="38" spans="1:38">
      <c r="A38" s="20">
        <v>9.0899999999999995E-2</v>
      </c>
      <c r="B38" s="20">
        <v>0.11020000000000001</v>
      </c>
      <c r="C38" s="20">
        <v>-4.4999999999999997E-3</v>
      </c>
      <c r="D38" s="20">
        <v>-0.1789</v>
      </c>
      <c r="E38" s="20">
        <v>1.9900000000000001E-2</v>
      </c>
      <c r="F38" s="20">
        <v>6.2700000000000006E-2</v>
      </c>
      <c r="G38" s="20">
        <v>-0.1079</v>
      </c>
      <c r="H38" s="20">
        <v>-0.29799999999999999</v>
      </c>
      <c r="I38" s="20">
        <v>0.1643</v>
      </c>
      <c r="J38" s="20">
        <v>-0.14319999999999999</v>
      </c>
      <c r="K38" s="20">
        <v>0.17150000000000001</v>
      </c>
      <c r="L38" s="20">
        <v>0.28110000000000002</v>
      </c>
      <c r="M38" s="20">
        <v>-4.87E-2</v>
      </c>
      <c r="N38" s="20">
        <v>0.4531</v>
      </c>
      <c r="O38" s="20">
        <v>-0.3916</v>
      </c>
      <c r="P38" s="20">
        <v>-0.1313</v>
      </c>
      <c r="Q38" s="20">
        <v>3.7400000000000003E-2</v>
      </c>
      <c r="R38" s="20">
        <v>-0.19109999999999999</v>
      </c>
      <c r="S38" s="20">
        <v>-3.0599999999999999E-2</v>
      </c>
      <c r="T38" s="20">
        <v>1.8100000000000002E-2</v>
      </c>
      <c r="U38" s="20">
        <v>-3.5400000000000001E-2</v>
      </c>
      <c r="V38" s="20">
        <v>0.33339999999999997</v>
      </c>
      <c r="W38" s="20">
        <v>-1.9900000000000001E-2</v>
      </c>
      <c r="X38" s="20">
        <v>-3.95E-2</v>
      </c>
      <c r="Y38" s="20">
        <v>-0.13039999999999999</v>
      </c>
      <c r="Z38" s="20">
        <v>-0.1628</v>
      </c>
      <c r="AA38" s="20">
        <v>0.12570000000000001</v>
      </c>
      <c r="AB38" s="20">
        <v>-6.4799999999999996E-2</v>
      </c>
      <c r="AC38" s="20">
        <v>0.1477</v>
      </c>
      <c r="AD38" s="20">
        <v>5.4399999999999997E-2</v>
      </c>
      <c r="AE38" s="20">
        <v>-1.9599999999999999E-2</v>
      </c>
      <c r="AF38" s="20">
        <v>1.9599999999999999E-2</v>
      </c>
      <c r="AG38" s="20">
        <v>0.10730000000000001</v>
      </c>
      <c r="AH38" s="20">
        <v>-9.1200000000000003E-2</v>
      </c>
      <c r="AI38" s="20">
        <v>-1.9300000000000001E-2</v>
      </c>
      <c r="AJ38" s="20">
        <v>5.5599999999999997E-2</v>
      </c>
      <c r="AK38" s="20">
        <v>6.0600000000000001E-2</v>
      </c>
      <c r="AL38" s="21">
        <v>-0.1973</v>
      </c>
    </row>
    <row r="39" spans="1:38">
      <c r="A39" s="20">
        <v>-0.16769999999999999</v>
      </c>
      <c r="B39" s="20">
        <v>0.18529999999999999</v>
      </c>
      <c r="C39" s="20">
        <v>-0.1018</v>
      </c>
      <c r="D39" s="20">
        <v>-0.17549999999999999</v>
      </c>
      <c r="E39" s="20">
        <v>-0.19500000000000001</v>
      </c>
      <c r="F39" s="20">
        <v>0.19769999999999999</v>
      </c>
      <c r="G39" s="20">
        <v>6.4600000000000005E-2</v>
      </c>
      <c r="H39" s="20">
        <v>-5.1400000000000001E-2</v>
      </c>
      <c r="I39" s="20">
        <v>0.18959999999999999</v>
      </c>
      <c r="J39" s="20">
        <v>-0.22070000000000001</v>
      </c>
      <c r="K39" s="20">
        <v>5.8400000000000001E-2</v>
      </c>
      <c r="L39" s="20">
        <v>0.2089</v>
      </c>
      <c r="M39" s="20">
        <v>0.1474</v>
      </c>
      <c r="N39" s="20">
        <v>0.16389999999999999</v>
      </c>
      <c r="O39" s="20">
        <v>-0.2258</v>
      </c>
      <c r="P39" s="20">
        <v>-0.18340000000000001</v>
      </c>
      <c r="Q39" s="20">
        <v>0.23480000000000001</v>
      </c>
      <c r="R39" s="20">
        <v>0.16350000000000001</v>
      </c>
      <c r="S39" s="20">
        <v>7.1199999999999999E-2</v>
      </c>
      <c r="T39" s="20">
        <v>-6.9699999999999998E-2</v>
      </c>
      <c r="U39" s="20">
        <v>0.32840000000000003</v>
      </c>
      <c r="V39" s="20">
        <v>0.37659999999999999</v>
      </c>
      <c r="W39" s="20">
        <v>-0.15490000000000001</v>
      </c>
      <c r="X39" s="20">
        <v>-4.7899999999999998E-2</v>
      </c>
      <c r="Y39" s="20">
        <v>-0.1404</v>
      </c>
      <c r="Z39" s="20">
        <v>-9.4399999999999998E-2</v>
      </c>
      <c r="AA39" s="20">
        <v>1.61E-2</v>
      </c>
      <c r="AB39" s="20">
        <v>-0.16900000000000001</v>
      </c>
      <c r="AC39" s="20">
        <v>-0.18049999999999999</v>
      </c>
      <c r="AD39" s="20">
        <v>-8.5300000000000001E-2</v>
      </c>
      <c r="AE39" s="20">
        <v>-0.14530000000000001</v>
      </c>
      <c r="AF39" s="20">
        <v>5.7599999999999998E-2</v>
      </c>
      <c r="AG39" s="20">
        <v>2.1899999999999999E-2</v>
      </c>
      <c r="AH39" s="20">
        <v>-7.5399999999999995E-2</v>
      </c>
      <c r="AI39" s="20">
        <v>-0.126</v>
      </c>
      <c r="AJ39" s="20">
        <v>-6.93E-2</v>
      </c>
      <c r="AK39" s="20">
        <v>0.17560000000000001</v>
      </c>
      <c r="AL39" s="21">
        <v>2.1399999999999999E-2</v>
      </c>
    </row>
    <row r="40" spans="1:38">
      <c r="A40" s="20">
        <v>-0.20630000000000001</v>
      </c>
      <c r="B40" s="20">
        <v>0.1129</v>
      </c>
      <c r="C40" s="20">
        <v>-4.5999999999999999E-3</v>
      </c>
      <c r="D40" s="20">
        <v>0.25590000000000002</v>
      </c>
      <c r="E40" s="20">
        <v>0.2432</v>
      </c>
      <c r="F40" s="20">
        <v>8.8700000000000001E-2</v>
      </c>
      <c r="G40" s="20">
        <v>-0.23419999999999999</v>
      </c>
      <c r="H40" s="20">
        <v>-6.7500000000000004E-2</v>
      </c>
      <c r="I40" s="20">
        <v>2.2700000000000001E-2</v>
      </c>
      <c r="J40" s="20">
        <v>4.0899999999999999E-2</v>
      </c>
      <c r="K40" s="20">
        <v>2.5700000000000001E-2</v>
      </c>
      <c r="L40" s="20">
        <v>-0.25240000000000001</v>
      </c>
      <c r="M40" s="20">
        <v>-0.13930000000000001</v>
      </c>
      <c r="N40" s="20">
        <v>9.2399999999999996E-2</v>
      </c>
      <c r="O40" s="20">
        <v>-0.1197</v>
      </c>
      <c r="P40" s="20">
        <v>0.27939999999999998</v>
      </c>
      <c r="Q40" s="20">
        <v>-0.1052</v>
      </c>
      <c r="R40" s="20">
        <v>-0.1188</v>
      </c>
      <c r="S40" s="20">
        <v>0.28339999999999999</v>
      </c>
      <c r="T40" s="20">
        <v>-0.2394</v>
      </c>
      <c r="U40" s="20">
        <v>9.2299999999999993E-2</v>
      </c>
      <c r="V40" s="20">
        <v>-5.8500000000000003E-2</v>
      </c>
      <c r="W40" s="20">
        <v>1.0200000000000001E-2</v>
      </c>
      <c r="X40" s="20">
        <v>-0.1908</v>
      </c>
      <c r="Y40" s="20">
        <v>-6.5500000000000003E-2</v>
      </c>
      <c r="Z40" s="20">
        <v>7.3200000000000001E-2</v>
      </c>
      <c r="AA40" s="20">
        <v>1.37E-2</v>
      </c>
      <c r="AB40" s="20">
        <v>-1.6400000000000001E-2</v>
      </c>
      <c r="AC40" s="20">
        <v>-1.52E-2</v>
      </c>
      <c r="AD40" s="20">
        <v>-6.2399999999999997E-2</v>
      </c>
      <c r="AE40" s="20">
        <v>-0.24740000000000001</v>
      </c>
      <c r="AF40" s="20">
        <v>-0.19170000000000001</v>
      </c>
      <c r="AG40" s="20">
        <v>1.6000000000000001E-3</v>
      </c>
      <c r="AH40" s="20">
        <v>0.186</v>
      </c>
      <c r="AI40" s="20">
        <v>9.2100000000000001E-2</v>
      </c>
      <c r="AJ40" s="20">
        <v>0.15570000000000001</v>
      </c>
      <c r="AK40" s="20">
        <v>0.39700000000000002</v>
      </c>
      <c r="AL40" s="21">
        <v>-0.13170000000000001</v>
      </c>
    </row>
    <row r="41" spans="1:38">
      <c r="A41" s="20">
        <v>-5.9400000000000001E-2</v>
      </c>
      <c r="B41" s="20">
        <v>-0.4133</v>
      </c>
      <c r="C41" s="20">
        <v>-0.16320000000000001</v>
      </c>
      <c r="D41" s="20">
        <v>8.0299999999999996E-2</v>
      </c>
      <c r="E41" s="20">
        <v>-0.1027</v>
      </c>
      <c r="F41" s="20">
        <v>6.54E-2</v>
      </c>
      <c r="G41" s="20">
        <v>0.65410000000000001</v>
      </c>
      <c r="H41" s="20">
        <v>5.7999999999999996E-3</v>
      </c>
      <c r="I41" s="20">
        <v>2.7799999999999998E-2</v>
      </c>
      <c r="J41" s="20">
        <v>0.35220000000000001</v>
      </c>
      <c r="K41" s="20">
        <v>0.23269999999999999</v>
      </c>
      <c r="L41" s="20">
        <v>-8.5099999999999995E-2</v>
      </c>
      <c r="M41" s="20">
        <v>2.6700000000000002E-2</v>
      </c>
      <c r="N41" s="20">
        <v>9.5500000000000002E-2</v>
      </c>
      <c r="O41" s="20">
        <v>-7.3499999999999996E-2</v>
      </c>
      <c r="P41" s="20">
        <v>6.7400000000000002E-2</v>
      </c>
      <c r="Q41" s="20">
        <v>-0.1048</v>
      </c>
      <c r="R41" s="20">
        <v>-0.1226</v>
      </c>
      <c r="S41" s="20">
        <v>-1.9300000000000001E-2</v>
      </c>
      <c r="T41" s="20">
        <v>2.4E-2</v>
      </c>
      <c r="U41" s="20">
        <v>-0.1431</v>
      </c>
      <c r="V41" s="20">
        <v>7.5800000000000006E-2</v>
      </c>
      <c r="W41" s="20">
        <v>-3.9699999999999999E-2</v>
      </c>
      <c r="X41" s="20">
        <v>-8.3099999999999993E-2</v>
      </c>
      <c r="Y41" s="20">
        <v>0.16689999999999999</v>
      </c>
      <c r="Z41" s="20">
        <v>-7.3599999999999999E-2</v>
      </c>
      <c r="AA41" s="20">
        <v>-7.1199999999999999E-2</v>
      </c>
      <c r="AB41" s="20">
        <v>-8.3000000000000004E-2</v>
      </c>
      <c r="AC41" s="20">
        <v>-4.9700000000000001E-2</v>
      </c>
      <c r="AD41" s="20">
        <v>9.1000000000000004E-3</v>
      </c>
      <c r="AE41" s="20">
        <v>-2.0199999999999999E-2</v>
      </c>
      <c r="AF41" s="20">
        <v>-5.57E-2</v>
      </c>
      <c r="AG41" s="20">
        <v>0.1163</v>
      </c>
      <c r="AH41" s="20">
        <v>-1.7000000000000001E-2</v>
      </c>
      <c r="AI41" s="20">
        <v>-5.96E-2</v>
      </c>
      <c r="AJ41" s="20">
        <v>-1.7899999999999999E-2</v>
      </c>
      <c r="AK41" s="20">
        <v>-2.86E-2</v>
      </c>
      <c r="AL41" s="21">
        <v>-0.1116</v>
      </c>
    </row>
    <row r="42" spans="1:38">
      <c r="A42" s="20">
        <v>-0.31830000000000003</v>
      </c>
      <c r="B42" s="20">
        <v>-0.2445</v>
      </c>
      <c r="C42" s="20">
        <v>0.1221</v>
      </c>
      <c r="D42" s="20">
        <v>0.40039999999999998</v>
      </c>
      <c r="E42" s="20">
        <v>0.30909999999999999</v>
      </c>
      <c r="F42" s="20">
        <v>-0.22869999999999999</v>
      </c>
      <c r="G42" s="20">
        <v>-0.21529999999999999</v>
      </c>
      <c r="H42" s="20">
        <v>0.1169</v>
      </c>
      <c r="I42" s="20">
        <v>-0.1012</v>
      </c>
      <c r="J42" s="20">
        <v>1.7999999999999999E-2</v>
      </c>
      <c r="K42" s="20">
        <v>3.6999999999999998E-2</v>
      </c>
      <c r="L42" s="20">
        <v>8.0500000000000002E-2</v>
      </c>
      <c r="M42" s="20">
        <v>9.9000000000000008E-3</v>
      </c>
      <c r="N42" s="20">
        <v>0.15540000000000001</v>
      </c>
      <c r="O42" s="20">
        <v>-0.1201</v>
      </c>
      <c r="P42" s="20">
        <v>4.9599999999999998E-2</v>
      </c>
      <c r="Q42" s="20">
        <v>9.5299999999999996E-2</v>
      </c>
      <c r="R42" s="20">
        <v>4.2599999999999999E-2</v>
      </c>
      <c r="S42" s="20">
        <v>-5.0799999999999998E-2</v>
      </c>
      <c r="T42" s="20">
        <v>-5.0900000000000001E-2</v>
      </c>
      <c r="U42" s="20">
        <v>7.3000000000000001E-3</v>
      </c>
      <c r="V42" s="20">
        <v>-0.23619999999999999</v>
      </c>
      <c r="W42" s="20">
        <v>9.2399999999999996E-2</v>
      </c>
      <c r="X42" s="20">
        <v>0.1575</v>
      </c>
      <c r="Y42" s="20">
        <v>-5.2900000000000003E-2</v>
      </c>
      <c r="Z42" s="20">
        <v>-9.8900000000000002E-2</v>
      </c>
      <c r="AA42" s="20">
        <v>-0.14779999999999999</v>
      </c>
      <c r="AB42" s="20">
        <v>-0.14280000000000001</v>
      </c>
      <c r="AC42" s="20">
        <v>-0.2301</v>
      </c>
      <c r="AD42" s="20">
        <v>0.2868</v>
      </c>
      <c r="AE42" s="20">
        <v>0.14910000000000001</v>
      </c>
      <c r="AF42" s="20">
        <v>0.1409</v>
      </c>
      <c r="AG42" s="20">
        <v>0.1124</v>
      </c>
      <c r="AH42" s="20">
        <v>0.1106</v>
      </c>
      <c r="AI42" s="20">
        <v>-2.7400000000000001E-2</v>
      </c>
      <c r="AJ42" s="20">
        <v>-0.1749</v>
      </c>
      <c r="AK42" s="20">
        <v>2.5999999999999999E-3</v>
      </c>
      <c r="AL42" s="21">
        <v>-5.2299999999999999E-2</v>
      </c>
    </row>
    <row r="43" spans="1:38">
      <c r="A43" s="20">
        <v>0.30509999999999998</v>
      </c>
      <c r="B43" s="20">
        <v>-0.441</v>
      </c>
      <c r="C43" s="20">
        <v>-2.3099999999999999E-2</v>
      </c>
      <c r="D43" s="20">
        <v>-0.1439</v>
      </c>
      <c r="E43" s="20">
        <v>0.38169999999999998</v>
      </c>
      <c r="F43" s="20">
        <v>-4.0099999999999997E-2</v>
      </c>
      <c r="G43" s="20">
        <v>0.2208</v>
      </c>
      <c r="H43" s="20">
        <v>8.8499999999999995E-2</v>
      </c>
      <c r="I43" s="20">
        <v>0.2404</v>
      </c>
      <c r="J43" s="20">
        <v>1.6E-2</v>
      </c>
      <c r="K43" s="20">
        <v>-0.1333</v>
      </c>
      <c r="L43" s="20">
        <v>-0.1535</v>
      </c>
      <c r="M43" s="20">
        <v>0.158</v>
      </c>
      <c r="N43" s="20">
        <v>0.12790000000000001</v>
      </c>
      <c r="O43" s="20">
        <v>5.1900000000000002E-2</v>
      </c>
      <c r="P43" s="20">
        <v>-0.31759999999999999</v>
      </c>
      <c r="Q43" s="20">
        <v>7.4700000000000003E-2</v>
      </c>
      <c r="R43" s="20">
        <v>-3.5000000000000001E-3</v>
      </c>
      <c r="S43" s="20">
        <v>-0.1449</v>
      </c>
      <c r="T43" s="20">
        <v>3.3700000000000001E-2</v>
      </c>
      <c r="U43" s="20">
        <v>-0.14199999999999999</v>
      </c>
      <c r="V43" s="20">
        <v>0.1542</v>
      </c>
      <c r="W43" s="20">
        <v>7.5999999999999998E-2</v>
      </c>
      <c r="X43" s="20">
        <v>-9.8699999999999996E-2</v>
      </c>
      <c r="Y43" s="20">
        <v>-0.159</v>
      </c>
      <c r="Z43" s="20">
        <v>0.1051</v>
      </c>
      <c r="AA43" s="20">
        <v>0.1343</v>
      </c>
      <c r="AB43" s="20">
        <v>-0.15479999999999999</v>
      </c>
      <c r="AC43" s="20">
        <v>7.1800000000000003E-2</v>
      </c>
      <c r="AD43" s="20">
        <v>-6.4699999999999994E-2</v>
      </c>
      <c r="AE43" s="20">
        <v>-2.2000000000000001E-3</v>
      </c>
      <c r="AF43" s="20">
        <v>-8.7800000000000003E-2</v>
      </c>
      <c r="AG43" s="20">
        <v>5.5800000000000002E-2</v>
      </c>
      <c r="AH43" s="20">
        <v>5.16E-2</v>
      </c>
      <c r="AI43" s="20">
        <v>-0.14419999999999999</v>
      </c>
      <c r="AJ43" s="20">
        <v>-0.17280000000000001</v>
      </c>
      <c r="AK43" s="20">
        <v>4.2299999999999997E-2</v>
      </c>
      <c r="AL43" s="21">
        <v>4.7100000000000003E-2</v>
      </c>
    </row>
    <row r="44" spans="1:38">
      <c r="A44" s="20">
        <v>0.2235</v>
      </c>
      <c r="B44" s="20">
        <v>-0.1142</v>
      </c>
      <c r="C44" s="20">
        <v>-1.7399999999999999E-2</v>
      </c>
      <c r="D44" s="20">
        <v>0.152</v>
      </c>
      <c r="E44" s="20">
        <v>-0.14829999999999999</v>
      </c>
      <c r="F44" s="20">
        <v>6.2199999999999998E-2</v>
      </c>
      <c r="G44" s="20">
        <v>0.14510000000000001</v>
      </c>
      <c r="H44" s="20">
        <v>5.1499999999999997E-2</v>
      </c>
      <c r="I44" s="20">
        <v>2.7400000000000001E-2</v>
      </c>
      <c r="J44" s="20">
        <v>-2.5499999999999998E-2</v>
      </c>
      <c r="K44" s="20">
        <v>-0.25969999999999999</v>
      </c>
      <c r="L44" s="20">
        <v>9.0999999999999998E-2</v>
      </c>
      <c r="M44" s="20">
        <v>-0.1555</v>
      </c>
      <c r="N44" s="20">
        <v>0.35439999999999999</v>
      </c>
      <c r="O44" s="20">
        <v>-0.13719999999999999</v>
      </c>
      <c r="P44" s="20">
        <v>-4.0399999999999998E-2</v>
      </c>
      <c r="Q44" s="20">
        <v>-0.17519999999999999</v>
      </c>
      <c r="R44" s="20">
        <v>-0.17799999999999999</v>
      </c>
      <c r="S44" s="20">
        <v>-0.10489999999999999</v>
      </c>
      <c r="T44" s="20">
        <v>4.48E-2</v>
      </c>
      <c r="U44" s="20">
        <v>0.19800000000000001</v>
      </c>
      <c r="V44" s="20">
        <v>-7.1499999999999994E-2</v>
      </c>
      <c r="W44" s="20">
        <v>7.4000000000000003E-3</v>
      </c>
      <c r="X44" s="20">
        <v>-3.9E-2</v>
      </c>
      <c r="Y44" s="20">
        <v>-2.69E-2</v>
      </c>
      <c r="Z44" s="20">
        <v>-0.12189999999999999</v>
      </c>
      <c r="AA44" s="20">
        <v>0.2117</v>
      </c>
      <c r="AB44" s="20">
        <v>6.7799999999999999E-2</v>
      </c>
      <c r="AC44" s="20">
        <v>-0.24210000000000001</v>
      </c>
      <c r="AD44" s="20">
        <v>0.13719999999999999</v>
      </c>
      <c r="AE44" s="20">
        <v>-3.7000000000000002E-3</v>
      </c>
      <c r="AF44" s="20">
        <v>-8.3299999999999999E-2</v>
      </c>
      <c r="AG44" s="20">
        <v>-0.28360000000000002</v>
      </c>
      <c r="AH44" s="20">
        <v>-0.31569999999999998</v>
      </c>
      <c r="AI44" s="20">
        <v>0.28499999999999998</v>
      </c>
      <c r="AJ44" s="20">
        <v>0.20100000000000001</v>
      </c>
      <c r="AK44" s="20">
        <v>0.12</v>
      </c>
      <c r="AL44" s="21">
        <v>0.17249999999999999</v>
      </c>
    </row>
    <row r="45" spans="1:38">
      <c r="A45" s="20">
        <v>-0.1178</v>
      </c>
      <c r="B45" s="20">
        <v>-0.4798</v>
      </c>
      <c r="C45" s="20">
        <v>0.1913</v>
      </c>
      <c r="D45" s="20">
        <v>0.2009</v>
      </c>
      <c r="E45" s="20">
        <v>0.39290000000000003</v>
      </c>
      <c r="F45" s="20">
        <v>-0.2747</v>
      </c>
      <c r="G45" s="20">
        <v>-7.6999999999999999E-2</v>
      </c>
      <c r="H45" s="20">
        <v>-3.9699999999999999E-2</v>
      </c>
      <c r="I45" s="20">
        <v>-0.1203</v>
      </c>
      <c r="J45" s="20">
        <v>-3.8300000000000001E-2</v>
      </c>
      <c r="K45" s="20">
        <v>-0.1033</v>
      </c>
      <c r="L45" s="20">
        <v>0.2374</v>
      </c>
      <c r="M45" s="20">
        <v>0.21829999999999999</v>
      </c>
      <c r="N45" s="20">
        <v>-0.21679999999999999</v>
      </c>
      <c r="O45" s="20">
        <v>-0.15690000000000001</v>
      </c>
      <c r="P45" s="20">
        <v>-8.9099999999999999E-2</v>
      </c>
      <c r="Q45" s="20">
        <v>-0.1111</v>
      </c>
      <c r="R45" s="20">
        <v>0.13239999999999999</v>
      </c>
      <c r="S45" s="20">
        <v>2.52E-2</v>
      </c>
      <c r="T45" s="20">
        <v>0.14940000000000001</v>
      </c>
      <c r="U45" s="20">
        <v>0.10539999999999999</v>
      </c>
      <c r="V45" s="20">
        <v>0.1114</v>
      </c>
      <c r="W45" s="20">
        <v>0.1114</v>
      </c>
      <c r="X45" s="20">
        <v>-1.46E-2</v>
      </c>
      <c r="Y45" s="20">
        <v>-8.9399999999999993E-2</v>
      </c>
      <c r="Z45" s="20">
        <v>-0.19869999999999999</v>
      </c>
      <c r="AA45" s="20">
        <v>2.8E-3</v>
      </c>
      <c r="AB45" s="20">
        <v>2.0199999999999999E-2</v>
      </c>
      <c r="AC45" s="20">
        <v>0.1331</v>
      </c>
      <c r="AD45" s="20">
        <v>-2.8000000000000001E-2</v>
      </c>
      <c r="AE45" s="20">
        <v>1.8499999999999999E-2</v>
      </c>
      <c r="AF45" s="20">
        <v>-0.14660000000000001</v>
      </c>
      <c r="AG45" s="20">
        <v>0.17030000000000001</v>
      </c>
      <c r="AH45" s="20">
        <v>6.1400000000000003E-2</v>
      </c>
      <c r="AI45" s="20">
        <v>0.1072</v>
      </c>
      <c r="AJ45" s="20">
        <v>-9.69E-2</v>
      </c>
      <c r="AK45" s="20">
        <v>-1.49E-2</v>
      </c>
      <c r="AL45" s="21">
        <v>1.95E-2</v>
      </c>
    </row>
    <row r="46" spans="1:38">
      <c r="A46" s="20">
        <v>0.32290000000000002</v>
      </c>
      <c r="B46" s="20">
        <v>-0.2641</v>
      </c>
      <c r="C46" s="20">
        <v>8.1699999999999995E-2</v>
      </c>
      <c r="D46" s="20">
        <v>-7.6E-3</v>
      </c>
      <c r="E46" s="20">
        <v>0.26490000000000002</v>
      </c>
      <c r="F46" s="20">
        <v>-0.44350000000000001</v>
      </c>
      <c r="G46" s="20">
        <v>-2.3E-3</v>
      </c>
      <c r="H46" s="20">
        <v>-0.27939999999999998</v>
      </c>
      <c r="I46" s="20">
        <v>-0.16489999999999999</v>
      </c>
      <c r="J46" s="20">
        <v>0.13739999999999999</v>
      </c>
      <c r="K46" s="20">
        <v>9.3899999999999997E-2</v>
      </c>
      <c r="L46" s="20">
        <v>0.25569999999999998</v>
      </c>
      <c r="M46" s="20">
        <v>5.3400000000000003E-2</v>
      </c>
      <c r="N46" s="20">
        <v>-0.1206</v>
      </c>
      <c r="O46" s="20">
        <v>-1.5E-3</v>
      </c>
      <c r="P46" s="20">
        <v>0.27789999999999998</v>
      </c>
      <c r="Q46" s="20">
        <v>8.0199999999999994E-2</v>
      </c>
      <c r="R46" s="20">
        <v>5.8799999999999998E-2</v>
      </c>
      <c r="S46" s="20">
        <v>-7.8600000000000003E-2</v>
      </c>
      <c r="T46" s="20">
        <v>-0.1565</v>
      </c>
      <c r="U46" s="20">
        <v>-3.2099999999999997E-2</v>
      </c>
      <c r="V46" s="20">
        <v>0.1588</v>
      </c>
      <c r="W46" s="20">
        <v>-1.15E-2</v>
      </c>
      <c r="X46" s="20">
        <v>8.8499999999999995E-2</v>
      </c>
      <c r="Y46" s="20">
        <v>-0.15190000000000001</v>
      </c>
      <c r="Z46" s="20">
        <v>0.16869999999999999</v>
      </c>
      <c r="AA46" s="20">
        <v>0.1183</v>
      </c>
      <c r="AB46" s="20">
        <v>-0.1198</v>
      </c>
      <c r="AC46" s="20">
        <v>-0.10920000000000001</v>
      </c>
      <c r="AD46" s="20">
        <v>-1.37E-2</v>
      </c>
      <c r="AE46" s="20">
        <v>-8.8499999999999995E-2</v>
      </c>
      <c r="AF46" s="20">
        <v>-3.0499999999999999E-2</v>
      </c>
      <c r="AG46" s="20">
        <v>-3.44E-2</v>
      </c>
      <c r="AH46" s="20">
        <v>0.19470000000000001</v>
      </c>
      <c r="AI46" s="20">
        <v>4.8099999999999997E-2</v>
      </c>
      <c r="AJ46" s="20">
        <v>-0.19389999999999999</v>
      </c>
      <c r="AK46" s="20">
        <v>-5.04E-2</v>
      </c>
      <c r="AL46" s="21">
        <v>-4.8899999999999999E-2</v>
      </c>
    </row>
    <row r="47" spans="1:38">
      <c r="A47" s="20">
        <v>-0.34499999999999997</v>
      </c>
      <c r="B47" s="20">
        <v>0.1124</v>
      </c>
      <c r="C47" s="20">
        <v>-0.24340000000000001</v>
      </c>
      <c r="D47" s="20">
        <v>-3.6799999999999999E-2</v>
      </c>
      <c r="E47" s="20">
        <v>0.17380000000000001</v>
      </c>
      <c r="F47" s="20">
        <v>-2.58E-2</v>
      </c>
      <c r="G47" s="20">
        <v>-8.3000000000000001E-3</v>
      </c>
      <c r="H47" s="20">
        <v>-3.49E-2</v>
      </c>
      <c r="I47" s="20">
        <v>-0.18709999999999999</v>
      </c>
      <c r="J47" s="20">
        <v>9.7000000000000003E-2</v>
      </c>
      <c r="K47" s="20">
        <v>9.9000000000000008E-3</v>
      </c>
      <c r="L47" s="20">
        <v>2.8199999999999999E-2</v>
      </c>
      <c r="M47" s="20">
        <v>-5.5E-2</v>
      </c>
      <c r="N47" s="20">
        <v>1.8200000000000001E-2</v>
      </c>
      <c r="O47" s="20">
        <v>1.1599999999999999E-2</v>
      </c>
      <c r="P47" s="20">
        <v>-0.23980000000000001</v>
      </c>
      <c r="Q47" s="20">
        <v>-0.19489999999999999</v>
      </c>
      <c r="R47" s="20">
        <v>0.1232</v>
      </c>
      <c r="S47" s="20">
        <v>0.1351</v>
      </c>
      <c r="T47" s="20">
        <v>-0.2671</v>
      </c>
      <c r="U47" s="20">
        <v>0.17699999999999999</v>
      </c>
      <c r="V47" s="20">
        <v>0.18329999999999999</v>
      </c>
      <c r="W47" s="20">
        <v>-3.85E-2</v>
      </c>
      <c r="X47" s="20">
        <v>-0.1145</v>
      </c>
      <c r="Y47" s="20">
        <v>4.4900000000000002E-2</v>
      </c>
      <c r="Z47" s="20">
        <v>-0.13569999999999999</v>
      </c>
      <c r="AA47" s="20">
        <v>0.12870000000000001</v>
      </c>
      <c r="AB47" s="20">
        <v>-4.7E-2</v>
      </c>
      <c r="AC47" s="20">
        <v>-8.9099999999999999E-2</v>
      </c>
      <c r="AD47" s="20">
        <v>-3.9E-2</v>
      </c>
      <c r="AE47" s="20">
        <v>-0.18079999999999999</v>
      </c>
      <c r="AF47" s="20">
        <v>-3.5099999999999999E-2</v>
      </c>
      <c r="AG47" s="20">
        <v>6.9900000000000004E-2</v>
      </c>
      <c r="AH47" s="20">
        <v>0.15809999999999999</v>
      </c>
      <c r="AI47" s="20">
        <v>0.39140000000000003</v>
      </c>
      <c r="AJ47" s="20">
        <v>0.35980000000000001</v>
      </c>
      <c r="AK47" s="20">
        <v>0.20130000000000001</v>
      </c>
      <c r="AL47" s="21">
        <v>-0.1069</v>
      </c>
    </row>
    <row r="48" spans="1:38">
      <c r="A48" s="20">
        <v>0.27310000000000001</v>
      </c>
      <c r="B48" s="20">
        <v>-0.47299999999999998</v>
      </c>
      <c r="C48" s="20">
        <v>-3.0000000000000001E-3</v>
      </c>
      <c r="D48" s="20">
        <v>-0.39179999999999998</v>
      </c>
      <c r="E48" s="20">
        <v>0.17780000000000001</v>
      </c>
      <c r="F48" s="20">
        <v>-5.45E-2</v>
      </c>
      <c r="G48" s="20">
        <v>-0.2571</v>
      </c>
      <c r="H48" s="20">
        <v>-8.1199999999999994E-2</v>
      </c>
      <c r="I48" s="20">
        <v>-5.8900000000000001E-2</v>
      </c>
      <c r="J48" s="20">
        <v>-0.28439999999999999</v>
      </c>
      <c r="K48" s="20">
        <v>0.22020000000000001</v>
      </c>
      <c r="L48" s="20">
        <v>0.17369999999999999</v>
      </c>
      <c r="M48" s="20">
        <v>0.16020000000000001</v>
      </c>
      <c r="N48" s="20">
        <v>2.3400000000000001E-2</v>
      </c>
      <c r="O48" s="20">
        <v>4.7000000000000002E-3</v>
      </c>
      <c r="P48" s="20">
        <v>1.7600000000000001E-2</v>
      </c>
      <c r="Q48" s="20">
        <v>0.1792</v>
      </c>
      <c r="R48" s="20">
        <v>-0.1641</v>
      </c>
      <c r="S48" s="20">
        <v>5.1799999999999999E-2</v>
      </c>
      <c r="T48" s="20">
        <v>0.13569999999999999</v>
      </c>
      <c r="U48" s="20">
        <v>-6.9400000000000003E-2</v>
      </c>
      <c r="V48" s="20">
        <v>0.12470000000000001</v>
      </c>
      <c r="W48" s="20">
        <v>0.1192</v>
      </c>
      <c r="X48" s="20">
        <v>6.7199999999999996E-2</v>
      </c>
      <c r="Y48" s="20">
        <v>-1.46E-2</v>
      </c>
      <c r="Z48" s="20">
        <v>-0.18090000000000001</v>
      </c>
      <c r="AA48" s="20">
        <v>-3.6900000000000002E-2</v>
      </c>
      <c r="AB48" s="20">
        <v>0.16489999999999999</v>
      </c>
      <c r="AC48" s="20">
        <v>-0.1363</v>
      </c>
      <c r="AD48" s="20">
        <v>-5.2299999999999999E-2</v>
      </c>
      <c r="AE48" s="20">
        <v>-4.0500000000000001E-2</v>
      </c>
      <c r="AF48" s="20">
        <v>0.1154</v>
      </c>
      <c r="AG48" s="20">
        <v>-1.43E-2</v>
      </c>
      <c r="AH48" s="20">
        <v>-1.0999999999999999E-2</v>
      </c>
      <c r="AI48" s="20">
        <v>0.14480000000000001</v>
      </c>
      <c r="AJ48" s="20">
        <v>1.38E-2</v>
      </c>
      <c r="AK48" s="20">
        <v>6.3E-2</v>
      </c>
      <c r="AL48" s="21">
        <v>9.4399999999999998E-2</v>
      </c>
    </row>
    <row r="49" spans="1:38">
      <c r="A49" s="20">
        <v>0.26400000000000001</v>
      </c>
      <c r="B49" s="20">
        <v>-0.33329999999999999</v>
      </c>
      <c r="C49" s="20">
        <v>5.6899999999999999E-2</v>
      </c>
      <c r="D49" s="20">
        <v>-0.21840000000000001</v>
      </c>
      <c r="E49" s="20">
        <v>0.35149999999999998</v>
      </c>
      <c r="F49" s="20">
        <v>-3.0599999999999999E-2</v>
      </c>
      <c r="G49" s="20">
        <v>-2.0999999999999999E-3</v>
      </c>
      <c r="H49" s="20">
        <v>-0.13519999999999999</v>
      </c>
      <c r="I49" s="20">
        <v>2.41E-2</v>
      </c>
      <c r="J49" s="20">
        <v>-0.2281</v>
      </c>
      <c r="K49" s="20">
        <v>-2.0400000000000001E-2</v>
      </c>
      <c r="L49" s="20">
        <v>5.21E-2</v>
      </c>
      <c r="M49" s="20">
        <v>5.8000000000000003E-2</v>
      </c>
      <c r="N49" s="20">
        <v>-0.11650000000000001</v>
      </c>
      <c r="O49" s="20">
        <v>-6.8699999999999997E-2</v>
      </c>
      <c r="P49" s="20">
        <v>-1.6000000000000001E-3</v>
      </c>
      <c r="Q49" s="20">
        <v>-8.48E-2</v>
      </c>
      <c r="R49" s="20">
        <v>-0.2034</v>
      </c>
      <c r="S49" s="20">
        <v>0.11749999999999999</v>
      </c>
      <c r="T49" s="20">
        <v>0.15559999999999999</v>
      </c>
      <c r="U49" s="20">
        <v>0.31069999999999998</v>
      </c>
      <c r="V49" s="20">
        <v>-3.2000000000000002E-3</v>
      </c>
      <c r="W49" s="20">
        <v>2.0999999999999999E-3</v>
      </c>
      <c r="X49" s="20">
        <v>4.9399999999999999E-2</v>
      </c>
      <c r="Y49" s="20">
        <v>6.1699999999999998E-2</v>
      </c>
      <c r="Z49" s="20">
        <v>-6.6500000000000004E-2</v>
      </c>
      <c r="AA49" s="20">
        <v>0.18509999999999999</v>
      </c>
      <c r="AB49" s="20">
        <v>6.0100000000000001E-2</v>
      </c>
      <c r="AC49" s="20">
        <v>-0.1057</v>
      </c>
      <c r="AD49" s="20">
        <v>-3.0599999999999999E-2</v>
      </c>
      <c r="AE49" s="20">
        <v>7.0000000000000001E-3</v>
      </c>
      <c r="AF49" s="20">
        <v>-2.0400000000000001E-2</v>
      </c>
      <c r="AG49" s="20">
        <v>0.33110000000000001</v>
      </c>
      <c r="AH49" s="20">
        <v>-0.32250000000000001</v>
      </c>
      <c r="AI49" s="20">
        <v>0.1111</v>
      </c>
      <c r="AJ49" s="20">
        <v>-1.1000000000000001E-3</v>
      </c>
      <c r="AK49" s="20">
        <v>5.6899999999999999E-2</v>
      </c>
      <c r="AL49" s="21">
        <v>-0.2732</v>
      </c>
    </row>
    <row r="50" spans="1:38">
      <c r="A50" s="20">
        <v>0.2135</v>
      </c>
      <c r="B50" s="20">
        <v>-0.55630000000000002</v>
      </c>
      <c r="C50" s="20">
        <v>-0.2767</v>
      </c>
      <c r="D50" s="20">
        <v>-0.1082</v>
      </c>
      <c r="E50" s="20">
        <v>9.6199999999999994E-2</v>
      </c>
      <c r="F50" s="20">
        <v>7.3000000000000001E-3</v>
      </c>
      <c r="G50" s="20">
        <v>2.7799999999999998E-2</v>
      </c>
      <c r="H50" s="20">
        <v>0.14219999999999999</v>
      </c>
      <c r="I50" s="20">
        <v>-0.17499999999999999</v>
      </c>
      <c r="J50" s="20">
        <v>-0.11890000000000001</v>
      </c>
      <c r="K50" s="20">
        <v>-6.2199999999999998E-2</v>
      </c>
      <c r="L50" s="20">
        <v>9.7199999999999995E-2</v>
      </c>
      <c r="M50" s="20">
        <v>8.0799999999999997E-2</v>
      </c>
      <c r="N50" s="20">
        <v>0.191</v>
      </c>
      <c r="O50" s="20">
        <v>-7.8399999999999997E-2</v>
      </c>
      <c r="P50" s="20">
        <v>4.5400000000000003E-2</v>
      </c>
      <c r="Q50" s="20">
        <v>0.23580000000000001</v>
      </c>
      <c r="R50" s="20">
        <v>-0.32329999999999998</v>
      </c>
      <c r="S50" s="20">
        <v>3.5400000000000001E-2</v>
      </c>
      <c r="T50" s="20">
        <v>0.1183</v>
      </c>
      <c r="U50" s="20">
        <v>-2.1700000000000001E-2</v>
      </c>
      <c r="V50" s="20">
        <v>0.1031</v>
      </c>
      <c r="W50" s="20">
        <v>-2.7300000000000001E-2</v>
      </c>
      <c r="X50" s="20">
        <v>0.28060000000000002</v>
      </c>
      <c r="Y50" s="20">
        <v>5.1700000000000003E-2</v>
      </c>
      <c r="Z50" s="20">
        <v>-5.5500000000000001E-2</v>
      </c>
      <c r="AA50" s="20">
        <v>2.2700000000000001E-2</v>
      </c>
      <c r="AB50" s="20">
        <v>0.1479</v>
      </c>
      <c r="AC50" s="20">
        <v>-0.24510000000000001</v>
      </c>
      <c r="AD50" s="20">
        <v>9.3200000000000005E-2</v>
      </c>
      <c r="AE50" s="20">
        <v>-7.6999999999999999E-2</v>
      </c>
      <c r="AF50" s="20">
        <v>-7.3000000000000001E-3</v>
      </c>
      <c r="AG50" s="20">
        <v>0.19570000000000001</v>
      </c>
      <c r="AH50" s="20">
        <v>2.4899999999999999E-2</v>
      </c>
      <c r="AI50" s="20">
        <v>5.3900000000000003E-2</v>
      </c>
      <c r="AJ50" s="20">
        <v>-3.73E-2</v>
      </c>
      <c r="AK50" s="20">
        <v>-3.4200000000000001E-2</v>
      </c>
      <c r="AL50" s="21">
        <v>-6.2199999999999998E-2</v>
      </c>
    </row>
    <row r="51" spans="1:38">
      <c r="A51" s="20">
        <v>0.35580000000000001</v>
      </c>
      <c r="B51" s="20">
        <v>-0.27989999999999998</v>
      </c>
      <c r="C51" s="20">
        <v>-1.29E-2</v>
      </c>
      <c r="D51" s="20">
        <v>0.13300000000000001</v>
      </c>
      <c r="E51" s="20">
        <v>-4.4999999999999997E-3</v>
      </c>
      <c r="F51" s="20">
        <v>0.1409</v>
      </c>
      <c r="G51" s="20">
        <v>-0.1305</v>
      </c>
      <c r="H51" s="20">
        <v>-0.24909999999999999</v>
      </c>
      <c r="I51" s="20">
        <v>-8.3400000000000002E-2</v>
      </c>
      <c r="J51" s="20">
        <v>-0.2064</v>
      </c>
      <c r="K51" s="20">
        <v>-0.25459999999999999</v>
      </c>
      <c r="L51" s="20">
        <v>0.18010000000000001</v>
      </c>
      <c r="M51" s="20">
        <v>8.0399999999999999E-2</v>
      </c>
      <c r="N51" s="20">
        <v>7.9399999999999998E-2</v>
      </c>
      <c r="O51" s="20">
        <v>2.0799999999999999E-2</v>
      </c>
      <c r="P51" s="20">
        <v>-6.2E-2</v>
      </c>
      <c r="Q51" s="20">
        <v>-8.8999999999999999E-3</v>
      </c>
      <c r="R51" s="20">
        <v>-9.4799999999999995E-2</v>
      </c>
      <c r="S51" s="20">
        <v>3.5700000000000003E-2</v>
      </c>
      <c r="T51" s="20">
        <v>0.18759999999999999</v>
      </c>
      <c r="U51" s="20">
        <v>0.1245</v>
      </c>
      <c r="V51" s="20">
        <v>-1.29E-2</v>
      </c>
      <c r="W51" s="20">
        <v>6.7500000000000004E-2</v>
      </c>
      <c r="X51" s="20">
        <v>-0.16470000000000001</v>
      </c>
      <c r="Y51" s="20">
        <v>0.1573</v>
      </c>
      <c r="Z51" s="20">
        <v>-0.18110000000000001</v>
      </c>
      <c r="AA51" s="20">
        <v>2.4299999999999999E-2</v>
      </c>
      <c r="AB51" s="20">
        <v>1.5900000000000001E-2</v>
      </c>
      <c r="AC51" s="20">
        <v>-5.6599999999999998E-2</v>
      </c>
      <c r="AD51" s="20">
        <v>7.1499999999999994E-2</v>
      </c>
      <c r="AE51" s="20">
        <v>0.1905</v>
      </c>
      <c r="AF51" s="20">
        <v>8.8800000000000004E-2</v>
      </c>
      <c r="AG51" s="20">
        <v>-0.16969999999999999</v>
      </c>
      <c r="AH51" s="20">
        <v>3.2300000000000002E-2</v>
      </c>
      <c r="AI51" s="20">
        <v>0.37019999999999997</v>
      </c>
      <c r="AJ51" s="20">
        <v>-6.7500000000000004E-2</v>
      </c>
      <c r="AK51" s="20">
        <v>-0.36870000000000003</v>
      </c>
      <c r="AL51" s="21">
        <v>5.7599999999999998E-2</v>
      </c>
    </row>
    <row r="52" spans="1:38">
      <c r="A52" s="20">
        <v>-7.46E-2</v>
      </c>
      <c r="B52" s="20">
        <v>-0.1545</v>
      </c>
      <c r="C52" s="20">
        <v>0.10970000000000001</v>
      </c>
      <c r="D52" s="20">
        <v>-0.24160000000000001</v>
      </c>
      <c r="E52" s="20">
        <v>-0.2399</v>
      </c>
      <c r="F52" s="20">
        <v>0.23139999999999999</v>
      </c>
      <c r="G52" s="20">
        <v>0.1211</v>
      </c>
      <c r="H52" s="20">
        <v>-0.1368</v>
      </c>
      <c r="I52" s="20">
        <v>-5.5E-2</v>
      </c>
      <c r="J52" s="20">
        <v>-4.8999999999999998E-3</v>
      </c>
      <c r="K52" s="20">
        <v>-8.09E-2</v>
      </c>
      <c r="L52" s="20">
        <v>0.28970000000000001</v>
      </c>
      <c r="M52" s="20">
        <v>2.9100000000000001E-2</v>
      </c>
      <c r="N52" s="20">
        <v>-0.37419999999999998</v>
      </c>
      <c r="O52" s="20">
        <v>-0.31330000000000002</v>
      </c>
      <c r="P52" s="20">
        <v>0.13420000000000001</v>
      </c>
      <c r="Q52" s="20">
        <v>-2.29E-2</v>
      </c>
      <c r="R52" s="20">
        <v>7.7899999999999997E-2</v>
      </c>
      <c r="S52" s="20">
        <v>1.7000000000000001E-2</v>
      </c>
      <c r="T52" s="20">
        <v>-1.9599999999999999E-2</v>
      </c>
      <c r="U52" s="20">
        <v>0.21929999999999999</v>
      </c>
      <c r="V52" s="20">
        <v>-5.3699999999999998E-2</v>
      </c>
      <c r="W52" s="20">
        <v>-6.0900000000000003E-2</v>
      </c>
      <c r="X52" s="20">
        <v>3.2099999999999997E-2</v>
      </c>
      <c r="Y52" s="20">
        <v>6.5500000000000003E-2</v>
      </c>
      <c r="Z52" s="20">
        <v>-8.8000000000000005E-3</v>
      </c>
      <c r="AA52" s="20">
        <v>-1.9599999999999999E-2</v>
      </c>
      <c r="AB52" s="20">
        <v>0.14860000000000001</v>
      </c>
      <c r="AC52" s="20">
        <v>5.8900000000000001E-2</v>
      </c>
      <c r="AD52" s="20">
        <v>-0.32700000000000001</v>
      </c>
      <c r="AE52" s="20">
        <v>0.2442</v>
      </c>
      <c r="AF52" s="20">
        <v>-0.11360000000000001</v>
      </c>
      <c r="AG52" s="20">
        <v>4.0899999999999999E-2</v>
      </c>
      <c r="AH52" s="20">
        <v>0.22</v>
      </c>
      <c r="AI52" s="20">
        <v>0.10150000000000001</v>
      </c>
      <c r="AJ52" s="20">
        <v>-5.1700000000000003E-2</v>
      </c>
      <c r="AK52" s="20">
        <v>-5.0700000000000002E-2</v>
      </c>
      <c r="AL52" s="21">
        <v>0.25829999999999997</v>
      </c>
    </row>
    <row r="53" spans="1:38">
      <c r="A53" s="20">
        <v>-0.1787</v>
      </c>
      <c r="B53" s="20">
        <v>-4.5900000000000003E-2</v>
      </c>
      <c r="C53" s="20">
        <v>-2.4799999999999999E-2</v>
      </c>
      <c r="D53" s="20">
        <v>4.48E-2</v>
      </c>
      <c r="E53" s="20">
        <v>-0.20380000000000001</v>
      </c>
      <c r="F53" s="20">
        <v>-0.214</v>
      </c>
      <c r="G53" s="20">
        <v>-3.9E-2</v>
      </c>
      <c r="H53" s="20">
        <v>0.33839999999999998</v>
      </c>
      <c r="I53" s="20">
        <v>9.7000000000000003E-2</v>
      </c>
      <c r="J53" s="20">
        <v>-5.2200000000000003E-2</v>
      </c>
      <c r="K53" s="20">
        <v>-6.7100000000000007E-2</v>
      </c>
      <c r="L53" s="20">
        <v>0.1079</v>
      </c>
      <c r="M53" s="20">
        <v>0.22420000000000001</v>
      </c>
      <c r="N53" s="20">
        <v>-2.58E-2</v>
      </c>
      <c r="O53" s="20">
        <v>7.22E-2</v>
      </c>
      <c r="P53" s="20">
        <v>0.502</v>
      </c>
      <c r="Q53" s="20">
        <v>-0.1583</v>
      </c>
      <c r="R53" s="20">
        <v>5.5500000000000001E-2</v>
      </c>
      <c r="S53" s="20">
        <v>-0.24690000000000001</v>
      </c>
      <c r="T53" s="20">
        <v>1.11E-2</v>
      </c>
      <c r="U53" s="20">
        <v>-5.3600000000000002E-2</v>
      </c>
      <c r="V53" s="20">
        <v>0.11840000000000001</v>
      </c>
      <c r="W53" s="20">
        <v>-7.4999999999999997E-2</v>
      </c>
      <c r="X53" s="20">
        <v>-0.14849999999999999</v>
      </c>
      <c r="Y53" s="20">
        <v>-0.19700000000000001</v>
      </c>
      <c r="Z53" s="20">
        <v>-0.15529999999999999</v>
      </c>
      <c r="AA53" s="20">
        <v>-0.11119999999999999</v>
      </c>
      <c r="AB53" s="20">
        <v>2.4400000000000002E-2</v>
      </c>
      <c r="AC53" s="20">
        <v>0.26269999999999999</v>
      </c>
      <c r="AD53" s="20">
        <v>8.3299999999999999E-2</v>
      </c>
      <c r="AE53" s="20">
        <v>-0.22370000000000001</v>
      </c>
      <c r="AF53" s="20">
        <v>1.14E-2</v>
      </c>
      <c r="AG53" s="20">
        <v>0.13370000000000001</v>
      </c>
      <c r="AH53" s="20">
        <v>0.2142</v>
      </c>
      <c r="AI53" s="20">
        <v>8.2600000000000007E-2</v>
      </c>
      <c r="AJ53" s="20">
        <v>-8.7499999999999994E-2</v>
      </c>
      <c r="AK53" s="20">
        <v>2.3E-2</v>
      </c>
      <c r="AL53" s="21">
        <v>-9.5600000000000004E-2</v>
      </c>
    </row>
    <row r="54" spans="1:38">
      <c r="A54" s="20">
        <v>0.10539999999999999</v>
      </c>
      <c r="B54" s="20">
        <v>-0.4471</v>
      </c>
      <c r="C54" s="20">
        <v>0.29670000000000002</v>
      </c>
      <c r="D54" s="20">
        <v>0.17910000000000001</v>
      </c>
      <c r="E54" s="20">
        <v>0.13489999999999999</v>
      </c>
      <c r="F54" s="20">
        <v>-0.20119999999999999</v>
      </c>
      <c r="G54" s="20">
        <v>-0.3543</v>
      </c>
      <c r="H54" s="20">
        <v>-0.29820000000000002</v>
      </c>
      <c r="I54" s="20">
        <v>-0.1898</v>
      </c>
      <c r="J54" s="20">
        <v>5.8799999999999998E-2</v>
      </c>
      <c r="K54" s="20">
        <v>3.6400000000000002E-2</v>
      </c>
      <c r="L54" s="20">
        <v>-0.1128</v>
      </c>
      <c r="M54" s="20">
        <v>1.46E-2</v>
      </c>
      <c r="N54" s="20">
        <v>-6.3E-2</v>
      </c>
      <c r="O54" s="20">
        <v>-8.9800000000000005E-2</v>
      </c>
      <c r="P54" s="20">
        <v>2.3900000000000001E-2</v>
      </c>
      <c r="Q54" s="20">
        <v>5.9700000000000003E-2</v>
      </c>
      <c r="R54" s="20">
        <v>6.4500000000000002E-2</v>
      </c>
      <c r="S54" s="20">
        <v>3.6700000000000003E-2</v>
      </c>
      <c r="T54" s="20">
        <v>0.14810000000000001</v>
      </c>
      <c r="U54" s="20">
        <v>3.0099999999999998E-2</v>
      </c>
      <c r="V54" s="20">
        <v>-0.18659999999999999</v>
      </c>
      <c r="W54" s="20">
        <v>0.1409</v>
      </c>
      <c r="X54" s="20">
        <v>4.87E-2</v>
      </c>
      <c r="Y54" s="20">
        <v>0.1961</v>
      </c>
      <c r="Z54" s="20">
        <v>2.93E-2</v>
      </c>
      <c r="AA54" s="20">
        <v>-1.4E-2</v>
      </c>
      <c r="AB54" s="20">
        <v>8.9999999999999998E-4</v>
      </c>
      <c r="AC54" s="20">
        <v>0.12720000000000001</v>
      </c>
      <c r="AD54" s="20">
        <v>6.0000000000000001E-3</v>
      </c>
      <c r="AE54" s="20">
        <v>-0.1036</v>
      </c>
      <c r="AF54" s="20">
        <v>4.5400000000000003E-2</v>
      </c>
      <c r="AG54" s="20">
        <v>0.20630000000000001</v>
      </c>
      <c r="AH54" s="20">
        <v>0.1794</v>
      </c>
      <c r="AI54" s="20">
        <v>0.19789999999999999</v>
      </c>
      <c r="AJ54" s="20">
        <v>-0.14660000000000001</v>
      </c>
      <c r="AK54" s="20">
        <v>-0.18779999999999999</v>
      </c>
      <c r="AL54" s="21">
        <v>3.5799999999999998E-2</v>
      </c>
    </row>
    <row r="55" spans="1:38">
      <c r="A55" s="20">
        <v>0.23699999999999999</v>
      </c>
      <c r="B55" s="20">
        <v>-0.33629999999999999</v>
      </c>
      <c r="C55" s="20">
        <v>0.28799999999999998</v>
      </c>
      <c r="D55" s="20">
        <v>-4.6699999999999998E-2</v>
      </c>
      <c r="E55" s="20">
        <v>0.21129999999999999</v>
      </c>
      <c r="F55" s="20">
        <v>-0.19539999999999999</v>
      </c>
      <c r="G55" s="20">
        <v>-0.1575</v>
      </c>
      <c r="H55" s="20">
        <v>-0.1883</v>
      </c>
      <c r="I55" s="20">
        <v>0.2445</v>
      </c>
      <c r="J55" s="20">
        <v>7.4399999999999994E-2</v>
      </c>
      <c r="K55" s="20">
        <v>-3.6400000000000002E-2</v>
      </c>
      <c r="L55" s="20">
        <v>-7.1000000000000004E-3</v>
      </c>
      <c r="M55" s="20">
        <v>0.1772</v>
      </c>
      <c r="N55" s="20">
        <v>-0.19980000000000001</v>
      </c>
      <c r="O55" s="20">
        <v>-0.1507</v>
      </c>
      <c r="P55" s="20">
        <v>0.1472</v>
      </c>
      <c r="Q55" s="20">
        <v>0.2006</v>
      </c>
      <c r="R55" s="20">
        <v>0.11550000000000001</v>
      </c>
      <c r="S55" s="20">
        <v>-1.9E-2</v>
      </c>
      <c r="T55" s="20">
        <v>0.23180000000000001</v>
      </c>
      <c r="U55" s="20">
        <v>6.88E-2</v>
      </c>
      <c r="V55" s="20">
        <v>-7.0000000000000007E-2</v>
      </c>
      <c r="W55" s="20">
        <v>9.4999999999999998E-3</v>
      </c>
      <c r="X55" s="20">
        <v>-0.13930000000000001</v>
      </c>
      <c r="Y55" s="20">
        <v>5.3800000000000001E-2</v>
      </c>
      <c r="Z55" s="20">
        <v>-1.4200000000000001E-2</v>
      </c>
      <c r="AA55" s="20">
        <v>5.1000000000000004E-3</v>
      </c>
      <c r="AB55" s="20">
        <v>-8.3099999999999993E-2</v>
      </c>
      <c r="AC55" s="20">
        <v>-0.1139</v>
      </c>
      <c r="AD55" s="20">
        <v>8.8200000000000001E-2</v>
      </c>
      <c r="AE55" s="20">
        <v>0.2041</v>
      </c>
      <c r="AF55" s="20">
        <v>1.5800000000000002E-2</v>
      </c>
      <c r="AG55" s="20">
        <v>-4.4699999999999997E-2</v>
      </c>
      <c r="AH55" s="20">
        <v>-0.129</v>
      </c>
      <c r="AI55" s="20">
        <v>4.3499999999999997E-2</v>
      </c>
      <c r="AJ55" s="20">
        <v>7.3200000000000001E-2</v>
      </c>
      <c r="AK55" s="20">
        <v>-0.17169999999999999</v>
      </c>
      <c r="AL55" s="21">
        <v>-0.39400000000000002</v>
      </c>
    </row>
    <row r="56" spans="1:38">
      <c r="A56" s="20">
        <v>0.26040000000000002</v>
      </c>
      <c r="B56" s="20">
        <v>-0.51819999999999999</v>
      </c>
      <c r="C56" s="20">
        <v>-0.18160000000000001</v>
      </c>
      <c r="D56" s="20">
        <v>-9.1899999999999996E-2</v>
      </c>
      <c r="E56" s="20">
        <v>0.17949999999999999</v>
      </c>
      <c r="F56" s="20">
        <v>-8.4900000000000003E-2</v>
      </c>
      <c r="G56" s="20">
        <v>-7.9699999999999993E-2</v>
      </c>
      <c r="H56" s="20">
        <v>5.16E-2</v>
      </c>
      <c r="I56" s="20">
        <v>-0.31430000000000002</v>
      </c>
      <c r="J56" s="20">
        <v>-7.22E-2</v>
      </c>
      <c r="K56" s="20">
        <v>-5.6500000000000002E-2</v>
      </c>
      <c r="L56" s="20">
        <v>3.4099999999999998E-2</v>
      </c>
      <c r="M56" s="20">
        <v>-7.8299999999999995E-2</v>
      </c>
      <c r="N56" s="20">
        <v>-0.10680000000000001</v>
      </c>
      <c r="O56" s="20">
        <v>1.7100000000000001E-2</v>
      </c>
      <c r="P56" s="20">
        <v>-0.1598</v>
      </c>
      <c r="Q56" s="20">
        <v>4.2900000000000001E-2</v>
      </c>
      <c r="R56" s="20">
        <v>3.8999999999999998E-3</v>
      </c>
      <c r="S56" s="20">
        <v>9.5899999999999999E-2</v>
      </c>
      <c r="T56" s="20">
        <v>0.29239999999999999</v>
      </c>
      <c r="U56" s="20">
        <v>-7.5700000000000003E-2</v>
      </c>
      <c r="V56" s="20">
        <v>-6.2600000000000003E-2</v>
      </c>
      <c r="W56" s="20">
        <v>2.41E-2</v>
      </c>
      <c r="X56" s="20">
        <v>0.13789999999999999</v>
      </c>
      <c r="Y56" s="20">
        <v>-8.9300000000000004E-2</v>
      </c>
      <c r="Z56" s="20">
        <v>3.9399999999999998E-2</v>
      </c>
      <c r="AA56" s="20">
        <v>0.12820000000000001</v>
      </c>
      <c r="AB56" s="20">
        <v>0.14710000000000001</v>
      </c>
      <c r="AC56" s="20">
        <v>0.11119999999999999</v>
      </c>
      <c r="AD56" s="20">
        <v>-0.2145</v>
      </c>
      <c r="AE56" s="20">
        <v>1.18E-2</v>
      </c>
      <c r="AF56" s="20">
        <v>6.4299999999999996E-2</v>
      </c>
      <c r="AG56" s="20">
        <v>0.2823</v>
      </c>
      <c r="AH56" s="20">
        <v>-0.21490000000000001</v>
      </c>
      <c r="AI56" s="20">
        <v>0.12870000000000001</v>
      </c>
      <c r="AJ56" s="20">
        <v>0.15670000000000001</v>
      </c>
      <c r="AK56" s="20">
        <v>0.10199999999999999</v>
      </c>
      <c r="AL56" s="21">
        <v>9.3200000000000005E-2</v>
      </c>
    </row>
    <row r="57" spans="1:38">
      <c r="A57" s="20">
        <v>-0.2823</v>
      </c>
      <c r="B57" s="20">
        <v>-0.39290000000000003</v>
      </c>
      <c r="C57" s="20">
        <v>7.0000000000000001E-3</v>
      </c>
      <c r="D57" s="20">
        <v>0.28199999999999997</v>
      </c>
      <c r="E57" s="20">
        <v>0.22070000000000001</v>
      </c>
      <c r="F57" s="20">
        <v>0.13730000000000001</v>
      </c>
      <c r="G57" s="20">
        <v>-0.21879999999999999</v>
      </c>
      <c r="H57" s="20">
        <v>-0.34129999999999999</v>
      </c>
      <c r="I57" s="20">
        <v>0.42930000000000001</v>
      </c>
      <c r="J57" s="20">
        <v>3.1300000000000001E-2</v>
      </c>
      <c r="K57" s="20">
        <v>5.96E-2</v>
      </c>
      <c r="L57" s="20">
        <v>6.0699999999999997E-2</v>
      </c>
      <c r="M57" s="20">
        <v>6.2600000000000003E-2</v>
      </c>
      <c r="N57" s="20">
        <v>-0.1487</v>
      </c>
      <c r="O57" s="20">
        <v>1.89E-2</v>
      </c>
      <c r="P57" s="20">
        <v>-9.0700000000000003E-2</v>
      </c>
      <c r="Q57" s="20">
        <v>0.15190000000000001</v>
      </c>
      <c r="R57" s="20">
        <v>0.16350000000000001</v>
      </c>
      <c r="S57" s="20">
        <v>3.32E-2</v>
      </c>
      <c r="T57" s="20">
        <v>-2.29E-2</v>
      </c>
      <c r="U57" s="20">
        <v>-5.4000000000000003E-3</v>
      </c>
      <c r="V57" s="20">
        <v>8.4500000000000006E-2</v>
      </c>
      <c r="W57" s="20">
        <v>8.6900000000000005E-2</v>
      </c>
      <c r="X57" s="20">
        <v>0.13109999999999999</v>
      </c>
      <c r="Y57" s="20">
        <v>-2.1600000000000001E-2</v>
      </c>
      <c r="Z57" s="20">
        <v>-1.4E-2</v>
      </c>
      <c r="AA57" s="20">
        <v>-5.4000000000000003E-3</v>
      </c>
      <c r="AB57" s="20">
        <v>0.1077</v>
      </c>
      <c r="AC57" s="20">
        <v>-0.2823</v>
      </c>
      <c r="AD57" s="20">
        <v>-1.7299999999999999E-2</v>
      </c>
      <c r="AE57" s="20">
        <v>-1.67E-2</v>
      </c>
      <c r="AF57" s="20">
        <v>-0.1147</v>
      </c>
      <c r="AG57" s="20">
        <v>2.9399999999999999E-2</v>
      </c>
      <c r="AH57" s="20">
        <v>6.1800000000000001E-2</v>
      </c>
      <c r="AI57" s="20">
        <v>5.8999999999999999E-3</v>
      </c>
      <c r="AJ57" s="20">
        <v>-6.2300000000000001E-2</v>
      </c>
      <c r="AK57" s="20">
        <v>-0.1668</v>
      </c>
      <c r="AL57" s="21">
        <v>4.2900000000000001E-2</v>
      </c>
    </row>
    <row r="58" spans="1:38">
      <c r="A58" s="20">
        <v>0.36</v>
      </c>
      <c r="B58" s="20">
        <v>-0.42930000000000001</v>
      </c>
      <c r="C58" s="20">
        <v>-0.17280000000000001</v>
      </c>
      <c r="D58" s="20">
        <v>0.18590000000000001</v>
      </c>
      <c r="E58" s="20">
        <v>0.1056</v>
      </c>
      <c r="F58" s="20">
        <v>-0.22689999999999999</v>
      </c>
      <c r="G58" s="20">
        <v>-0.1547</v>
      </c>
      <c r="H58" s="20">
        <v>0.18160000000000001</v>
      </c>
      <c r="I58" s="20">
        <v>-0.20430000000000001</v>
      </c>
      <c r="J58" s="20">
        <v>1.7899999999999999E-2</v>
      </c>
      <c r="K58" s="20">
        <v>-9.6799999999999997E-2</v>
      </c>
      <c r="L58" s="20">
        <v>0.1075</v>
      </c>
      <c r="M58" s="20">
        <v>-4.7999999999999996E-3</v>
      </c>
      <c r="N58" s="20">
        <v>-0.2213</v>
      </c>
      <c r="O58" s="20">
        <v>8.6400000000000005E-2</v>
      </c>
      <c r="P58" s="20">
        <v>0.20799999999999999</v>
      </c>
      <c r="Q58" s="20">
        <v>-0.12989999999999999</v>
      </c>
      <c r="R58" s="20">
        <v>-3.8100000000000002E-2</v>
      </c>
      <c r="S58" s="20">
        <v>2.29E-2</v>
      </c>
      <c r="T58" s="20">
        <v>-1.9199999999999998E-2</v>
      </c>
      <c r="U58" s="20">
        <v>4.3E-3</v>
      </c>
      <c r="V58" s="20">
        <v>-1.52E-2</v>
      </c>
      <c r="W58" s="20">
        <v>-7.3099999999999998E-2</v>
      </c>
      <c r="X58" s="20">
        <v>0.2283</v>
      </c>
      <c r="Y58" s="20">
        <v>-9.8100000000000007E-2</v>
      </c>
      <c r="Z58" s="20">
        <v>-0.17810000000000001</v>
      </c>
      <c r="AA58" s="20">
        <v>2.4500000000000001E-2</v>
      </c>
      <c r="AB58" s="20">
        <v>2.3699999999999999E-2</v>
      </c>
      <c r="AC58" s="20">
        <v>3.2500000000000001E-2</v>
      </c>
      <c r="AD58" s="20">
        <v>0.43409999999999999</v>
      </c>
      <c r="AE58" s="20">
        <v>3.9699999999999999E-2</v>
      </c>
      <c r="AF58" s="20">
        <v>5.6300000000000003E-2</v>
      </c>
      <c r="AG58" s="20">
        <v>-2.4E-2</v>
      </c>
      <c r="AH58" s="20">
        <v>6.7500000000000004E-2</v>
      </c>
      <c r="AI58" s="20">
        <v>-5.3600000000000002E-2</v>
      </c>
      <c r="AJ58" s="20">
        <v>-6.4299999999999996E-2</v>
      </c>
      <c r="AK58" s="20">
        <v>9.1700000000000004E-2</v>
      </c>
      <c r="AL58" s="21">
        <v>-7.2800000000000004E-2</v>
      </c>
    </row>
    <row r="59" spans="1:38">
      <c r="A59" s="20">
        <v>-0.14990000000000001</v>
      </c>
      <c r="B59" s="20">
        <v>7.1599999999999997E-2</v>
      </c>
      <c r="C59" s="20">
        <v>-3.0099999999999998E-2</v>
      </c>
      <c r="D59" s="20">
        <v>-9.6100000000000005E-2</v>
      </c>
      <c r="E59" s="20">
        <v>-0.35189999999999999</v>
      </c>
      <c r="F59" s="20">
        <v>5.7700000000000001E-2</v>
      </c>
      <c r="G59" s="20">
        <v>-0.1013</v>
      </c>
      <c r="H59" s="20">
        <v>3.9800000000000002E-2</v>
      </c>
      <c r="I59" s="20">
        <v>4.6800000000000001E-2</v>
      </c>
      <c r="J59" s="20">
        <v>-9.6799999999999997E-2</v>
      </c>
      <c r="K59" s="20">
        <v>-0.37080000000000002</v>
      </c>
      <c r="L59" s="20">
        <v>0.1321</v>
      </c>
      <c r="M59" s="20">
        <v>2.9000000000000001E-2</v>
      </c>
      <c r="N59" s="20">
        <v>5.1999999999999998E-3</v>
      </c>
      <c r="O59" s="20">
        <v>8.4900000000000003E-2</v>
      </c>
      <c r="P59" s="20">
        <v>0.24390000000000001</v>
      </c>
      <c r="Q59" s="20">
        <v>-0.10059999999999999</v>
      </c>
      <c r="R59" s="20">
        <v>-3.0800000000000001E-2</v>
      </c>
      <c r="S59" s="20">
        <v>9.6799999999999997E-2</v>
      </c>
      <c r="T59" s="20">
        <v>9.8900000000000002E-2</v>
      </c>
      <c r="U59" s="20">
        <v>-9.9900000000000003E-2</v>
      </c>
      <c r="V59" s="20">
        <v>0.15379999999999999</v>
      </c>
      <c r="W59" s="20">
        <v>0.2656</v>
      </c>
      <c r="X59" s="20">
        <v>-7.2999999999999995E-2</v>
      </c>
      <c r="Y59" s="20">
        <v>0.1663</v>
      </c>
      <c r="Z59" s="20">
        <v>0.05</v>
      </c>
      <c r="AA59" s="20">
        <v>-7.7200000000000005E-2</v>
      </c>
      <c r="AB59" s="20">
        <v>0.1933</v>
      </c>
      <c r="AC59" s="20">
        <v>9.5799999999999996E-2</v>
      </c>
      <c r="AD59" s="20">
        <v>0.2341</v>
      </c>
      <c r="AE59" s="20">
        <v>0.17960000000000001</v>
      </c>
      <c r="AF59" s="20">
        <v>-0.17019999999999999</v>
      </c>
      <c r="AG59" s="20">
        <v>-1.7500000000000002E-2</v>
      </c>
      <c r="AH59" s="20">
        <v>0.16769999999999999</v>
      </c>
      <c r="AI59" s="20">
        <v>-0.19850000000000001</v>
      </c>
      <c r="AJ59" s="20">
        <v>2.06E-2</v>
      </c>
      <c r="AK59" s="20">
        <v>-0.42420000000000002</v>
      </c>
      <c r="AL59" s="21">
        <v>-0.05</v>
      </c>
    </row>
    <row r="60" spans="1:38">
      <c r="A60" s="20">
        <v>-0.17</v>
      </c>
      <c r="B60" s="20">
        <v>-0.3468</v>
      </c>
      <c r="C60" s="20">
        <v>-8.0299999999999996E-2</v>
      </c>
      <c r="D60" s="20">
        <v>-2.23E-2</v>
      </c>
      <c r="E60" s="20">
        <v>-4.2000000000000003E-2</v>
      </c>
      <c r="F60" s="20">
        <v>-0.1195</v>
      </c>
      <c r="G60" s="20">
        <v>-0.25869999999999999</v>
      </c>
      <c r="H60" s="20">
        <v>-0.1231</v>
      </c>
      <c r="I60" s="20">
        <v>-0.20630000000000001</v>
      </c>
      <c r="J60" s="20">
        <v>0.26640000000000003</v>
      </c>
      <c r="K60" s="20">
        <v>-0.1089</v>
      </c>
      <c r="L60" s="20">
        <v>0.2467</v>
      </c>
      <c r="M60" s="20">
        <v>-2.5999999999999999E-3</v>
      </c>
      <c r="N60" s="20">
        <v>-4.2799999999999998E-2</v>
      </c>
      <c r="O60" s="20">
        <v>-2.3800000000000002E-2</v>
      </c>
      <c r="P60" s="20">
        <v>-2.75E-2</v>
      </c>
      <c r="Q60" s="20">
        <v>-0.1052</v>
      </c>
      <c r="R60" s="20">
        <v>0.20760000000000001</v>
      </c>
      <c r="S60" s="20">
        <v>6.8199999999999997E-2</v>
      </c>
      <c r="T60" s="20">
        <v>6.3799999999999996E-2</v>
      </c>
      <c r="U60" s="20">
        <v>0.27889999999999998</v>
      </c>
      <c r="V60" s="20">
        <v>0.15079999999999999</v>
      </c>
      <c r="W60" s="20">
        <v>-0.26440000000000002</v>
      </c>
      <c r="X60" s="20">
        <v>7.0999999999999994E-2</v>
      </c>
      <c r="Y60" s="20">
        <v>0.42059999999999997</v>
      </c>
      <c r="Z60" s="20">
        <v>4.3299999999999998E-2</v>
      </c>
      <c r="AA60" s="20">
        <v>-1.17E-2</v>
      </c>
      <c r="AB60" s="20">
        <v>-0.1285</v>
      </c>
      <c r="AC60" s="20">
        <v>5.8299999999999998E-2</v>
      </c>
      <c r="AD60" s="20">
        <v>-6.1400000000000003E-2</v>
      </c>
      <c r="AE60" s="20">
        <v>-3.5000000000000003E-2</v>
      </c>
      <c r="AF60" s="20">
        <v>7.6499999999999999E-2</v>
      </c>
      <c r="AG60" s="20">
        <v>-9.4100000000000003E-2</v>
      </c>
      <c r="AH60" s="20">
        <v>4.5900000000000003E-2</v>
      </c>
      <c r="AI60" s="20">
        <v>6.5799999999999997E-2</v>
      </c>
      <c r="AJ60" s="20">
        <v>3.1899999999999998E-2</v>
      </c>
      <c r="AK60" s="20">
        <v>-0.11070000000000001</v>
      </c>
      <c r="AL60" s="21">
        <v>0.28249999999999997</v>
      </c>
    </row>
    <row r="61" spans="1:38">
      <c r="A61" s="20">
        <v>-0.51090000000000002</v>
      </c>
      <c r="B61" s="20">
        <v>-8.3799999999999999E-2</v>
      </c>
      <c r="C61" s="20">
        <v>-0.1605</v>
      </c>
      <c r="D61" s="20">
        <v>0.19670000000000001</v>
      </c>
      <c r="E61" s="20">
        <v>3.5200000000000002E-2</v>
      </c>
      <c r="F61" s="20">
        <v>2.7900000000000001E-2</v>
      </c>
      <c r="G61" s="20">
        <v>-0.14899999999999999</v>
      </c>
      <c r="H61" s="20">
        <v>9.06E-2</v>
      </c>
      <c r="I61" s="20">
        <v>-3.7600000000000001E-2</v>
      </c>
      <c r="J61" s="20">
        <v>0.10879999999999999</v>
      </c>
      <c r="K61" s="20">
        <v>1.15E-2</v>
      </c>
      <c r="L61" s="20">
        <v>-8.6E-3</v>
      </c>
      <c r="M61" s="20">
        <v>6.1100000000000002E-2</v>
      </c>
      <c r="N61" s="20">
        <v>0.27150000000000002</v>
      </c>
      <c r="O61" s="20">
        <v>5.45E-2</v>
      </c>
      <c r="P61" s="20">
        <v>-2.3400000000000001E-2</v>
      </c>
      <c r="Q61" s="20">
        <v>1.15E-2</v>
      </c>
      <c r="R61" s="20">
        <v>2.5000000000000001E-2</v>
      </c>
      <c r="S61" s="20">
        <v>0.29049999999999998</v>
      </c>
      <c r="T61" s="20">
        <v>-2.12E-2</v>
      </c>
      <c r="U61" s="20">
        <v>6.9900000000000004E-2</v>
      </c>
      <c r="V61" s="20">
        <v>-6.2899999999999998E-2</v>
      </c>
      <c r="W61" s="20">
        <v>2.0500000000000001E-2</v>
      </c>
      <c r="X61" s="20">
        <v>0.12620000000000001</v>
      </c>
      <c r="Y61" s="20">
        <v>0.35849999999999999</v>
      </c>
      <c r="Z61" s="20">
        <v>0.16900000000000001</v>
      </c>
      <c r="AA61" s="20">
        <v>-0.1399</v>
      </c>
      <c r="AB61" s="20">
        <v>-0.16289999999999999</v>
      </c>
      <c r="AC61" s="20">
        <v>5.0299999999999997E-2</v>
      </c>
      <c r="AD61" s="20">
        <v>-0.28120000000000001</v>
      </c>
      <c r="AE61" s="20">
        <v>-0.17280000000000001</v>
      </c>
      <c r="AF61" s="20">
        <v>-0.26140000000000002</v>
      </c>
      <c r="AG61" s="20">
        <v>1.6E-2</v>
      </c>
      <c r="AH61" s="20">
        <v>0.15029999999999999</v>
      </c>
      <c r="AI61" s="20">
        <v>3.9199999999999999E-2</v>
      </c>
      <c r="AJ61" s="20">
        <v>1.1900000000000001E-2</v>
      </c>
      <c r="AK61" s="20">
        <v>2.2499999999999999E-2</v>
      </c>
      <c r="AL61" s="21">
        <v>-0.14760000000000001</v>
      </c>
    </row>
    <row r="62" spans="1:38">
      <c r="A62" s="20">
        <v>-0.14050000000000001</v>
      </c>
      <c r="B62" s="20">
        <v>0.17799999999999999</v>
      </c>
      <c r="C62" s="20">
        <v>-0.23419999999999999</v>
      </c>
      <c r="D62" s="20">
        <v>-0.1406</v>
      </c>
      <c r="E62" s="20">
        <v>-0.3029</v>
      </c>
      <c r="F62" s="20">
        <v>8.4000000000000005E-2</v>
      </c>
      <c r="G62" s="20">
        <v>-5.3900000000000003E-2</v>
      </c>
      <c r="H62" s="20">
        <v>9.7900000000000001E-2</v>
      </c>
      <c r="I62" s="20">
        <v>0.37880000000000003</v>
      </c>
      <c r="J62" s="20">
        <v>0.1832</v>
      </c>
      <c r="K62" s="20">
        <v>0.22770000000000001</v>
      </c>
      <c r="L62" s="20">
        <v>3.9300000000000002E-2</v>
      </c>
      <c r="M62" s="20">
        <v>-0.34129999999999999</v>
      </c>
      <c r="N62" s="20">
        <v>-0.22900000000000001</v>
      </c>
      <c r="O62" s="20">
        <v>4.5999999999999999E-3</v>
      </c>
      <c r="P62" s="20">
        <v>0.19620000000000001</v>
      </c>
      <c r="Q62" s="20">
        <v>-2.5100000000000001E-2</v>
      </c>
      <c r="R62" s="20">
        <v>-1.6000000000000001E-3</v>
      </c>
      <c r="S62" s="20">
        <v>-4.4600000000000001E-2</v>
      </c>
      <c r="T62" s="20">
        <v>-0.21820000000000001</v>
      </c>
      <c r="U62" s="20">
        <v>4.4200000000000003E-2</v>
      </c>
      <c r="V62" s="20">
        <v>5.2999999999999999E-2</v>
      </c>
      <c r="W62" s="20">
        <v>-0.1459</v>
      </c>
      <c r="X62" s="20">
        <v>0.13639999999999999</v>
      </c>
      <c r="Y62" s="20">
        <v>-0.13619999999999999</v>
      </c>
      <c r="Z62" s="20">
        <v>0.20050000000000001</v>
      </c>
      <c r="AA62" s="20">
        <v>-4.1200000000000001E-2</v>
      </c>
      <c r="AB62" s="20">
        <v>-0.20830000000000001</v>
      </c>
      <c r="AC62" s="20">
        <v>0.21099999999999999</v>
      </c>
      <c r="AD62" s="20">
        <v>-7.8899999999999998E-2</v>
      </c>
      <c r="AE62" s="20">
        <v>2.87E-2</v>
      </c>
      <c r="AF62" s="20">
        <v>3.95E-2</v>
      </c>
      <c r="AG62" s="20">
        <v>-5.0599999999999999E-2</v>
      </c>
      <c r="AH62" s="20">
        <v>0.21229999999999999</v>
      </c>
      <c r="AI62" s="20">
        <v>-9.6699999999999994E-2</v>
      </c>
      <c r="AJ62" s="20">
        <v>7.1999999999999998E-3</v>
      </c>
      <c r="AK62" s="20">
        <v>0.10929999999999999</v>
      </c>
      <c r="AL62" s="21">
        <v>6.2199999999999998E-2</v>
      </c>
    </row>
    <row r="63" spans="1:38">
      <c r="A63" s="20">
        <v>0.10780000000000001</v>
      </c>
      <c r="B63" s="20">
        <v>-2.7400000000000001E-2</v>
      </c>
      <c r="C63" s="20">
        <v>-5.3100000000000001E-2</v>
      </c>
      <c r="D63" s="20">
        <v>0.15049999999999999</v>
      </c>
      <c r="E63" s="20">
        <v>-0.2802</v>
      </c>
      <c r="F63" s="20">
        <v>7.1999999999999998E-3</v>
      </c>
      <c r="G63" s="20">
        <v>-0.10780000000000001</v>
      </c>
      <c r="H63" s="20">
        <v>0.1603</v>
      </c>
      <c r="I63" s="20">
        <v>0.20430000000000001</v>
      </c>
      <c r="J63" s="20">
        <v>4.7199999999999999E-2</v>
      </c>
      <c r="K63" s="20">
        <v>0.128</v>
      </c>
      <c r="L63" s="20">
        <v>0.27689999999999998</v>
      </c>
      <c r="M63" s="20">
        <v>-0.59260000000000002</v>
      </c>
      <c r="N63" s="20">
        <v>1.7600000000000001E-2</v>
      </c>
      <c r="O63" s="20">
        <v>-7.6200000000000004E-2</v>
      </c>
      <c r="P63" s="20">
        <v>-2.2499999999999999E-2</v>
      </c>
      <c r="Q63" s="20">
        <v>-0.18890000000000001</v>
      </c>
      <c r="R63" s="20">
        <v>-6.4799999999999996E-2</v>
      </c>
      <c r="S63" s="20">
        <v>-0.03</v>
      </c>
      <c r="T63" s="20">
        <v>7.9500000000000001E-2</v>
      </c>
      <c r="U63" s="20">
        <v>-1.14E-2</v>
      </c>
      <c r="V63" s="20">
        <v>-0.1759</v>
      </c>
      <c r="W63" s="20">
        <v>2.2499999999999999E-2</v>
      </c>
      <c r="X63" s="20">
        <v>0.13059999999999999</v>
      </c>
      <c r="Y63" s="20">
        <v>9.4799999999999995E-2</v>
      </c>
      <c r="Z63" s="20">
        <v>2.5999999999999999E-3</v>
      </c>
      <c r="AA63" s="20">
        <v>-2.2800000000000001E-2</v>
      </c>
      <c r="AB63" s="20">
        <v>-0.33550000000000002</v>
      </c>
      <c r="AC63" s="20">
        <v>9.74E-2</v>
      </c>
      <c r="AD63" s="20">
        <v>0.2228</v>
      </c>
      <c r="AE63" s="20">
        <v>-1.34E-2</v>
      </c>
      <c r="AF63" s="20">
        <v>-0.1036</v>
      </c>
      <c r="AG63" s="20">
        <v>0.2082</v>
      </c>
      <c r="AH63" s="20">
        <v>1.43E-2</v>
      </c>
      <c r="AI63" s="20">
        <v>4.8899999999999999E-2</v>
      </c>
      <c r="AJ63" s="20">
        <v>0.11990000000000001</v>
      </c>
      <c r="AK63" s="20">
        <v>2.7E-2</v>
      </c>
      <c r="AL63" s="21">
        <v>-5.0799999999999998E-2</v>
      </c>
    </row>
    <row r="64" spans="1:38">
      <c r="A64" s="20">
        <v>-0.17929999999999999</v>
      </c>
      <c r="B64" s="20">
        <v>3.7499999999999999E-2</v>
      </c>
      <c r="C64" s="20">
        <v>-0.23039999999999999</v>
      </c>
      <c r="D64" s="20">
        <v>-3.0099999999999998E-2</v>
      </c>
      <c r="E64" s="20">
        <v>-0.37740000000000001</v>
      </c>
      <c r="F64" s="20">
        <v>0.26479999999999998</v>
      </c>
      <c r="G64" s="20">
        <v>-0.14649999999999999</v>
      </c>
      <c r="H64" s="20">
        <v>-0.1118</v>
      </c>
      <c r="I64" s="20">
        <v>0.36</v>
      </c>
      <c r="J64" s="20">
        <v>0.1202</v>
      </c>
      <c r="K64" s="20">
        <v>0.20499999999999999</v>
      </c>
      <c r="L64" s="20">
        <v>9.6100000000000005E-2</v>
      </c>
      <c r="M64" s="20">
        <v>-0.30509999999999998</v>
      </c>
      <c r="N64" s="20">
        <v>-0.18529999999999999</v>
      </c>
      <c r="O64" s="20">
        <v>-7.4700000000000003E-2</v>
      </c>
      <c r="P64" s="20">
        <v>6.4899999999999999E-2</v>
      </c>
      <c r="Q64" s="20">
        <v>3.56E-2</v>
      </c>
      <c r="R64" s="20">
        <v>1.32E-2</v>
      </c>
      <c r="S64" s="20">
        <v>-5.0900000000000001E-2</v>
      </c>
      <c r="T64" s="20">
        <v>-0.2054</v>
      </c>
      <c r="U64" s="20">
        <v>0.10539999999999999</v>
      </c>
      <c r="V64" s="20">
        <v>6.8400000000000002E-2</v>
      </c>
      <c r="W64" s="20">
        <v>-8.9200000000000002E-2</v>
      </c>
      <c r="X64" s="20">
        <v>0.16039999999999999</v>
      </c>
      <c r="Y64" s="20">
        <v>5.9200000000000003E-2</v>
      </c>
      <c r="Z64" s="20">
        <v>0.2762</v>
      </c>
      <c r="AA64" s="20">
        <v>7.9699999999999993E-2</v>
      </c>
      <c r="AB64" s="20">
        <v>-0.19969999999999999</v>
      </c>
      <c r="AC64" s="20">
        <v>4.2700000000000002E-2</v>
      </c>
      <c r="AD64" s="20">
        <v>-9.0399999999999994E-2</v>
      </c>
      <c r="AE64" s="20">
        <v>9.3600000000000003E-2</v>
      </c>
      <c r="AF64" s="20">
        <v>5.2699999999999997E-2</v>
      </c>
      <c r="AG64" s="20">
        <v>8.5000000000000006E-3</v>
      </c>
      <c r="AH64" s="20">
        <v>0.21790000000000001</v>
      </c>
      <c r="AI64" s="20">
        <v>8.9999999999999998E-4</v>
      </c>
      <c r="AJ64" s="20">
        <v>0.11600000000000001</v>
      </c>
      <c r="AK64" s="20">
        <v>-0.16850000000000001</v>
      </c>
      <c r="AL64" s="21">
        <v>-2.7900000000000001E-2</v>
      </c>
    </row>
    <row r="65" spans="1:38">
      <c r="A65" s="20">
        <v>0.42380000000000001</v>
      </c>
      <c r="B65" s="20">
        <v>-0.38829999999999998</v>
      </c>
      <c r="C65" s="20">
        <v>2.63E-2</v>
      </c>
      <c r="D65" s="20">
        <v>-0.35410000000000003</v>
      </c>
      <c r="E65" s="20">
        <v>0.28349999999999997</v>
      </c>
      <c r="F65" s="20">
        <v>-0.18290000000000001</v>
      </c>
      <c r="G65" s="20">
        <v>-0.20730000000000001</v>
      </c>
      <c r="H65" s="20">
        <v>-0.1734</v>
      </c>
      <c r="I65" s="20">
        <v>0.1174</v>
      </c>
      <c r="J65" s="20">
        <v>0.1258</v>
      </c>
      <c r="K65" s="20">
        <v>3.2199999999999999E-2</v>
      </c>
      <c r="L65" s="20">
        <v>-3.8699999999999998E-2</v>
      </c>
      <c r="M65" s="20">
        <v>5.3800000000000001E-2</v>
      </c>
      <c r="N65" s="20">
        <v>8.0999999999999996E-3</v>
      </c>
      <c r="O65" s="20">
        <v>-1.8499999999999999E-2</v>
      </c>
      <c r="P65" s="20">
        <v>0.12609999999999999</v>
      </c>
      <c r="Q65" s="20">
        <v>-0.26050000000000001</v>
      </c>
      <c r="R65" s="20">
        <v>6.3299999999999995E-2</v>
      </c>
      <c r="S65" s="20">
        <v>0.13589999999999999</v>
      </c>
      <c r="T65" s="20">
        <v>8.3500000000000005E-2</v>
      </c>
      <c r="U65" s="20">
        <v>1.6E-2</v>
      </c>
      <c r="V65" s="20">
        <v>-2.6599999999999999E-2</v>
      </c>
      <c r="W65" s="20">
        <v>3.6700000000000003E-2</v>
      </c>
      <c r="X65" s="20">
        <v>-9.7799999999999998E-2</v>
      </c>
      <c r="Y65" s="20">
        <v>0.1037</v>
      </c>
      <c r="Z65" s="20">
        <v>6.0499999999999998E-2</v>
      </c>
      <c r="AA65" s="20">
        <v>-1.2E-2</v>
      </c>
      <c r="AB65" s="20">
        <v>-3.39E-2</v>
      </c>
      <c r="AC65" s="20">
        <v>0.21990000000000001</v>
      </c>
      <c r="AD65" s="20">
        <v>6.7000000000000002E-3</v>
      </c>
      <c r="AE65" s="20">
        <v>-0.1527</v>
      </c>
      <c r="AF65" s="20">
        <v>-5.2400000000000002E-2</v>
      </c>
      <c r="AG65" s="20">
        <v>5.2699999999999997E-2</v>
      </c>
      <c r="AH65" s="20">
        <v>0.15690000000000001</v>
      </c>
      <c r="AI65" s="20">
        <v>8.0100000000000005E-2</v>
      </c>
      <c r="AJ65" s="20">
        <v>-0.10730000000000001</v>
      </c>
      <c r="AK65" s="20">
        <v>0.107</v>
      </c>
      <c r="AL65" s="21">
        <v>-0.22189999999999999</v>
      </c>
    </row>
    <row r="66" spans="1:38">
      <c r="A66" s="20">
        <v>-0.2472</v>
      </c>
      <c r="B66" s="20">
        <v>-0.19989999999999999</v>
      </c>
      <c r="C66" s="20">
        <v>-0.15190000000000001</v>
      </c>
      <c r="D66" s="20">
        <v>0.23230000000000001</v>
      </c>
      <c r="E66" s="20">
        <v>0.18479999999999999</v>
      </c>
      <c r="F66" s="20">
        <v>-0.1196</v>
      </c>
      <c r="G66" s="20">
        <v>-0.1951</v>
      </c>
      <c r="H66" s="20">
        <v>0.33760000000000001</v>
      </c>
      <c r="I66" s="20">
        <v>-0.2117</v>
      </c>
      <c r="J66" s="20">
        <v>8.3400000000000002E-2</v>
      </c>
      <c r="K66" s="20">
        <v>-5.3199999999999997E-2</v>
      </c>
      <c r="L66" s="20">
        <v>-6.13E-2</v>
      </c>
      <c r="M66" s="20">
        <v>-9.0399999999999994E-2</v>
      </c>
      <c r="N66" s="20">
        <v>0.31830000000000003</v>
      </c>
      <c r="O66" s="20">
        <v>-7.6899999999999996E-2</v>
      </c>
      <c r="P66" s="20">
        <v>0.26190000000000002</v>
      </c>
      <c r="Q66" s="20">
        <v>0.29520000000000002</v>
      </c>
      <c r="R66" s="20">
        <v>5.5E-2</v>
      </c>
      <c r="S66" s="20">
        <v>0.14249999999999999</v>
      </c>
      <c r="T66" s="20">
        <v>0.1115</v>
      </c>
      <c r="U66" s="20">
        <v>-4.07E-2</v>
      </c>
      <c r="V66" s="20">
        <v>-0.1066</v>
      </c>
      <c r="W66" s="20">
        <v>7.9899999999999999E-2</v>
      </c>
      <c r="X66" s="20">
        <v>1.0999999999999999E-2</v>
      </c>
      <c r="Y66" s="20">
        <v>-0.14649999999999999</v>
      </c>
      <c r="Z66" s="20">
        <v>0.15129999999999999</v>
      </c>
      <c r="AA66" s="20">
        <v>-0.1739</v>
      </c>
      <c r="AB66" s="20">
        <v>7.2900000000000006E-2</v>
      </c>
      <c r="AC66" s="20">
        <v>-0.1767</v>
      </c>
      <c r="AD66" s="20">
        <v>-0.22589999999999999</v>
      </c>
      <c r="AE66" s="20">
        <v>8.43E-2</v>
      </c>
      <c r="AF66" s="20">
        <v>-7.9000000000000008E-3</v>
      </c>
      <c r="AG66" s="20">
        <v>-3.7900000000000003E-2</v>
      </c>
      <c r="AH66" s="20">
        <v>0.13569999999999999</v>
      </c>
      <c r="AI66" s="20">
        <v>-0.20430000000000001</v>
      </c>
      <c r="AJ66" s="20">
        <v>-6.7199999999999996E-2</v>
      </c>
      <c r="AK66" s="20">
        <v>3.4099999999999998E-2</v>
      </c>
      <c r="AL66" s="21">
        <v>4.7999999999999996E-3</v>
      </c>
    </row>
    <row r="67" spans="1:38">
      <c r="A67" s="20">
        <v>6.6000000000000003E-2</v>
      </c>
      <c r="B67" s="20">
        <v>8.9800000000000005E-2</v>
      </c>
      <c r="C67" s="20">
        <v>-0.35389999999999999</v>
      </c>
      <c r="D67" s="20">
        <v>-0.1394</v>
      </c>
      <c r="E67" s="20">
        <v>0.46129999999999999</v>
      </c>
      <c r="F67" s="20">
        <v>-1.6500000000000001E-2</v>
      </c>
      <c r="G67" s="20">
        <v>-0.41870000000000002</v>
      </c>
      <c r="H67" s="20">
        <v>-0.10199999999999999</v>
      </c>
      <c r="I67" s="20">
        <v>2.5000000000000001E-3</v>
      </c>
      <c r="J67" s="20">
        <v>9.2100000000000001E-2</v>
      </c>
      <c r="K67" s="20">
        <v>1.6500000000000001E-2</v>
      </c>
      <c r="L67" s="20">
        <v>0.3422</v>
      </c>
      <c r="M67" s="20">
        <v>-2.7699999999999999E-2</v>
      </c>
      <c r="N67" s="20">
        <v>0.216</v>
      </c>
      <c r="O67" s="20">
        <v>0.13139999999999999</v>
      </c>
      <c r="P67" s="20">
        <v>6.7000000000000004E-2</v>
      </c>
      <c r="Q67" s="20">
        <v>0.18459999999999999</v>
      </c>
      <c r="R67" s="20">
        <v>-1.1599999999999999E-2</v>
      </c>
      <c r="S67" s="20">
        <v>5.2999999999999999E-2</v>
      </c>
      <c r="T67" s="20">
        <v>0.1447</v>
      </c>
      <c r="U67" s="20">
        <v>-0.16470000000000001</v>
      </c>
      <c r="V67" s="20">
        <v>-0.1186</v>
      </c>
      <c r="W67" s="20">
        <v>7.8200000000000006E-2</v>
      </c>
      <c r="X67" s="20">
        <v>2.4E-2</v>
      </c>
      <c r="Y67" s="20">
        <v>-1.17E-2</v>
      </c>
      <c r="Z67" s="20">
        <v>2.1899999999999999E-2</v>
      </c>
      <c r="AA67" s="20">
        <v>-0.1532</v>
      </c>
      <c r="AB67" s="20">
        <v>9.4899999999999998E-2</v>
      </c>
      <c r="AC67" s="20">
        <v>-6.9000000000000006E-2</v>
      </c>
      <c r="AD67" s="20">
        <v>-0.20300000000000001</v>
      </c>
      <c r="AE67" s="20">
        <v>2.3099999999999999E-2</v>
      </c>
      <c r="AF67" s="20">
        <v>3.6499999999999998E-2</v>
      </c>
      <c r="AG67" s="20">
        <v>-0.1154</v>
      </c>
      <c r="AH67" s="20">
        <v>-0.17019999999999999</v>
      </c>
      <c r="AI67" s="20">
        <v>7.3099999999999998E-2</v>
      </c>
      <c r="AJ67" s="20">
        <v>2.53E-2</v>
      </c>
      <c r="AK67" s="20">
        <v>-9.7900000000000001E-2</v>
      </c>
      <c r="AL67" s="21">
        <v>-6.7100000000000007E-2</v>
      </c>
    </row>
    <row r="68" spans="1:38">
      <c r="A68" s="20">
        <v>3.9899999999999998E-2</v>
      </c>
      <c r="B68" s="20">
        <v>1.9099999999999999E-2</v>
      </c>
      <c r="C68" s="20">
        <v>-0.47120000000000001</v>
      </c>
      <c r="D68" s="20">
        <v>-0.15920000000000001</v>
      </c>
      <c r="E68" s="20">
        <v>0.32140000000000002</v>
      </c>
      <c r="F68" s="20">
        <v>0.113</v>
      </c>
      <c r="G68" s="20">
        <v>-0.1651</v>
      </c>
      <c r="H68" s="20">
        <v>-0.21440000000000001</v>
      </c>
      <c r="I68" s="20">
        <v>-5.5199999999999999E-2</v>
      </c>
      <c r="J68" s="20">
        <v>2.6800000000000001E-2</v>
      </c>
      <c r="K68" s="20">
        <v>-3.56E-2</v>
      </c>
      <c r="L68" s="20">
        <v>0.3155</v>
      </c>
      <c r="M68" s="20">
        <v>-0.1794</v>
      </c>
      <c r="N68" s="20">
        <v>0.2346</v>
      </c>
      <c r="O68" s="20">
        <v>0.15690000000000001</v>
      </c>
      <c r="P68" s="20">
        <v>-8.3400000000000002E-2</v>
      </c>
      <c r="Q68" s="20">
        <v>8.77E-2</v>
      </c>
      <c r="R68" s="20">
        <v>0.2016</v>
      </c>
      <c r="S68" s="20">
        <v>0.14660000000000001</v>
      </c>
      <c r="T68" s="20">
        <v>0.189</v>
      </c>
      <c r="U68" s="20">
        <v>-0.16339999999999999</v>
      </c>
      <c r="V68" s="20">
        <v>6.0900000000000003E-2</v>
      </c>
      <c r="W68" s="20">
        <v>3.4200000000000001E-2</v>
      </c>
      <c r="X68" s="20">
        <v>-3.56E-2</v>
      </c>
      <c r="Y68" s="20">
        <v>-3.7900000000000003E-2</v>
      </c>
      <c r="Z68" s="20">
        <v>-0.1125</v>
      </c>
      <c r="AA68" s="20">
        <v>-4.2099999999999999E-2</v>
      </c>
      <c r="AB68" s="20">
        <v>2.3E-3</v>
      </c>
      <c r="AC68" s="20">
        <v>0.16539999999999999</v>
      </c>
      <c r="AD68" s="20">
        <v>-0.13350000000000001</v>
      </c>
      <c r="AE68" s="20">
        <v>5.4899999999999997E-2</v>
      </c>
      <c r="AF68" s="20">
        <v>-4.19E-2</v>
      </c>
      <c r="AG68" s="20">
        <v>-0.23150000000000001</v>
      </c>
      <c r="AH68" s="20">
        <v>-2.93E-2</v>
      </c>
      <c r="AI68" s="20">
        <v>0.23769999999999999</v>
      </c>
      <c r="AJ68" s="20">
        <v>-0.1071</v>
      </c>
      <c r="AK68" s="20">
        <v>-5.1000000000000004E-3</v>
      </c>
      <c r="AL68" s="21">
        <v>-0.1065</v>
      </c>
    </row>
    <row r="69" spans="1:38">
      <c r="A69" s="20">
        <v>-0.33600000000000002</v>
      </c>
      <c r="B69" s="20">
        <v>-0.47289999999999999</v>
      </c>
      <c r="C69" s="20">
        <v>-0.17780000000000001</v>
      </c>
      <c r="D69" s="20">
        <v>-4.6699999999999998E-2</v>
      </c>
      <c r="E69" s="20">
        <v>-0.20519999999999999</v>
      </c>
      <c r="F69" s="20">
        <v>-8.0600000000000005E-2</v>
      </c>
      <c r="G69" s="20">
        <v>-3.9899999999999998E-2</v>
      </c>
      <c r="H69" s="20">
        <v>0.1159</v>
      </c>
      <c r="I69" s="20">
        <v>-0.191</v>
      </c>
      <c r="J69" s="20">
        <v>5.21E-2</v>
      </c>
      <c r="K69" s="20">
        <v>-9.9699999999999997E-2</v>
      </c>
      <c r="L69" s="20">
        <v>7.8600000000000003E-2</v>
      </c>
      <c r="M69" s="20">
        <v>5.7200000000000001E-2</v>
      </c>
      <c r="N69" s="20">
        <v>0.39200000000000002</v>
      </c>
      <c r="O69" s="20">
        <v>0.26910000000000001</v>
      </c>
      <c r="P69" s="20">
        <v>2.3099999999999999E-2</v>
      </c>
      <c r="Q69" s="20">
        <v>-7.7499999999999999E-2</v>
      </c>
      <c r="R69" s="20">
        <v>7.1800000000000003E-2</v>
      </c>
      <c r="S69" s="20">
        <v>0.32440000000000002</v>
      </c>
      <c r="T69" s="20">
        <v>6.4399999999999999E-2</v>
      </c>
      <c r="U69" s="20">
        <v>-0.10290000000000001</v>
      </c>
      <c r="V69" s="20">
        <v>-2.5100000000000001E-2</v>
      </c>
      <c r="W69" s="20">
        <v>-0.1132</v>
      </c>
      <c r="X69" s="20">
        <v>-3.8800000000000001E-2</v>
      </c>
      <c r="Y69" s="20">
        <v>0.2026</v>
      </c>
      <c r="Z69" s="20">
        <v>5.2999999999999999E-2</v>
      </c>
      <c r="AA69" s="20">
        <v>-0.1108</v>
      </c>
      <c r="AB69" s="20">
        <v>0.15670000000000001</v>
      </c>
      <c r="AC69" s="20">
        <v>0.14119999999999999</v>
      </c>
      <c r="AD69" s="20">
        <v>-6.7000000000000002E-3</v>
      </c>
      <c r="AE69" s="20">
        <v>4.1099999999999998E-2</v>
      </c>
      <c r="AF69" s="20">
        <v>-5.1900000000000002E-2</v>
      </c>
      <c r="AG69" s="20">
        <v>3.3500000000000002E-2</v>
      </c>
      <c r="AH69" s="20">
        <v>-3.5099999999999999E-2</v>
      </c>
      <c r="AI69" s="20">
        <v>-3.8E-3</v>
      </c>
      <c r="AJ69" s="20">
        <v>-5.4199999999999998E-2</v>
      </c>
      <c r="AK69" s="20">
        <v>3.9600000000000003E-2</v>
      </c>
      <c r="AL69" s="21">
        <v>0.151</v>
      </c>
    </row>
    <row r="70" spans="1:38">
      <c r="A70" s="20">
        <v>0.24079999999999999</v>
      </c>
      <c r="B70" s="20">
        <v>-0.35489999999999999</v>
      </c>
      <c r="C70" s="20">
        <v>-2.6499999999999999E-2</v>
      </c>
      <c r="D70" s="20">
        <v>0.2712</v>
      </c>
      <c r="E70" s="20">
        <v>3.3799999999999997E-2</v>
      </c>
      <c r="F70" s="20">
        <v>-1.95E-2</v>
      </c>
      <c r="G70" s="20">
        <v>-0.24429999999999999</v>
      </c>
      <c r="H70" s="20">
        <v>-0.47420000000000001</v>
      </c>
      <c r="I70" s="20">
        <v>9.2799999999999994E-2</v>
      </c>
      <c r="J70" s="20">
        <v>-0.11890000000000001</v>
      </c>
      <c r="K70" s="20">
        <v>0.26329999999999998</v>
      </c>
      <c r="L70" s="20">
        <v>-7.9000000000000001E-2</v>
      </c>
      <c r="M70" s="20">
        <v>7.2900000000000006E-2</v>
      </c>
      <c r="N70" s="20">
        <v>-7.46E-2</v>
      </c>
      <c r="O70" s="20">
        <v>0.13669999999999999</v>
      </c>
      <c r="P70" s="20">
        <v>-2.9499999999999998E-2</v>
      </c>
      <c r="Q70" s="20">
        <v>-1.8700000000000001E-2</v>
      </c>
      <c r="R70" s="20">
        <v>0.2213</v>
      </c>
      <c r="S70" s="20">
        <v>-0.13059999999999999</v>
      </c>
      <c r="T70" s="20">
        <v>-0.21479999999999999</v>
      </c>
      <c r="U70" s="20">
        <v>-0.13539999999999999</v>
      </c>
      <c r="V70" s="20">
        <v>-7.5499999999999998E-2</v>
      </c>
      <c r="W70" s="20">
        <v>-0.2039</v>
      </c>
      <c r="X70" s="20">
        <v>0.15140000000000001</v>
      </c>
      <c r="Y70" s="20">
        <v>0.1918</v>
      </c>
      <c r="Z70" s="20">
        <v>-1.2999999999999999E-2</v>
      </c>
      <c r="AA70" s="20">
        <v>2.5600000000000001E-2</v>
      </c>
      <c r="AB70" s="20">
        <v>0.17699999999999999</v>
      </c>
      <c r="AC70" s="20">
        <v>-1.8700000000000001E-2</v>
      </c>
      <c r="AD70" s="20">
        <v>2.2599999999999999E-2</v>
      </c>
      <c r="AE70" s="20">
        <v>4.4699999999999997E-2</v>
      </c>
      <c r="AF70" s="20">
        <v>2.9499999999999998E-2</v>
      </c>
      <c r="AG70" s="20">
        <v>0.2104</v>
      </c>
      <c r="AH70" s="20">
        <v>-4.3400000000000001E-2</v>
      </c>
      <c r="AI70" s="20">
        <v>4.99E-2</v>
      </c>
      <c r="AJ70" s="20">
        <v>6.4199999999999993E-2</v>
      </c>
      <c r="AK70" s="20">
        <v>-2.2100000000000002E-2</v>
      </c>
      <c r="AL70" s="21">
        <v>9.4999999999999998E-3</v>
      </c>
    </row>
    <row r="71" spans="1:38">
      <c r="A71" s="20">
        <v>0.28179999999999999</v>
      </c>
      <c r="B71" s="20">
        <v>-0.14249999999999999</v>
      </c>
      <c r="C71" s="20">
        <v>0.1741</v>
      </c>
      <c r="D71" s="20">
        <v>0.61380000000000001</v>
      </c>
      <c r="E71" s="20">
        <v>-9.2999999999999999E-2</v>
      </c>
      <c r="F71" s="20">
        <v>-0.1147</v>
      </c>
      <c r="G71" s="20">
        <v>-0.33939999999999998</v>
      </c>
      <c r="H71" s="20">
        <v>-0.23200000000000001</v>
      </c>
      <c r="I71" s="20">
        <v>6.0000000000000001E-3</v>
      </c>
      <c r="J71" s="20">
        <v>-6.08E-2</v>
      </c>
      <c r="K71" s="20">
        <v>7.3300000000000004E-2</v>
      </c>
      <c r="L71" s="20">
        <v>8.2500000000000004E-2</v>
      </c>
      <c r="M71" s="20">
        <v>0.23519999999999999</v>
      </c>
      <c r="N71" s="20">
        <v>-5.5300000000000002E-2</v>
      </c>
      <c r="O71" s="20">
        <v>-0.18440000000000001</v>
      </c>
      <c r="P71" s="20">
        <v>-0.11840000000000001</v>
      </c>
      <c r="Q71" s="20">
        <v>-7.2300000000000003E-2</v>
      </c>
      <c r="R71" s="20">
        <v>-0.15010000000000001</v>
      </c>
      <c r="S71" s="20">
        <v>2.93E-2</v>
      </c>
      <c r="T71" s="20">
        <v>-1.89E-2</v>
      </c>
      <c r="U71" s="20">
        <v>-4.2900000000000001E-2</v>
      </c>
      <c r="V71" s="20">
        <v>-4.9200000000000001E-2</v>
      </c>
      <c r="W71" s="20">
        <v>-9.0300000000000005E-2</v>
      </c>
      <c r="X71" s="20">
        <v>-1.3599999999999999E-2</v>
      </c>
      <c r="Y71" s="20">
        <v>-2.9100000000000001E-2</v>
      </c>
      <c r="Z71" s="20">
        <v>-6.7999999999999996E-3</v>
      </c>
      <c r="AA71" s="20">
        <v>0.13020000000000001</v>
      </c>
      <c r="AB71" s="20">
        <v>0.1016</v>
      </c>
      <c r="AC71" s="20">
        <v>6.0000000000000001E-3</v>
      </c>
      <c r="AD71" s="20">
        <v>0.11260000000000001</v>
      </c>
      <c r="AE71" s="20">
        <v>9.0300000000000005E-2</v>
      </c>
      <c r="AF71" s="20">
        <v>7.1499999999999994E-2</v>
      </c>
      <c r="AG71" s="20">
        <v>0.1076</v>
      </c>
      <c r="AH71" s="20">
        <v>-3.2500000000000001E-2</v>
      </c>
      <c r="AI71" s="20">
        <v>0.11840000000000001</v>
      </c>
      <c r="AJ71" s="20">
        <v>-0.16109999999999999</v>
      </c>
      <c r="AK71" s="20">
        <v>-4.9799999999999997E-2</v>
      </c>
      <c r="AL71" s="21">
        <v>-0.17130000000000001</v>
      </c>
    </row>
    <row r="72" spans="1:38">
      <c r="A72" s="20">
        <v>-0.25219999999999998</v>
      </c>
      <c r="B72" s="20">
        <v>-0.39800000000000002</v>
      </c>
      <c r="C72" s="20">
        <v>0.1037</v>
      </c>
      <c r="D72" s="20">
        <v>0.14069999999999999</v>
      </c>
      <c r="E72" s="20">
        <v>-1.15E-2</v>
      </c>
      <c r="F72" s="20">
        <v>-9.3899999999999997E-2</v>
      </c>
      <c r="G72" s="20">
        <v>0.106</v>
      </c>
      <c r="H72" s="20">
        <v>4.4999999999999998E-2</v>
      </c>
      <c r="I72" s="20">
        <v>-0.25119999999999998</v>
      </c>
      <c r="J72" s="20">
        <v>0.27850000000000003</v>
      </c>
      <c r="K72" s="20">
        <v>0.1113</v>
      </c>
      <c r="L72" s="20">
        <v>-0.26029999999999998</v>
      </c>
      <c r="M72" s="20">
        <v>8.48E-2</v>
      </c>
      <c r="N72" s="20">
        <v>0.08</v>
      </c>
      <c r="O72" s="20">
        <v>-2.1299999999999999E-2</v>
      </c>
      <c r="P72" s="20">
        <v>-0.16800000000000001</v>
      </c>
      <c r="Q72" s="20">
        <v>-4.4299999999999999E-2</v>
      </c>
      <c r="R72" s="20">
        <v>0.13880000000000001</v>
      </c>
      <c r="S72" s="20">
        <v>0.1211</v>
      </c>
      <c r="T72" s="20">
        <v>0.36030000000000001</v>
      </c>
      <c r="U72" s="20">
        <v>6.4000000000000003E-3</v>
      </c>
      <c r="V72" s="20">
        <v>0.18779999999999999</v>
      </c>
      <c r="W72" s="20">
        <v>0.1353</v>
      </c>
      <c r="X72" s="20">
        <v>-0.16639999999999999</v>
      </c>
      <c r="Y72" s="20">
        <v>-0.25900000000000001</v>
      </c>
      <c r="Z72" s="20">
        <v>3.1600000000000003E-2</v>
      </c>
      <c r="AA72" s="20">
        <v>4.19E-2</v>
      </c>
      <c r="AB72" s="20">
        <v>2.0000000000000001E-4</v>
      </c>
      <c r="AC72" s="20">
        <v>-9.3899999999999997E-2</v>
      </c>
      <c r="AD72" s="20">
        <v>-0.1671</v>
      </c>
      <c r="AE72" s="20">
        <v>6.7900000000000002E-2</v>
      </c>
      <c r="AF72" s="20">
        <v>8.1799999999999998E-2</v>
      </c>
      <c r="AG72" s="20">
        <v>0.21260000000000001</v>
      </c>
      <c r="AH72" s="20">
        <v>4.2700000000000002E-2</v>
      </c>
      <c r="AI72" s="20">
        <v>-0.1137</v>
      </c>
      <c r="AJ72" s="20">
        <v>-9.6699999999999994E-2</v>
      </c>
      <c r="AK72" s="20">
        <v>-0.1101</v>
      </c>
      <c r="AL72" s="21">
        <v>0.1258</v>
      </c>
    </row>
    <row r="73" spans="1:38">
      <c r="A73" s="20">
        <v>0.13239999999999999</v>
      </c>
      <c r="B73" s="20">
        <v>3.2199999999999999E-2</v>
      </c>
      <c r="C73" s="20">
        <v>-5.3600000000000002E-2</v>
      </c>
      <c r="D73" s="20">
        <v>3.1699999999999999E-2</v>
      </c>
      <c r="E73" s="20">
        <v>-0.24379999999999999</v>
      </c>
      <c r="F73" s="20">
        <v>0.1681</v>
      </c>
      <c r="G73" s="20">
        <v>0.23119999999999999</v>
      </c>
      <c r="H73" s="20">
        <v>-0.2445</v>
      </c>
      <c r="I73" s="20">
        <v>8.6E-3</v>
      </c>
      <c r="J73" s="20">
        <v>-0.23849999999999999</v>
      </c>
      <c r="K73" s="20">
        <v>-0.21260000000000001</v>
      </c>
      <c r="L73" s="20">
        <v>-3.0300000000000001E-2</v>
      </c>
      <c r="M73" s="20">
        <v>0.1336</v>
      </c>
      <c r="N73" s="20">
        <v>0.29859999999999998</v>
      </c>
      <c r="O73" s="20">
        <v>0.26250000000000001</v>
      </c>
      <c r="P73" s="20">
        <v>-0.15970000000000001</v>
      </c>
      <c r="Q73" s="20">
        <v>-5.45E-2</v>
      </c>
      <c r="R73" s="20">
        <v>0.1643</v>
      </c>
      <c r="S73" s="20">
        <v>8.5099999999999995E-2</v>
      </c>
      <c r="T73" s="20">
        <v>-0.1583</v>
      </c>
      <c r="U73" s="20">
        <v>0.25219999999999998</v>
      </c>
      <c r="V73" s="20">
        <v>0.15179999999999999</v>
      </c>
      <c r="W73" s="20">
        <v>-5.1299999999999998E-2</v>
      </c>
      <c r="X73" s="20">
        <v>-0.14940000000000001</v>
      </c>
      <c r="Y73" s="20">
        <v>-0.15010000000000001</v>
      </c>
      <c r="Z73" s="20">
        <v>-0.16569999999999999</v>
      </c>
      <c r="AA73" s="20">
        <v>0.1009</v>
      </c>
      <c r="AB73" s="20">
        <v>-2.7E-2</v>
      </c>
      <c r="AC73" s="20">
        <v>-0.20630000000000001</v>
      </c>
      <c r="AD73" s="20">
        <v>4.5199999999999997E-2</v>
      </c>
      <c r="AE73" s="20">
        <v>9.1600000000000001E-2</v>
      </c>
      <c r="AF73" s="20">
        <v>-0.2974</v>
      </c>
      <c r="AG73" s="20">
        <v>0.1981</v>
      </c>
      <c r="AH73" s="20">
        <v>0.15290000000000001</v>
      </c>
      <c r="AI73" s="20">
        <v>2.1899999999999999E-2</v>
      </c>
      <c r="AJ73" s="20">
        <v>9.3700000000000006E-2</v>
      </c>
      <c r="AK73" s="20">
        <v>-0.1133</v>
      </c>
      <c r="AL73" s="21">
        <v>-0.10539999999999999</v>
      </c>
    </row>
    <row r="74" spans="1:38">
      <c r="A74" s="20">
        <v>0.24279999999999999</v>
      </c>
      <c r="B74" s="20">
        <v>0.1273</v>
      </c>
      <c r="C74" s="20">
        <v>0.13120000000000001</v>
      </c>
      <c r="D74" s="20">
        <v>0.156</v>
      </c>
      <c r="E74" s="20">
        <v>3.49E-2</v>
      </c>
      <c r="F74" s="20">
        <v>9.98E-2</v>
      </c>
      <c r="G74" s="20">
        <v>8.3699999999999997E-2</v>
      </c>
      <c r="H74" s="20">
        <v>1.09E-2</v>
      </c>
      <c r="I74" s="20">
        <v>-0.17219999999999999</v>
      </c>
      <c r="J74" s="20">
        <v>-1.26E-2</v>
      </c>
      <c r="K74" s="20">
        <v>-0.21920000000000001</v>
      </c>
      <c r="L74" s="20">
        <v>0.1242</v>
      </c>
      <c r="M74" s="20">
        <v>7.4499999999999997E-2</v>
      </c>
      <c r="N74" s="20">
        <v>-5.62E-2</v>
      </c>
      <c r="O74" s="20">
        <v>-0.15429999999999999</v>
      </c>
      <c r="P74" s="20">
        <v>7.6300000000000007E-2</v>
      </c>
      <c r="Q74" s="20">
        <v>5.62E-2</v>
      </c>
      <c r="R74" s="20">
        <v>-0.1168</v>
      </c>
      <c r="S74" s="20">
        <v>0.20219999999999999</v>
      </c>
      <c r="T74" s="20">
        <v>-4.6600000000000003E-2</v>
      </c>
      <c r="U74" s="20">
        <v>0.43230000000000002</v>
      </c>
      <c r="V74" s="20">
        <v>-4.1799999999999997E-2</v>
      </c>
      <c r="W74" s="20">
        <v>-0.1822</v>
      </c>
      <c r="X74" s="20">
        <v>-9.1499999999999998E-2</v>
      </c>
      <c r="Y74" s="20">
        <v>0.1817</v>
      </c>
      <c r="Z74" s="20">
        <v>1.66E-2</v>
      </c>
      <c r="AA74" s="20">
        <v>-0.11940000000000001</v>
      </c>
      <c r="AB74" s="20">
        <v>-0.23880000000000001</v>
      </c>
      <c r="AC74" s="20">
        <v>-2.0899999999999998E-2</v>
      </c>
      <c r="AD74" s="20">
        <v>0.18740000000000001</v>
      </c>
      <c r="AE74" s="20">
        <v>-0.10150000000000001</v>
      </c>
      <c r="AF74" s="20">
        <v>-2.92E-2</v>
      </c>
      <c r="AG74" s="20">
        <v>-0.33729999999999999</v>
      </c>
      <c r="AH74" s="20">
        <v>-0.36130000000000001</v>
      </c>
      <c r="AI74" s="20">
        <v>-2.35E-2</v>
      </c>
      <c r="AJ74" s="20">
        <v>0.1913</v>
      </c>
      <c r="AK74" s="20">
        <v>-0.1024</v>
      </c>
      <c r="AL74" s="21">
        <v>-1.2999999999999999E-3</v>
      </c>
    </row>
    <row r="75" spans="1:38">
      <c r="A75" s="20">
        <v>1.5100000000000001E-2</v>
      </c>
      <c r="B75" s="20">
        <v>-0.2341</v>
      </c>
      <c r="C75" s="20">
        <v>-0.17030000000000001</v>
      </c>
      <c r="D75" s="20">
        <v>0.4017</v>
      </c>
      <c r="E75" s="20">
        <v>-3.1199999999999999E-2</v>
      </c>
      <c r="F75" s="20">
        <v>-0.14610000000000001</v>
      </c>
      <c r="G75" s="20">
        <v>-0.11799999999999999</v>
      </c>
      <c r="H75" s="20">
        <v>-0.50749999999999995</v>
      </c>
      <c r="I75" s="20">
        <v>-0.15090000000000001</v>
      </c>
      <c r="J75" s="20">
        <v>-0.2281</v>
      </c>
      <c r="K75" s="20">
        <v>9.5299999999999996E-2</v>
      </c>
      <c r="L75" s="20">
        <v>0.17910000000000001</v>
      </c>
      <c r="M75" s="20">
        <v>0.18509999999999999</v>
      </c>
      <c r="N75" s="20">
        <v>-0.1857</v>
      </c>
      <c r="O75" s="20">
        <v>2.4199999999999999E-2</v>
      </c>
      <c r="P75" s="20">
        <v>-0.1552</v>
      </c>
      <c r="Q75" s="20">
        <v>4.0800000000000003E-2</v>
      </c>
      <c r="R75" s="20">
        <v>0.1769</v>
      </c>
      <c r="S75" s="20">
        <v>-0.13489999999999999</v>
      </c>
      <c r="T75" s="20">
        <v>2.4500000000000001E-2</v>
      </c>
      <c r="U75" s="20">
        <v>-3.0499999999999999E-2</v>
      </c>
      <c r="V75" s="20">
        <v>-7.9000000000000008E-3</v>
      </c>
      <c r="W75" s="20">
        <v>-6.7400000000000002E-2</v>
      </c>
      <c r="X75" s="20">
        <v>0.18870000000000001</v>
      </c>
      <c r="Y75" s="20">
        <v>0.1313</v>
      </c>
      <c r="Z75" s="20">
        <v>-3.6900000000000002E-2</v>
      </c>
      <c r="AA75" s="20">
        <v>0.14369999999999999</v>
      </c>
      <c r="AB75" s="20">
        <v>4.36E-2</v>
      </c>
      <c r="AC75" s="20">
        <v>6.93E-2</v>
      </c>
      <c r="AD75" s="20">
        <v>-6.7400000000000002E-2</v>
      </c>
      <c r="AE75" s="20">
        <v>3.4799999999999998E-2</v>
      </c>
      <c r="AF75" s="20">
        <v>0.20480000000000001</v>
      </c>
      <c r="AG75" s="20">
        <v>0.20169999999999999</v>
      </c>
      <c r="AH75" s="20">
        <v>-1.9699999999999999E-2</v>
      </c>
      <c r="AI75" s="20">
        <v>4.1700000000000001E-2</v>
      </c>
      <c r="AJ75" s="20">
        <v>-8.4699999999999998E-2</v>
      </c>
      <c r="AK75" s="20">
        <v>0.1028</v>
      </c>
      <c r="AL75" s="21">
        <v>6.59E-2</v>
      </c>
    </row>
    <row r="76" spans="1:38">
      <c r="A76" s="20">
        <v>6.93E-2</v>
      </c>
      <c r="B76" s="20">
        <v>-0.15379999999999999</v>
      </c>
      <c r="C76" s="20">
        <v>0.25530000000000003</v>
      </c>
      <c r="D76" s="20">
        <v>-0.35170000000000001</v>
      </c>
      <c r="E76" s="20">
        <v>0.14949999999999999</v>
      </c>
      <c r="F76" s="20">
        <v>0.2482</v>
      </c>
      <c r="G76" s="20">
        <v>-9.2499999999999999E-2</v>
      </c>
      <c r="H76" s="20">
        <v>-0.13739999999999999</v>
      </c>
      <c r="I76" s="20">
        <v>7.4399999999999994E-2</v>
      </c>
      <c r="J76" s="20">
        <v>-0.28670000000000001</v>
      </c>
      <c r="K76" s="20">
        <v>4.3E-3</v>
      </c>
      <c r="L76" s="20">
        <v>0.21379999999999999</v>
      </c>
      <c r="M76" s="20">
        <v>-0.1055</v>
      </c>
      <c r="N76" s="20">
        <v>0.26179999999999998</v>
      </c>
      <c r="O76" s="20">
        <v>-5.0799999999999998E-2</v>
      </c>
      <c r="P76" s="20">
        <v>6.8599999999999994E-2</v>
      </c>
      <c r="Q76" s="20">
        <v>0.34139999999999998</v>
      </c>
      <c r="R76" s="20">
        <v>-0.1507</v>
      </c>
      <c r="S76" s="20">
        <v>4.5499999999999999E-2</v>
      </c>
      <c r="T76" s="20">
        <v>0.13689999999999999</v>
      </c>
      <c r="U76" s="20">
        <v>-0.1477</v>
      </c>
      <c r="V76" s="20">
        <v>-3.9699999999999999E-2</v>
      </c>
      <c r="W76" s="20">
        <v>-4.7699999999999999E-2</v>
      </c>
      <c r="X76" s="20">
        <v>-0.2515</v>
      </c>
      <c r="Y76" s="20">
        <v>-4.8000000000000001E-2</v>
      </c>
      <c r="Z76" s="20">
        <v>-0.1168</v>
      </c>
      <c r="AA76" s="20">
        <v>-6.4299999999999996E-2</v>
      </c>
      <c r="AB76" s="20">
        <v>5.5800000000000002E-2</v>
      </c>
      <c r="AC76" s="20">
        <v>2.86E-2</v>
      </c>
      <c r="AD76" s="20">
        <v>0.23369999999999999</v>
      </c>
      <c r="AE76" s="20">
        <v>0.15179999999999999</v>
      </c>
      <c r="AF76" s="20">
        <v>-0.17860000000000001</v>
      </c>
      <c r="AG76" s="20">
        <v>0.1573</v>
      </c>
      <c r="AH76" s="20">
        <v>-0.1226</v>
      </c>
      <c r="AI76" s="20">
        <v>-0.1048</v>
      </c>
      <c r="AJ76" s="20">
        <v>5.5800000000000002E-2</v>
      </c>
      <c r="AK76" s="20">
        <v>1.21E-2</v>
      </c>
      <c r="AL76" s="21">
        <v>-0.1193</v>
      </c>
    </row>
    <row r="77" spans="1:38">
      <c r="A77" s="20">
        <v>7.2099999999999997E-2</v>
      </c>
      <c r="B77" s="20">
        <v>0.1082</v>
      </c>
      <c r="C77" s="20">
        <v>0.22020000000000001</v>
      </c>
      <c r="D77" s="20">
        <v>3.4099999999999998E-2</v>
      </c>
      <c r="E77" s="20">
        <v>-0.443</v>
      </c>
      <c r="F77" s="20">
        <v>-2.2200000000000001E-2</v>
      </c>
      <c r="G77" s="20">
        <v>-0.12809999999999999</v>
      </c>
      <c r="H77" s="20">
        <v>0.17530000000000001</v>
      </c>
      <c r="I77" s="20">
        <v>-0.22320000000000001</v>
      </c>
      <c r="J77" s="20">
        <v>0.16339999999999999</v>
      </c>
      <c r="K77" s="20">
        <v>0.13039999999999999</v>
      </c>
      <c r="L77" s="20">
        <v>-0.24929999999999999</v>
      </c>
      <c r="M77" s="20">
        <v>5.33E-2</v>
      </c>
      <c r="N77" s="20">
        <v>-7.0199999999999999E-2</v>
      </c>
      <c r="O77" s="20">
        <v>-0.27729999999999999</v>
      </c>
      <c r="P77" s="20">
        <v>0.13350000000000001</v>
      </c>
      <c r="Q77" s="20">
        <v>0.17150000000000001</v>
      </c>
      <c r="R77" s="20">
        <v>9.7000000000000003E-2</v>
      </c>
      <c r="S77" s="20">
        <v>-5.2200000000000003E-2</v>
      </c>
      <c r="T77" s="20">
        <v>9.2799999999999994E-2</v>
      </c>
      <c r="U77" s="20">
        <v>-0.24510000000000001</v>
      </c>
      <c r="V77" s="20">
        <v>-4.2599999999999999E-2</v>
      </c>
      <c r="W77" s="20">
        <v>3.95E-2</v>
      </c>
      <c r="X77" s="20">
        <v>0.2271</v>
      </c>
      <c r="Y77" s="20">
        <v>2.1899999999999999E-2</v>
      </c>
      <c r="Z77" s="20">
        <v>0.23130000000000001</v>
      </c>
      <c r="AA77" s="20">
        <v>-4.0000000000000002E-4</v>
      </c>
      <c r="AB77" s="20">
        <v>-1.5699999999999999E-2</v>
      </c>
      <c r="AC77" s="20">
        <v>-0.1036</v>
      </c>
      <c r="AD77" s="20">
        <v>-0.15959999999999999</v>
      </c>
      <c r="AE77" s="20">
        <v>0.2029</v>
      </c>
      <c r="AF77" s="20">
        <v>0.1193</v>
      </c>
      <c r="AG77" s="20">
        <v>-6.0199999999999997E-2</v>
      </c>
      <c r="AH77" s="20">
        <v>-3.2599999999999997E-2</v>
      </c>
      <c r="AI77" s="20">
        <v>0.20180000000000001</v>
      </c>
      <c r="AJ77" s="20">
        <v>-0.26200000000000001</v>
      </c>
      <c r="AK77" s="20">
        <v>-7.7499999999999999E-2</v>
      </c>
      <c r="AL77" s="21">
        <v>-1.9599999999999999E-2</v>
      </c>
    </row>
    <row r="78" spans="1:38">
      <c r="A78" s="20">
        <v>-0.12239999999999999</v>
      </c>
      <c r="B78" s="20">
        <v>-0.1409</v>
      </c>
      <c r="C78" s="20">
        <v>0.221</v>
      </c>
      <c r="D78" s="20">
        <v>2.0299999999999999E-2</v>
      </c>
      <c r="E78" s="20">
        <v>-0.25729999999999997</v>
      </c>
      <c r="F78" s="20">
        <v>-0.16800000000000001</v>
      </c>
      <c r="G78" s="20">
        <v>-7.5399999999999995E-2</v>
      </c>
      <c r="H78" s="20">
        <v>0.15970000000000001</v>
      </c>
      <c r="I78" s="20">
        <v>-3.5499999999999997E-2</v>
      </c>
      <c r="J78" s="20">
        <v>0.13200000000000001</v>
      </c>
      <c r="K78" s="20">
        <v>7.9200000000000007E-2</v>
      </c>
      <c r="L78" s="20">
        <v>-0.1883</v>
      </c>
      <c r="M78" s="20">
        <v>-0.14680000000000001</v>
      </c>
      <c r="N78" s="20">
        <v>7.0199999999999999E-2</v>
      </c>
      <c r="O78" s="20">
        <v>0.17849999999999999</v>
      </c>
      <c r="P78" s="20">
        <v>-0.16170000000000001</v>
      </c>
      <c r="Q78" s="20">
        <v>0.1389</v>
      </c>
      <c r="R78" s="20">
        <v>-3.2500000000000001E-2</v>
      </c>
      <c r="S78" s="20">
        <v>0.4264</v>
      </c>
      <c r="T78" s="20">
        <v>0.2757</v>
      </c>
      <c r="U78" s="20">
        <v>-5.2400000000000002E-2</v>
      </c>
      <c r="V78" s="20">
        <v>0.16800000000000001</v>
      </c>
      <c r="W78" s="20">
        <v>0.12089999999999999</v>
      </c>
      <c r="X78" s="20">
        <v>-0.18509999999999999</v>
      </c>
      <c r="Y78" s="20">
        <v>-7.9000000000000008E-3</v>
      </c>
      <c r="Z78" s="20">
        <v>0.34849999999999998</v>
      </c>
      <c r="AA78" s="20">
        <v>6.5199999999999994E-2</v>
      </c>
      <c r="AB78" s="20">
        <v>-0.1447</v>
      </c>
      <c r="AC78" s="20">
        <v>-1.83E-2</v>
      </c>
      <c r="AD78" s="20">
        <v>-8.6300000000000002E-2</v>
      </c>
      <c r="AE78" s="20">
        <v>-0.13400000000000001</v>
      </c>
      <c r="AF78" s="20">
        <v>-8.43E-2</v>
      </c>
      <c r="AG78" s="20">
        <v>6.3100000000000003E-2</v>
      </c>
      <c r="AH78" s="20">
        <v>2.7900000000000001E-2</v>
      </c>
      <c r="AI78" s="20">
        <v>-0.2823</v>
      </c>
      <c r="AJ78" s="20">
        <v>-8.4400000000000003E-2</v>
      </c>
      <c r="AK78" s="20">
        <v>-0.1231</v>
      </c>
      <c r="AL78" s="21">
        <v>3.27E-2</v>
      </c>
    </row>
    <row r="79" spans="1:38">
      <c r="A79" s="20">
        <v>-0.48630000000000001</v>
      </c>
      <c r="B79" s="20">
        <v>-0.1358</v>
      </c>
      <c r="C79" s="20">
        <v>0.31190000000000001</v>
      </c>
      <c r="D79" s="20">
        <v>6.0499999999999998E-2</v>
      </c>
      <c r="E79" s="20">
        <v>-0.14399999999999999</v>
      </c>
      <c r="F79" s="20">
        <v>0.23719999999999999</v>
      </c>
      <c r="G79" s="20">
        <v>-8.3099999999999993E-2</v>
      </c>
      <c r="H79" s="20">
        <v>-0.34100000000000003</v>
      </c>
      <c r="I79" s="20">
        <v>0.42180000000000001</v>
      </c>
      <c r="J79" s="20">
        <v>7.8799999999999995E-2</v>
      </c>
      <c r="K79" s="20">
        <v>-6.7100000000000007E-2</v>
      </c>
      <c r="L79" s="20">
        <v>5.6000000000000001E-2</v>
      </c>
      <c r="M79" s="20">
        <v>-2.4199999999999999E-2</v>
      </c>
      <c r="N79" s="20">
        <v>-8.2699999999999996E-2</v>
      </c>
      <c r="O79" s="20">
        <v>0.19489999999999999</v>
      </c>
      <c r="P79" s="20">
        <v>4.0000000000000002E-4</v>
      </c>
      <c r="Q79" s="20">
        <v>-1.4E-2</v>
      </c>
      <c r="R79" s="20">
        <v>-4.82E-2</v>
      </c>
      <c r="S79" s="20">
        <v>-1.46E-2</v>
      </c>
      <c r="T79" s="20">
        <v>0.1169</v>
      </c>
      <c r="U79" s="20">
        <v>7.0599999999999996E-2</v>
      </c>
      <c r="V79" s="20">
        <v>-0.1293</v>
      </c>
      <c r="W79" s="20">
        <v>-0.1104</v>
      </c>
      <c r="X79" s="20">
        <v>-0.12</v>
      </c>
      <c r="Y79" s="20">
        <v>-0.08</v>
      </c>
      <c r="Z79" s="20">
        <v>0.1469</v>
      </c>
      <c r="AA79" s="20">
        <v>0.17030000000000001</v>
      </c>
      <c r="AB79" s="20">
        <v>6.4399999999999999E-2</v>
      </c>
      <c r="AC79" s="20">
        <v>-0.1358</v>
      </c>
      <c r="AD79" s="20">
        <v>3.0999999999999999E-3</v>
      </c>
      <c r="AE79" s="20">
        <v>1.1999999999999999E-3</v>
      </c>
      <c r="AF79" s="20">
        <v>-5.8700000000000002E-2</v>
      </c>
      <c r="AG79" s="20">
        <v>-2.01E-2</v>
      </c>
      <c r="AH79" s="20">
        <v>-0.1391</v>
      </c>
      <c r="AI79" s="20">
        <v>0.14729999999999999</v>
      </c>
      <c r="AJ79" s="20">
        <v>0.11940000000000001</v>
      </c>
      <c r="AK79" s="20">
        <v>5.1700000000000003E-2</v>
      </c>
      <c r="AL79" s="21">
        <v>-2.52E-2</v>
      </c>
    </row>
    <row r="80" spans="1:38">
      <c r="A80" s="20">
        <v>-0.21990000000000001</v>
      </c>
      <c r="B80" s="20">
        <v>-0.37169999999999997</v>
      </c>
      <c r="C80" s="20">
        <v>0.14169999999999999</v>
      </c>
      <c r="D80" s="20">
        <v>0.13930000000000001</v>
      </c>
      <c r="E80" s="20">
        <v>6.8999999999999999E-3</v>
      </c>
      <c r="F80" s="20">
        <v>-0.2225</v>
      </c>
      <c r="G80" s="20">
        <v>-0.32829999999999998</v>
      </c>
      <c r="H80" s="20">
        <v>0.15049999999999999</v>
      </c>
      <c r="I80" s="20">
        <v>0.24379999999999999</v>
      </c>
      <c r="J80" s="20">
        <v>0.1295</v>
      </c>
      <c r="K80" s="20">
        <v>-0.1106</v>
      </c>
      <c r="L80" s="20">
        <v>0.34110000000000001</v>
      </c>
      <c r="M80" s="20">
        <v>1.2200000000000001E-2</v>
      </c>
      <c r="N80" s="20">
        <v>-0.33839999999999998</v>
      </c>
      <c r="O80" s="20">
        <v>3.4799999999999998E-2</v>
      </c>
      <c r="P80" s="20">
        <v>-0.151</v>
      </c>
      <c r="Q80" s="20">
        <v>-0.18179999999999999</v>
      </c>
      <c r="R80" s="20">
        <v>0.1066</v>
      </c>
      <c r="S80" s="20">
        <v>-0.14940000000000001</v>
      </c>
      <c r="T80" s="20">
        <v>0.15840000000000001</v>
      </c>
      <c r="U80" s="20">
        <v>-3.27E-2</v>
      </c>
      <c r="V80" s="20">
        <v>0.14729999999999999</v>
      </c>
      <c r="W80" s="20">
        <v>3.5900000000000001E-2</v>
      </c>
      <c r="X80" s="20">
        <v>0.1021</v>
      </c>
      <c r="Y80" s="20">
        <v>-0.1406</v>
      </c>
      <c r="Z80" s="20">
        <v>-4.3099999999999999E-2</v>
      </c>
      <c r="AA80" s="20">
        <v>-4.4400000000000002E-2</v>
      </c>
      <c r="AB80" s="20">
        <v>5.6599999999999998E-2</v>
      </c>
      <c r="AC80" s="20">
        <v>0.1646</v>
      </c>
      <c r="AD80" s="20">
        <v>0.1183</v>
      </c>
      <c r="AE80" s="20">
        <v>-4.7899999999999998E-2</v>
      </c>
      <c r="AF80" s="20">
        <v>-6.0299999999999999E-2</v>
      </c>
      <c r="AG80" s="20">
        <v>7.7899999999999997E-2</v>
      </c>
      <c r="AH80" s="20">
        <v>2.7400000000000001E-2</v>
      </c>
      <c r="AI80" s="20">
        <v>2.5499999999999998E-2</v>
      </c>
      <c r="AJ80" s="20">
        <v>0.14169999999999999</v>
      </c>
      <c r="AK80" s="20">
        <v>0.1406</v>
      </c>
      <c r="AL80" s="21">
        <v>-5.5800000000000002E-2</v>
      </c>
    </row>
    <row r="81" spans="1:38">
      <c r="A81" s="20">
        <v>0.15740000000000001</v>
      </c>
      <c r="B81" s="20">
        <v>-0.2671</v>
      </c>
      <c r="C81" s="20">
        <v>-7.4499999999999997E-2</v>
      </c>
      <c r="D81" s="20">
        <v>0.157</v>
      </c>
      <c r="E81" s="20">
        <v>-9.5999999999999992E-3</v>
      </c>
      <c r="F81" s="20">
        <v>-0.19919999999999999</v>
      </c>
      <c r="G81" s="20">
        <v>-0.24260000000000001</v>
      </c>
      <c r="H81" s="20">
        <v>-0.25519999999999998</v>
      </c>
      <c r="I81" s="20">
        <v>-4.0300000000000002E-2</v>
      </c>
      <c r="J81" s="20">
        <v>-0.43909999999999999</v>
      </c>
      <c r="K81" s="20">
        <v>0.3604</v>
      </c>
      <c r="L81" s="20">
        <v>-4.1799999999999997E-2</v>
      </c>
      <c r="M81" s="20">
        <v>0.127</v>
      </c>
      <c r="N81" s="20">
        <v>-0.16200000000000001</v>
      </c>
      <c r="O81" s="20">
        <v>9.3600000000000003E-2</v>
      </c>
      <c r="P81" s="20">
        <v>-7.5200000000000003E-2</v>
      </c>
      <c r="Q81" s="20">
        <v>0.12429999999999999</v>
      </c>
      <c r="R81" s="20">
        <v>3.5000000000000001E-3</v>
      </c>
      <c r="S81" s="20">
        <v>-0.1842</v>
      </c>
      <c r="T81" s="20">
        <v>-1.6500000000000001E-2</v>
      </c>
      <c r="U81" s="20">
        <v>-3.9899999999999998E-2</v>
      </c>
      <c r="V81" s="20">
        <v>0.22409999999999999</v>
      </c>
      <c r="W81" s="20">
        <v>5.4000000000000003E-3</v>
      </c>
      <c r="X81" s="20">
        <v>6.0600000000000001E-2</v>
      </c>
      <c r="Y81" s="20">
        <v>0.1938</v>
      </c>
      <c r="Z81" s="20">
        <v>-0.1148</v>
      </c>
      <c r="AA81" s="20">
        <v>0.15809999999999999</v>
      </c>
      <c r="AB81" s="20">
        <v>-2.1100000000000001E-2</v>
      </c>
      <c r="AC81" s="20">
        <v>8.8700000000000001E-2</v>
      </c>
      <c r="AD81" s="20">
        <v>4.1399999999999999E-2</v>
      </c>
      <c r="AE81" s="20">
        <v>0.2898</v>
      </c>
      <c r="AF81" s="20">
        <v>1.54E-2</v>
      </c>
      <c r="AG81" s="20">
        <v>-3.7199999999999997E-2</v>
      </c>
      <c r="AH81" s="20">
        <v>-8.1699999999999995E-2</v>
      </c>
      <c r="AI81" s="20">
        <v>0.1804</v>
      </c>
      <c r="AJ81" s="20">
        <v>-4.4499999999999998E-2</v>
      </c>
      <c r="AK81" s="20">
        <v>-0.02</v>
      </c>
      <c r="AL81" s="21">
        <v>9.4799999999999995E-2</v>
      </c>
    </row>
    <row r="82" spans="1:38">
      <c r="A82" s="20">
        <v>-0.159</v>
      </c>
      <c r="B82" s="20">
        <v>-4.4299999999999999E-2</v>
      </c>
      <c r="C82" s="20">
        <v>-0.2404</v>
      </c>
      <c r="D82" s="20">
        <v>0.19259999999999999</v>
      </c>
      <c r="E82" s="20">
        <v>6.54E-2</v>
      </c>
      <c r="F82" s="20">
        <v>7.7899999999999997E-2</v>
      </c>
      <c r="G82" s="20">
        <v>0.19470000000000001</v>
      </c>
      <c r="H82" s="20">
        <v>8.3299999999999999E-2</v>
      </c>
      <c r="I82" s="20">
        <v>0.12039999999999999</v>
      </c>
      <c r="J82" s="20">
        <v>3.0099999999999998E-2</v>
      </c>
      <c r="K82" s="20">
        <v>0.2107</v>
      </c>
      <c r="L82" s="20">
        <v>-6.6E-3</v>
      </c>
      <c r="M82" s="20">
        <v>0.183</v>
      </c>
      <c r="N82" s="20">
        <v>9.5799999999999996E-2</v>
      </c>
      <c r="O82" s="20">
        <v>8.77E-2</v>
      </c>
      <c r="P82" s="20">
        <v>0.21340000000000001</v>
      </c>
      <c r="Q82" s="20">
        <v>9.9699999999999997E-2</v>
      </c>
      <c r="R82" s="20">
        <v>-0.1608</v>
      </c>
      <c r="S82" s="20">
        <v>0.1704</v>
      </c>
      <c r="T82" s="20">
        <v>5.8999999999999997E-2</v>
      </c>
      <c r="U82" s="20">
        <v>-0.14219999999999999</v>
      </c>
      <c r="V82" s="20">
        <v>0.12939999999999999</v>
      </c>
      <c r="W82" s="20">
        <v>0.1492</v>
      </c>
      <c r="X82" s="20">
        <v>-0.16089999999999999</v>
      </c>
      <c r="Y82" s="20">
        <v>0.21909999999999999</v>
      </c>
      <c r="Z82" s="20">
        <v>-0.33129999999999998</v>
      </c>
      <c r="AA82" s="20">
        <v>2.2100000000000002E-2</v>
      </c>
      <c r="AB82" s="20">
        <v>4.0500000000000001E-2</v>
      </c>
      <c r="AC82" s="20">
        <v>-6.8900000000000003E-2</v>
      </c>
      <c r="AD82" s="20">
        <v>8.0500000000000002E-2</v>
      </c>
      <c r="AE82" s="20">
        <v>-0.1145</v>
      </c>
      <c r="AF82" s="20">
        <v>-7.8899999999999998E-2</v>
      </c>
      <c r="AG82" s="20">
        <v>-0.2225</v>
      </c>
      <c r="AH82" s="20">
        <v>-0.14560000000000001</v>
      </c>
      <c r="AI82" s="20">
        <v>8.5400000000000004E-2</v>
      </c>
      <c r="AJ82" s="20">
        <v>-0.1734</v>
      </c>
      <c r="AK82" s="20">
        <v>-0.44900000000000001</v>
      </c>
      <c r="AL82" s="21">
        <v>-0.1158</v>
      </c>
    </row>
    <row r="83" spans="1:38">
      <c r="A83" s="20">
        <v>-0.38469999999999999</v>
      </c>
      <c r="B83" s="20">
        <v>-0.3337</v>
      </c>
      <c r="C83" s="20">
        <v>1.84E-2</v>
      </c>
      <c r="D83" s="20">
        <v>0.11550000000000001</v>
      </c>
      <c r="E83" s="20">
        <v>8.7499999999999994E-2</v>
      </c>
      <c r="F83" s="20">
        <v>-0.10199999999999999</v>
      </c>
      <c r="G83" s="20">
        <v>-9.8100000000000007E-2</v>
      </c>
      <c r="H83" s="20">
        <v>-0.24590000000000001</v>
      </c>
      <c r="I83" s="20">
        <v>0.1903</v>
      </c>
      <c r="J83" s="20">
        <v>0.124</v>
      </c>
      <c r="K83" s="20">
        <v>0.1074</v>
      </c>
      <c r="L83" s="20">
        <v>0.15790000000000001</v>
      </c>
      <c r="M83" s="20">
        <v>0.1338</v>
      </c>
      <c r="N83" s="20">
        <v>-8.6999999999999994E-2</v>
      </c>
      <c r="O83" s="20">
        <v>4.6899999999999997E-2</v>
      </c>
      <c r="P83" s="20">
        <v>-0.10299999999999999</v>
      </c>
      <c r="Q83" s="20">
        <v>1.11E-2</v>
      </c>
      <c r="R83" s="20">
        <v>0.16020000000000001</v>
      </c>
      <c r="S83" s="20">
        <v>-2.5399999999999999E-2</v>
      </c>
      <c r="T83" s="20">
        <v>0</v>
      </c>
      <c r="U83" s="20">
        <v>0.1152</v>
      </c>
      <c r="V83" s="20">
        <v>0.1696</v>
      </c>
      <c r="W83" s="20">
        <v>-0.22989999999999999</v>
      </c>
      <c r="X83" s="20">
        <v>0.14829999999999999</v>
      </c>
      <c r="Y83" s="20">
        <v>-7.6600000000000001E-2</v>
      </c>
      <c r="Z83" s="20">
        <v>9.6299999999999997E-2</v>
      </c>
      <c r="AA83" s="20">
        <v>-8.9300000000000004E-2</v>
      </c>
      <c r="AB83" s="20">
        <v>-1.4999999999999999E-2</v>
      </c>
      <c r="AC83" s="20">
        <v>0.1116</v>
      </c>
      <c r="AD83" s="20">
        <v>-6.9900000000000004E-2</v>
      </c>
      <c r="AE83" s="20">
        <v>-0.29360000000000003</v>
      </c>
      <c r="AF83" s="20">
        <v>-0.33389999999999997</v>
      </c>
      <c r="AG83" s="20">
        <v>0.25340000000000001</v>
      </c>
      <c r="AH83" s="20">
        <v>7.6899999999999996E-2</v>
      </c>
      <c r="AI83" s="20">
        <v>6.6799999999999998E-2</v>
      </c>
      <c r="AJ83" s="20">
        <v>0.21379999999999999</v>
      </c>
      <c r="AK83" s="20">
        <v>-1.55E-2</v>
      </c>
      <c r="AL83" s="21">
        <v>0.1012</v>
      </c>
    </row>
    <row r="84" spans="1:38">
      <c r="A84" s="20">
        <v>3.4299999999999997E-2</v>
      </c>
      <c r="B84" s="20">
        <v>0.41810000000000003</v>
      </c>
      <c r="C84" s="20">
        <v>-3.7699999999999997E-2</v>
      </c>
      <c r="D84" s="20">
        <v>-0.1522</v>
      </c>
      <c r="E84" s="20">
        <v>0.218</v>
      </c>
      <c r="F84" s="20">
        <v>-9.3399999999999997E-2</v>
      </c>
      <c r="G84" s="20">
        <v>-2.5000000000000001E-3</v>
      </c>
      <c r="H84" s="20">
        <v>-0.23280000000000001</v>
      </c>
      <c r="I84" s="20">
        <v>-8.5500000000000007E-2</v>
      </c>
      <c r="J84" s="20">
        <v>5.96E-2</v>
      </c>
      <c r="K84" s="20">
        <v>-0.2505</v>
      </c>
      <c r="L84" s="20">
        <v>-0.1002</v>
      </c>
      <c r="M84" s="20">
        <v>-0.2215</v>
      </c>
      <c r="N84" s="20">
        <v>0.217</v>
      </c>
      <c r="O84" s="20">
        <v>1.01E-2</v>
      </c>
      <c r="P84" s="20">
        <v>7.7799999999999994E-2</v>
      </c>
      <c r="Q84" s="20">
        <v>6.1999999999999998E-3</v>
      </c>
      <c r="R84" s="20">
        <v>0.39069999999999999</v>
      </c>
      <c r="S84" s="20">
        <v>0.25009999999999999</v>
      </c>
      <c r="T84" s="20">
        <v>-3.6400000000000002E-2</v>
      </c>
      <c r="U84" s="20">
        <v>-0.05</v>
      </c>
      <c r="V84" s="20">
        <v>9.7600000000000006E-2</v>
      </c>
      <c r="W84" s="20">
        <v>-0.34710000000000002</v>
      </c>
      <c r="X84" s="20">
        <v>-4.8999999999999998E-3</v>
      </c>
      <c r="Y84" s="20">
        <v>-0.10150000000000001</v>
      </c>
      <c r="Z84" s="20">
        <v>-0.19359999999999999</v>
      </c>
      <c r="AA84" s="20">
        <v>6.1800000000000001E-2</v>
      </c>
      <c r="AB84" s="20">
        <v>-6.8500000000000005E-2</v>
      </c>
      <c r="AC84" s="20">
        <v>-4.8999999999999998E-3</v>
      </c>
      <c r="AD84" s="20">
        <v>0.2281</v>
      </c>
      <c r="AE84" s="20">
        <v>-0.13400000000000001</v>
      </c>
      <c r="AF84" s="20">
        <v>-4.0599999999999997E-2</v>
      </c>
      <c r="AG84" s="20">
        <v>-6.2799999999999995E-2</v>
      </c>
      <c r="AH84" s="20">
        <v>-4.5999999999999999E-2</v>
      </c>
      <c r="AI84" s="20">
        <v>0.1076</v>
      </c>
      <c r="AJ84" s="20">
        <v>-1.9E-3</v>
      </c>
      <c r="AK84" s="20">
        <v>9.1399999999999995E-2</v>
      </c>
      <c r="AL84" s="21">
        <v>1.1999999999999999E-3</v>
      </c>
    </row>
    <row r="85" spans="1:38">
      <c r="A85" s="20">
        <v>0.40770000000000001</v>
      </c>
      <c r="B85" s="20">
        <v>0.16900000000000001</v>
      </c>
      <c r="C85" s="20">
        <v>-0.10829999999999999</v>
      </c>
      <c r="D85" s="20">
        <v>-0.10730000000000001</v>
      </c>
      <c r="E85" s="20">
        <v>-2.1399999999999999E-2</v>
      </c>
      <c r="F85" s="20">
        <v>0.10730000000000001</v>
      </c>
      <c r="G85" s="20">
        <v>-0.20619999999999999</v>
      </c>
      <c r="H85" s="20">
        <v>-0.128</v>
      </c>
      <c r="I85" s="20">
        <v>0.2099</v>
      </c>
      <c r="J85" s="20">
        <v>0.1883</v>
      </c>
      <c r="K85" s="20">
        <v>-3.3000000000000002E-2</v>
      </c>
      <c r="L85" s="20">
        <v>1.6400000000000001E-2</v>
      </c>
      <c r="M85" s="20">
        <v>-0.16250000000000001</v>
      </c>
      <c r="N85" s="20">
        <v>0.13070000000000001</v>
      </c>
      <c r="O85" s="20">
        <v>-0.39329999999999998</v>
      </c>
      <c r="P85" s="20">
        <v>0.1245</v>
      </c>
      <c r="Q85" s="20">
        <v>3.9800000000000002E-2</v>
      </c>
      <c r="R85" s="20">
        <v>0.13589999999999999</v>
      </c>
      <c r="S85" s="20">
        <v>0.14560000000000001</v>
      </c>
      <c r="T85" s="20">
        <v>-0.19400000000000001</v>
      </c>
      <c r="U85" s="20">
        <v>-7.3800000000000004E-2</v>
      </c>
      <c r="V85" s="20">
        <v>4.1700000000000001E-2</v>
      </c>
      <c r="W85" s="20">
        <v>2.9600000000000001E-2</v>
      </c>
      <c r="X85" s="20">
        <v>3.5000000000000001E-3</v>
      </c>
      <c r="Y85" s="20">
        <v>0.1103</v>
      </c>
      <c r="Z85" s="20">
        <v>6.4399999999999999E-2</v>
      </c>
      <c r="AA85" s="20">
        <v>-7.9799999999999996E-2</v>
      </c>
      <c r="AB85" s="20">
        <v>-9.3200000000000005E-2</v>
      </c>
      <c r="AC85" s="20">
        <v>7.3499999999999996E-2</v>
      </c>
      <c r="AD85" s="20">
        <v>-0.1404</v>
      </c>
      <c r="AE85" s="20">
        <v>0.23499999999999999</v>
      </c>
      <c r="AF85" s="20">
        <v>-8.9399999999999993E-2</v>
      </c>
      <c r="AG85" s="20">
        <v>4.7500000000000001E-2</v>
      </c>
      <c r="AH85" s="20">
        <v>3.2000000000000002E-3</v>
      </c>
      <c r="AI85" s="20">
        <v>6.3399999999999998E-2</v>
      </c>
      <c r="AJ85" s="20">
        <v>-0.26860000000000001</v>
      </c>
      <c r="AK85" s="20">
        <v>0.1004</v>
      </c>
      <c r="AL85" s="21">
        <v>-0.3483</v>
      </c>
    </row>
    <row r="86" spans="1:38">
      <c r="A86" s="20">
        <v>0.46989999999999998</v>
      </c>
      <c r="B86" s="20">
        <v>-0.1181</v>
      </c>
      <c r="C86" s="20">
        <v>7.2900000000000006E-2</v>
      </c>
      <c r="D86" s="20">
        <v>-0.32829999999999998</v>
      </c>
      <c r="E86" s="20">
        <v>0.1678</v>
      </c>
      <c r="F86" s="20">
        <v>0.1976</v>
      </c>
      <c r="G86" s="20">
        <v>-2.5100000000000001E-2</v>
      </c>
      <c r="H86" s="20">
        <v>8.9899999999999994E-2</v>
      </c>
      <c r="I86" s="20">
        <v>0.1691</v>
      </c>
      <c r="J86" s="20">
        <v>-0.16619999999999999</v>
      </c>
      <c r="K86" s="20">
        <v>-0.2248</v>
      </c>
      <c r="L86" s="20">
        <v>2.0999999999999999E-3</v>
      </c>
      <c r="M86" s="20">
        <v>-0.1351</v>
      </c>
      <c r="N86" s="20">
        <v>6.7400000000000002E-2</v>
      </c>
      <c r="O86" s="20">
        <v>-0.10009999999999999</v>
      </c>
      <c r="P86" s="20">
        <v>-0.37690000000000001</v>
      </c>
      <c r="Q86" s="20">
        <v>5.2299999999999999E-2</v>
      </c>
      <c r="R86" s="20">
        <v>4.1000000000000002E-2</v>
      </c>
      <c r="S86" s="20">
        <v>-0.12</v>
      </c>
      <c r="T86" s="20">
        <v>-6.59E-2</v>
      </c>
      <c r="U86" s="20">
        <v>-0.23419999999999999</v>
      </c>
      <c r="V86" s="20">
        <v>0.1045</v>
      </c>
      <c r="W86" s="20">
        <v>9.8799999999999999E-2</v>
      </c>
      <c r="X86" s="20">
        <v>6.59E-2</v>
      </c>
      <c r="Y86" s="20">
        <v>0.1709</v>
      </c>
      <c r="Z86" s="20">
        <v>-8.3999999999999995E-3</v>
      </c>
      <c r="AA86" s="20">
        <v>3.27E-2</v>
      </c>
      <c r="AB86" s="20">
        <v>-0.1976</v>
      </c>
      <c r="AC86" s="20">
        <v>0.14710000000000001</v>
      </c>
      <c r="AD86" s="20">
        <v>-6.9500000000000006E-2</v>
      </c>
      <c r="AE86" s="20">
        <v>0.15079999999999999</v>
      </c>
      <c r="AF86" s="20">
        <v>3.2099999999999997E-2</v>
      </c>
      <c r="AG86" s="20">
        <v>0.13719999999999999</v>
      </c>
      <c r="AH86" s="20">
        <v>-5.5100000000000003E-2</v>
      </c>
      <c r="AI86" s="20">
        <v>0.13980000000000001</v>
      </c>
      <c r="AJ86" s="20">
        <v>-0.17349999999999999</v>
      </c>
      <c r="AK86" s="20">
        <v>-2.12E-2</v>
      </c>
      <c r="AL86" s="21">
        <v>5.0000000000000001E-3</v>
      </c>
    </row>
    <row r="87" spans="1:38">
      <c r="A87" s="20">
        <v>4.87E-2</v>
      </c>
      <c r="B87" s="20">
        <v>0.36159999999999998</v>
      </c>
      <c r="C87" s="20">
        <v>4.4999999999999997E-3</v>
      </c>
      <c r="D87" s="20">
        <v>-5.4199999999999998E-2</v>
      </c>
      <c r="E87" s="20">
        <v>5.9799999999999999E-2</v>
      </c>
      <c r="F87" s="20">
        <v>-0.31790000000000002</v>
      </c>
      <c r="G87" s="20">
        <v>0.12470000000000001</v>
      </c>
      <c r="H87" s="20">
        <v>-1.6199999999999999E-2</v>
      </c>
      <c r="I87" s="20">
        <v>0.21709999999999999</v>
      </c>
      <c r="J87" s="20">
        <v>-0.1293</v>
      </c>
      <c r="K87" s="20">
        <v>-0.1046</v>
      </c>
      <c r="L87" s="20">
        <v>-0.28570000000000001</v>
      </c>
      <c r="M87" s="20">
        <v>-0.11550000000000001</v>
      </c>
      <c r="N87" s="20">
        <v>-1.1000000000000001E-3</v>
      </c>
      <c r="O87" s="20">
        <v>-8.3199999999999996E-2</v>
      </c>
      <c r="P87" s="20">
        <v>-0.32950000000000002</v>
      </c>
      <c r="Q87" s="20">
        <v>3.8100000000000002E-2</v>
      </c>
      <c r="R87" s="20">
        <v>2.2100000000000002E-2</v>
      </c>
      <c r="S87" s="20">
        <v>-0.1484</v>
      </c>
      <c r="T87" s="20">
        <v>0.30620000000000003</v>
      </c>
      <c r="U87" s="20">
        <v>8.3999999999999995E-3</v>
      </c>
      <c r="V87" s="20">
        <v>6.93E-2</v>
      </c>
      <c r="W87" s="20">
        <v>-8.14E-2</v>
      </c>
      <c r="X87" s="20">
        <v>0.20250000000000001</v>
      </c>
      <c r="Y87" s="20">
        <v>0.1598</v>
      </c>
      <c r="Z87" s="20">
        <v>-0.10630000000000001</v>
      </c>
      <c r="AA87" s="20">
        <v>-0.14729999999999999</v>
      </c>
      <c r="AB87" s="20">
        <v>0.1547</v>
      </c>
      <c r="AC87" s="20">
        <v>-7.4499999999999997E-2</v>
      </c>
      <c r="AD87" s="20">
        <v>0.16600000000000001</v>
      </c>
      <c r="AE87" s="20">
        <v>9.1999999999999998E-3</v>
      </c>
      <c r="AF87" s="20">
        <v>6.0699999999999997E-2</v>
      </c>
      <c r="AG87" s="20">
        <v>-0.24030000000000001</v>
      </c>
      <c r="AH87" s="20">
        <v>0.30059999999999998</v>
      </c>
      <c r="AI87" s="20">
        <v>-1.95E-2</v>
      </c>
      <c r="AJ87" s="20">
        <v>3.3300000000000003E-2</v>
      </c>
      <c r="AK87" s="20">
        <v>3.95E-2</v>
      </c>
      <c r="AL87" s="21">
        <v>-0.1323</v>
      </c>
    </row>
    <row r="88" spans="1:38">
      <c r="A88" s="20">
        <v>0.68759999999999999</v>
      </c>
      <c r="B88" s="20">
        <v>-0.27539999999999998</v>
      </c>
      <c r="C88" s="20">
        <v>-0.14910000000000001</v>
      </c>
      <c r="D88" s="20">
        <v>-1.01E-2</v>
      </c>
      <c r="E88" s="20">
        <v>0.19350000000000001</v>
      </c>
      <c r="F88" s="20">
        <v>0.1076</v>
      </c>
      <c r="G88" s="20">
        <v>-7.0699999999999999E-2</v>
      </c>
      <c r="H88" s="20">
        <v>9.6000000000000002E-2</v>
      </c>
      <c r="I88" s="20">
        <v>-0.1404</v>
      </c>
      <c r="J88" s="20">
        <v>2.0899999999999998E-2</v>
      </c>
      <c r="K88" s="20">
        <v>-0.23530000000000001</v>
      </c>
      <c r="L88" s="20">
        <v>8.09E-2</v>
      </c>
      <c r="M88" s="20">
        <v>-5.5599999999999997E-2</v>
      </c>
      <c r="N88" s="20">
        <v>-0.15629999999999999</v>
      </c>
      <c r="O88" s="20">
        <v>2.6700000000000002E-2</v>
      </c>
      <c r="P88" s="20">
        <v>2.4500000000000001E-2</v>
      </c>
      <c r="Q88" s="20">
        <v>-8.77E-2</v>
      </c>
      <c r="R88" s="20">
        <v>0.10970000000000001</v>
      </c>
      <c r="S88" s="20">
        <v>-9.0999999999999998E-2</v>
      </c>
      <c r="T88" s="20">
        <v>-6.1000000000000004E-3</v>
      </c>
      <c r="U88" s="20">
        <v>-4.6199999999999998E-2</v>
      </c>
      <c r="V88" s="20">
        <v>1.2999999999999999E-2</v>
      </c>
      <c r="W88" s="20">
        <v>9.5299999999999996E-2</v>
      </c>
      <c r="X88" s="20">
        <v>-0.14910000000000001</v>
      </c>
      <c r="Y88" s="20">
        <v>-3.39E-2</v>
      </c>
      <c r="Z88" s="20">
        <v>-0.27860000000000001</v>
      </c>
      <c r="AA88" s="20">
        <v>3.6799999999999999E-2</v>
      </c>
      <c r="AB88" s="20">
        <v>-9.6000000000000002E-2</v>
      </c>
      <c r="AC88" s="20">
        <v>0.1346</v>
      </c>
      <c r="AD88" s="20">
        <v>-1.84E-2</v>
      </c>
      <c r="AE88" s="20">
        <v>-4.3299999999999998E-2</v>
      </c>
      <c r="AF88" s="20">
        <v>-0.10970000000000001</v>
      </c>
      <c r="AG88" s="20">
        <v>-1.1599999999999999E-2</v>
      </c>
      <c r="AH88" s="20">
        <v>1.95E-2</v>
      </c>
      <c r="AI88" s="20">
        <v>2.7099999999999999E-2</v>
      </c>
      <c r="AJ88" s="20">
        <v>0.24179999999999999</v>
      </c>
      <c r="AK88" s="20">
        <v>5.9200000000000003E-2</v>
      </c>
      <c r="AL88" s="21">
        <v>9.0999999999999998E-2</v>
      </c>
    </row>
    <row r="89" spans="1:38">
      <c r="A89" s="20">
        <v>0.38519999999999999</v>
      </c>
      <c r="B89" s="20">
        <v>-8.4599999999999995E-2</v>
      </c>
      <c r="C89" s="20">
        <v>-8.5599999999999996E-2</v>
      </c>
      <c r="D89" s="20">
        <v>0.1333</v>
      </c>
      <c r="E89" s="20">
        <v>0.1643</v>
      </c>
      <c r="F89" s="20">
        <v>7.7000000000000002E-3</v>
      </c>
      <c r="G89" s="20">
        <v>-0.1071</v>
      </c>
      <c r="H89" s="20">
        <v>-3.8399999999999997E-2</v>
      </c>
      <c r="I89" s="20">
        <v>-3.6299999999999999E-2</v>
      </c>
      <c r="J89" s="20">
        <v>0.1638</v>
      </c>
      <c r="K89" s="20">
        <v>-8.9599999999999999E-2</v>
      </c>
      <c r="L89" s="20">
        <v>-6.1499999999999999E-2</v>
      </c>
      <c r="M89" s="20">
        <v>-0.1108</v>
      </c>
      <c r="N89" s="20">
        <v>1.9E-3</v>
      </c>
      <c r="O89" s="20">
        <v>1.9400000000000001E-2</v>
      </c>
      <c r="P89" s="20">
        <v>0.20230000000000001</v>
      </c>
      <c r="Q89" s="20">
        <v>-0.37219999999999998</v>
      </c>
      <c r="R89" s="20">
        <v>7.5300000000000006E-2</v>
      </c>
      <c r="S89" s="20">
        <v>0.22689999999999999</v>
      </c>
      <c r="T89" s="20">
        <v>-0.1641</v>
      </c>
      <c r="U89" s="20">
        <v>0.1389</v>
      </c>
      <c r="V89" s="20">
        <v>0.2137</v>
      </c>
      <c r="W89" s="20">
        <v>3.9800000000000002E-2</v>
      </c>
      <c r="X89" s="20">
        <v>-0.20649999999999999</v>
      </c>
      <c r="Y89" s="20">
        <v>1.17E-2</v>
      </c>
      <c r="Z89" s="20">
        <v>5.3800000000000001E-2</v>
      </c>
      <c r="AA89" s="20">
        <v>-0.184</v>
      </c>
      <c r="AB89" s="20">
        <v>-0.13439999999999999</v>
      </c>
      <c r="AC89" s="20">
        <v>0.12909999999999999</v>
      </c>
      <c r="AD89" s="20">
        <v>-2.12E-2</v>
      </c>
      <c r="AE89" s="20">
        <v>-0.41560000000000002</v>
      </c>
      <c r="AF89" s="20">
        <v>-0.1246</v>
      </c>
      <c r="AG89" s="20">
        <v>-7.5800000000000006E-2</v>
      </c>
      <c r="AH89" s="20">
        <v>0.10390000000000001</v>
      </c>
      <c r="AI89" s="20">
        <v>0.12540000000000001</v>
      </c>
      <c r="AJ89" s="20">
        <v>6.7599999999999993E-2</v>
      </c>
      <c r="AK89" s="20">
        <v>0.1903</v>
      </c>
      <c r="AL89" s="21">
        <v>-0.1439</v>
      </c>
    </row>
    <row r="90" spans="1:38">
      <c r="A90" s="20">
        <v>-0.31459999999999999</v>
      </c>
      <c r="B90" s="20">
        <v>-0.35120000000000001</v>
      </c>
      <c r="C90" s="20">
        <v>-0.16420000000000001</v>
      </c>
      <c r="D90" s="20">
        <v>0.19639999999999999</v>
      </c>
      <c r="E90" s="20">
        <v>0.34720000000000001</v>
      </c>
      <c r="F90" s="20">
        <v>0.20599999999999999</v>
      </c>
      <c r="G90" s="20">
        <v>6.93E-2</v>
      </c>
      <c r="H90" s="20">
        <v>0.1459</v>
      </c>
      <c r="I90" s="20">
        <v>-4.5400000000000003E-2</v>
      </c>
      <c r="J90" s="20">
        <v>3.04E-2</v>
      </c>
      <c r="K90" s="20">
        <v>-0.1585</v>
      </c>
      <c r="L90" s="20">
        <v>-0.15</v>
      </c>
      <c r="M90" s="20">
        <v>0.14749999999999999</v>
      </c>
      <c r="N90" s="20">
        <v>0.1062</v>
      </c>
      <c r="O90" s="20">
        <v>3.6499999999999998E-2</v>
      </c>
      <c r="P90" s="20">
        <v>-5.6000000000000001E-2</v>
      </c>
      <c r="Q90" s="20">
        <v>6.7000000000000004E-2</v>
      </c>
      <c r="R90" s="20">
        <v>0.2492</v>
      </c>
      <c r="S90" s="20">
        <v>-1.9099999999999999E-2</v>
      </c>
      <c r="T90" s="20">
        <v>6.2799999999999995E-2</v>
      </c>
      <c r="U90" s="20">
        <v>-0.24590000000000001</v>
      </c>
      <c r="V90" s="20">
        <v>-6.1499999999999999E-2</v>
      </c>
      <c r="W90" s="20">
        <v>0.2092</v>
      </c>
      <c r="X90" s="20">
        <v>-0.183</v>
      </c>
      <c r="Y90" s="20">
        <v>8.9399999999999993E-2</v>
      </c>
      <c r="Z90" s="20">
        <v>2.1000000000000001E-2</v>
      </c>
      <c r="AA90" s="20">
        <v>-5.9900000000000002E-2</v>
      </c>
      <c r="AB90" s="20">
        <v>-0.12330000000000001</v>
      </c>
      <c r="AC90" s="20">
        <v>0.18010000000000001</v>
      </c>
      <c r="AD90" s="20">
        <v>-2.1600000000000001E-2</v>
      </c>
      <c r="AE90" s="20">
        <v>-8.6599999999999996E-2</v>
      </c>
      <c r="AF90" s="20">
        <v>0.14910000000000001</v>
      </c>
      <c r="AG90" s="20">
        <v>-0.14979999999999999</v>
      </c>
      <c r="AH90" s="20">
        <v>0.12670000000000001</v>
      </c>
      <c r="AI90" s="20">
        <v>0.1055</v>
      </c>
      <c r="AJ90" s="20">
        <v>-0.26669999999999999</v>
      </c>
      <c r="AK90" s="20">
        <v>-0.108</v>
      </c>
      <c r="AL90" s="21">
        <v>1.6899999999999998E-2</v>
      </c>
    </row>
    <row r="91" spans="1:38">
      <c r="A91" s="20">
        <v>-0.41949999999999998</v>
      </c>
      <c r="B91" s="20">
        <v>0.1288</v>
      </c>
      <c r="C91" s="20">
        <v>-0.31509999999999999</v>
      </c>
      <c r="D91" s="20">
        <v>3.3099999999999997E-2</v>
      </c>
      <c r="E91" s="20">
        <v>-0.31319999999999998</v>
      </c>
      <c r="F91" s="20">
        <v>0.15939999999999999</v>
      </c>
      <c r="G91" s="20">
        <v>2.0299999999999999E-2</v>
      </c>
      <c r="H91" s="20">
        <v>0.1237</v>
      </c>
      <c r="I91" s="20">
        <v>1.5599999999999999E-2</v>
      </c>
      <c r="J91" s="20">
        <v>-0.19489999999999999</v>
      </c>
      <c r="K91" s="20">
        <v>-6.6E-3</v>
      </c>
      <c r="L91" s="20">
        <v>7.8200000000000006E-2</v>
      </c>
      <c r="M91" s="20">
        <v>0.19350000000000001</v>
      </c>
      <c r="N91" s="20">
        <v>0.23100000000000001</v>
      </c>
      <c r="O91" s="20">
        <v>4.1700000000000001E-2</v>
      </c>
      <c r="P91" s="20">
        <v>0.1696</v>
      </c>
      <c r="Q91" s="20">
        <v>-8.7800000000000003E-2</v>
      </c>
      <c r="R91" s="20">
        <v>0.3987</v>
      </c>
      <c r="S91" s="20">
        <v>4.4600000000000001E-2</v>
      </c>
      <c r="T91" s="20">
        <v>0.125</v>
      </c>
      <c r="U91" s="20">
        <v>7.8399999999999997E-2</v>
      </c>
      <c r="V91" s="20">
        <v>-0.15509999999999999</v>
      </c>
      <c r="W91" s="20">
        <v>8.7099999999999997E-2</v>
      </c>
      <c r="X91" s="20">
        <v>5.9200000000000003E-2</v>
      </c>
      <c r="Y91" s="20">
        <v>-2.3699999999999999E-2</v>
      </c>
      <c r="Z91" s="20">
        <v>-1.8E-3</v>
      </c>
      <c r="AA91" s="20">
        <v>-0.23169999999999999</v>
      </c>
      <c r="AB91" s="20">
        <v>-0.1348</v>
      </c>
      <c r="AC91" s="20">
        <v>-5.28E-2</v>
      </c>
      <c r="AD91" s="20">
        <v>-1.1900000000000001E-2</v>
      </c>
      <c r="AE91" s="20">
        <v>0.222</v>
      </c>
      <c r="AF91" s="20">
        <v>-4.5199999999999997E-2</v>
      </c>
      <c r="AG91" s="20">
        <v>7.7999999999999996E-3</v>
      </c>
      <c r="AH91" s="20">
        <v>5.1999999999999998E-3</v>
      </c>
      <c r="AI91" s="20">
        <v>-4.87E-2</v>
      </c>
      <c r="AJ91" s="20">
        <v>-0.19719999999999999</v>
      </c>
      <c r="AK91" s="20">
        <v>-5.5E-2</v>
      </c>
      <c r="AL91" s="21">
        <v>7.4099999999999999E-2</v>
      </c>
    </row>
    <row r="92" spans="1:38">
      <c r="A92" s="20">
        <v>-0.11509999999999999</v>
      </c>
      <c r="B92" s="20">
        <v>-7.1000000000000004E-3</v>
      </c>
      <c r="C92" s="20">
        <v>-0.32069999999999999</v>
      </c>
      <c r="D92" s="20">
        <v>0.29949999999999999</v>
      </c>
      <c r="E92" s="20">
        <v>-8.6499999999999994E-2</v>
      </c>
      <c r="F92" s="20">
        <v>0.1502</v>
      </c>
      <c r="G92" s="20">
        <v>-0.1668</v>
      </c>
      <c r="H92" s="20">
        <v>-0.21149999999999999</v>
      </c>
      <c r="I92" s="20">
        <v>8.8499999999999995E-2</v>
      </c>
      <c r="J92" s="20">
        <v>-0.40629999999999999</v>
      </c>
      <c r="K92" s="20">
        <v>0.1288</v>
      </c>
      <c r="L92" s="20">
        <v>0.10539999999999999</v>
      </c>
      <c r="M92" s="20">
        <v>0.29049999999999998</v>
      </c>
      <c r="N92" s="20">
        <v>3.44E-2</v>
      </c>
      <c r="O92" s="20">
        <v>9.5100000000000004E-2</v>
      </c>
      <c r="P92" s="20">
        <v>0.1996</v>
      </c>
      <c r="Q92" s="20">
        <v>-0.1206</v>
      </c>
      <c r="R92" s="20">
        <v>0.3523</v>
      </c>
      <c r="S92" s="20">
        <v>-2.8400000000000002E-2</v>
      </c>
      <c r="T92" s="20">
        <v>0.20599999999999999</v>
      </c>
      <c r="U92" s="20">
        <v>6.1800000000000001E-2</v>
      </c>
      <c r="V92" s="20">
        <v>-5.0299999999999997E-2</v>
      </c>
      <c r="W92" s="20">
        <v>0.109</v>
      </c>
      <c r="X92" s="20">
        <v>-0.1394</v>
      </c>
      <c r="Y92" s="20">
        <v>3.7100000000000001E-2</v>
      </c>
      <c r="Z92" s="20">
        <v>-0.114</v>
      </c>
      <c r="AA92" s="20">
        <v>-0.2034</v>
      </c>
      <c r="AB92" s="20">
        <v>-3.1099999999999999E-2</v>
      </c>
      <c r="AC92" s="20">
        <v>-5.4899999999999997E-2</v>
      </c>
      <c r="AD92" s="20">
        <v>-3.4599999999999999E-2</v>
      </c>
      <c r="AE92" s="20">
        <v>0.1822</v>
      </c>
      <c r="AF92" s="20">
        <v>-6.1100000000000002E-2</v>
      </c>
      <c r="AG92" s="20">
        <v>1.5E-3</v>
      </c>
      <c r="AH92" s="20">
        <v>-9.2200000000000004E-2</v>
      </c>
      <c r="AI92" s="20">
        <v>-8.9800000000000005E-2</v>
      </c>
      <c r="AJ92" s="20">
        <v>-0.1143</v>
      </c>
      <c r="AK92" s="20">
        <v>1.5699999999999999E-2</v>
      </c>
      <c r="AL92" s="21">
        <v>9.5899999999999999E-2</v>
      </c>
    </row>
    <row r="93" spans="1:38">
      <c r="A93" s="20">
        <v>6.6500000000000004E-2</v>
      </c>
      <c r="B93" s="20">
        <v>-0.23280000000000001</v>
      </c>
      <c r="C93" s="20">
        <v>-0.4224</v>
      </c>
      <c r="D93" s="20">
        <v>0.52600000000000002</v>
      </c>
      <c r="E93" s="20">
        <v>-0.21709999999999999</v>
      </c>
      <c r="F93" s="20">
        <v>0.19570000000000001</v>
      </c>
      <c r="G93" s="20">
        <v>-4.9200000000000001E-2</v>
      </c>
      <c r="H93" s="20">
        <v>-0.23960000000000001</v>
      </c>
      <c r="I93" s="20">
        <v>-6.5100000000000005E-2</v>
      </c>
      <c r="J93" s="20">
        <v>-0.37469999999999998</v>
      </c>
      <c r="K93" s="20">
        <v>-2.4899999999999999E-2</v>
      </c>
      <c r="L93" s="20">
        <v>-0.03</v>
      </c>
      <c r="M93" s="20">
        <v>0.15340000000000001</v>
      </c>
      <c r="N93" s="20">
        <v>-1.5100000000000001E-2</v>
      </c>
      <c r="O93" s="20">
        <v>7.5800000000000006E-2</v>
      </c>
      <c r="P93" s="20">
        <v>6.1499999999999999E-2</v>
      </c>
      <c r="Q93" s="20">
        <v>7.7000000000000002E-3</v>
      </c>
      <c r="R93" s="20">
        <v>8.3999999999999995E-3</v>
      </c>
      <c r="S93" s="20">
        <v>0.17510000000000001</v>
      </c>
      <c r="T93" s="20">
        <v>0.1356</v>
      </c>
      <c r="U93" s="20">
        <v>-1.5900000000000001E-2</v>
      </c>
      <c r="V93" s="20">
        <v>5.0900000000000001E-2</v>
      </c>
      <c r="W93" s="20">
        <v>-7.4099999999999999E-2</v>
      </c>
      <c r="X93" s="20">
        <v>-2.41E-2</v>
      </c>
      <c r="Y93" s="20">
        <v>-9.4999999999999998E-3</v>
      </c>
      <c r="Z93" s="20">
        <v>5.2400000000000002E-2</v>
      </c>
      <c r="AA93" s="20">
        <v>6.3899999999999998E-2</v>
      </c>
      <c r="AB93" s="20">
        <v>-1.29E-2</v>
      </c>
      <c r="AC93" s="20">
        <v>3.1E-2</v>
      </c>
      <c r="AD93" s="20">
        <v>0.11700000000000001</v>
      </c>
      <c r="AE93" s="20">
        <v>3.5799999999999998E-2</v>
      </c>
      <c r="AF93" s="20">
        <v>-6.4100000000000004E-2</v>
      </c>
      <c r="AG93" s="20">
        <v>-0.13320000000000001</v>
      </c>
      <c r="AH93" s="20">
        <v>0.1933</v>
      </c>
      <c r="AI93" s="20">
        <v>-6.0400000000000002E-2</v>
      </c>
      <c r="AJ93" s="20">
        <v>3.4099999999999998E-2</v>
      </c>
      <c r="AK93" s="20">
        <v>0.1208</v>
      </c>
      <c r="AL93" s="21">
        <v>-4.2099999999999999E-2</v>
      </c>
    </row>
    <row r="94" spans="1:38">
      <c r="A94" s="20">
        <v>-1.1299999999999999E-2</v>
      </c>
      <c r="B94" s="20">
        <v>-0.15959999999999999</v>
      </c>
      <c r="C94" s="20">
        <v>-0.20150000000000001</v>
      </c>
      <c r="D94" s="20">
        <v>4.36E-2</v>
      </c>
      <c r="E94" s="20">
        <v>-0.30769999999999997</v>
      </c>
      <c r="F94" s="20">
        <v>-0.1111</v>
      </c>
      <c r="G94" s="20">
        <v>-5.28E-2</v>
      </c>
      <c r="H94" s="20">
        <v>0.129</v>
      </c>
      <c r="I94" s="20">
        <v>-0.1411</v>
      </c>
      <c r="J94" s="20">
        <v>-0.16520000000000001</v>
      </c>
      <c r="K94" s="20">
        <v>0.26150000000000001</v>
      </c>
      <c r="L94" s="20">
        <v>-9.5000000000000001E-2</v>
      </c>
      <c r="M94" s="20">
        <v>6.1400000000000003E-2</v>
      </c>
      <c r="N94" s="20">
        <v>-0.26929999999999998</v>
      </c>
      <c r="O94" s="20">
        <v>0.25040000000000001</v>
      </c>
      <c r="P94" s="20">
        <v>0.3543</v>
      </c>
      <c r="Q94" s="20">
        <v>9.6600000000000005E-2</v>
      </c>
      <c r="R94" s="20">
        <v>1.09E-2</v>
      </c>
      <c r="S94" s="20">
        <v>-0.2117</v>
      </c>
      <c r="T94" s="20">
        <v>0.1641</v>
      </c>
      <c r="U94" s="20">
        <v>-0.22989999999999999</v>
      </c>
      <c r="V94" s="20">
        <v>9.8400000000000001E-2</v>
      </c>
      <c r="W94" s="20">
        <v>-3.3E-3</v>
      </c>
      <c r="X94" s="20">
        <v>0.1106</v>
      </c>
      <c r="Y94" s="20">
        <v>-0.1933</v>
      </c>
      <c r="Z94" s="20">
        <v>0.18179999999999999</v>
      </c>
      <c r="AA94" s="20">
        <v>0.1273</v>
      </c>
      <c r="AB94" s="20">
        <v>-5.16E-2</v>
      </c>
      <c r="AC94" s="20">
        <v>0.1555</v>
      </c>
      <c r="AD94" s="20">
        <v>-2.0199999999999999E-2</v>
      </c>
      <c r="AE94" s="20">
        <v>-0.21790000000000001</v>
      </c>
      <c r="AF94" s="20">
        <v>2.3300000000000001E-2</v>
      </c>
      <c r="AG94" s="20">
        <v>7.9500000000000001E-2</v>
      </c>
      <c r="AH94" s="20">
        <v>0.1699</v>
      </c>
      <c r="AI94" s="20">
        <v>-1.5599999999999999E-2</v>
      </c>
      <c r="AJ94" s="20">
        <v>7.17E-2</v>
      </c>
      <c r="AK94" s="20">
        <v>0.2001</v>
      </c>
      <c r="AL94" s="21">
        <v>-0.13350000000000001</v>
      </c>
    </row>
    <row r="95" spans="1:38">
      <c r="A95" s="20">
        <v>0.21690000000000001</v>
      </c>
      <c r="B95" s="20">
        <v>7.22E-2</v>
      </c>
      <c r="C95" s="20">
        <v>0.1517</v>
      </c>
      <c r="D95" s="20">
        <v>1.43E-2</v>
      </c>
      <c r="E95" s="20">
        <v>0.1517</v>
      </c>
      <c r="F95" s="20">
        <v>0.17219999999999999</v>
      </c>
      <c r="G95" s="20">
        <v>2.07E-2</v>
      </c>
      <c r="H95" s="20">
        <v>-0.29389999999999999</v>
      </c>
      <c r="I95" s="20">
        <v>-5.2699999999999997E-2</v>
      </c>
      <c r="J95" s="20">
        <v>-0.1106</v>
      </c>
      <c r="K95" s="20">
        <v>-4.5499999999999999E-2</v>
      </c>
      <c r="L95" s="20">
        <v>5.8500000000000003E-2</v>
      </c>
      <c r="M95" s="20">
        <v>-0.14560000000000001</v>
      </c>
      <c r="N95" s="20">
        <v>0.27479999999999999</v>
      </c>
      <c r="O95" s="20">
        <v>-3.8800000000000001E-2</v>
      </c>
      <c r="P95" s="20">
        <v>0.10639999999999999</v>
      </c>
      <c r="Q95" s="20">
        <v>-0.26529999999999998</v>
      </c>
      <c r="R95" s="20">
        <v>-0.29070000000000001</v>
      </c>
      <c r="S95" s="20">
        <v>-2.4500000000000001E-2</v>
      </c>
      <c r="T95" s="20">
        <v>0.19109999999999999</v>
      </c>
      <c r="U95" s="20">
        <v>3.44E-2</v>
      </c>
      <c r="V95" s="20">
        <v>-1.5900000000000001E-2</v>
      </c>
      <c r="W95" s="20">
        <v>3.7400000000000003E-2</v>
      </c>
      <c r="X95" s="20">
        <v>9.01E-2</v>
      </c>
      <c r="Y95" s="20">
        <v>3.1399999999999997E-2</v>
      </c>
      <c r="Z95" s="20">
        <v>0.1885</v>
      </c>
      <c r="AA95" s="20">
        <v>0.1123</v>
      </c>
      <c r="AB95" s="20">
        <v>-2.01E-2</v>
      </c>
      <c r="AC95" s="20">
        <v>-0.14829999999999999</v>
      </c>
      <c r="AD95" s="20">
        <v>-0.12429999999999999</v>
      </c>
      <c r="AE95" s="20">
        <v>0.1179</v>
      </c>
      <c r="AF95" s="20">
        <v>-0.4904</v>
      </c>
      <c r="AG95" s="20">
        <v>8.1900000000000001E-2</v>
      </c>
      <c r="AH95" s="20">
        <v>-0.18529999999999999</v>
      </c>
      <c r="AI95" s="20">
        <v>-0.1066</v>
      </c>
      <c r="AJ95" s="20">
        <v>-1.09E-2</v>
      </c>
      <c r="AK95" s="20">
        <v>0.2412</v>
      </c>
      <c r="AL95" s="21">
        <v>1E-3</v>
      </c>
    </row>
    <row r="96" spans="1:38">
      <c r="A96" s="20">
        <v>1.46E-2</v>
      </c>
      <c r="B96" s="20">
        <v>2.6200000000000001E-2</v>
      </c>
      <c r="C96" s="20">
        <v>0.28399999999999997</v>
      </c>
      <c r="D96" s="20">
        <v>0.13589999999999999</v>
      </c>
      <c r="E96" s="20">
        <v>0.28120000000000001</v>
      </c>
      <c r="F96" s="20">
        <v>0.23380000000000001</v>
      </c>
      <c r="G96" s="20">
        <v>0.17710000000000001</v>
      </c>
      <c r="H96" s="20">
        <v>0.14849999999999999</v>
      </c>
      <c r="I96" s="20">
        <v>-0.1052</v>
      </c>
      <c r="J96" s="20">
        <v>-0.1598</v>
      </c>
      <c r="K96" s="20">
        <v>-0.2782</v>
      </c>
      <c r="L96" s="20">
        <v>-2.18E-2</v>
      </c>
      <c r="M96" s="20">
        <v>-5.28E-2</v>
      </c>
      <c r="N96" s="20">
        <v>-0.1206</v>
      </c>
      <c r="O96" s="20">
        <v>-0.16900000000000001</v>
      </c>
      <c r="P96" s="20">
        <v>0.21199999999999999</v>
      </c>
      <c r="Q96" s="20">
        <v>-0.1239</v>
      </c>
      <c r="R96" s="20">
        <v>1.67E-2</v>
      </c>
      <c r="S96" s="20">
        <v>-9.4399999999999998E-2</v>
      </c>
      <c r="T96" s="20">
        <v>6.8900000000000003E-2</v>
      </c>
      <c r="U96" s="20">
        <v>-0.23019999999999999</v>
      </c>
      <c r="V96" s="20">
        <v>4.4699999999999997E-2</v>
      </c>
      <c r="W96" s="20">
        <v>-9.0499999999999997E-2</v>
      </c>
      <c r="X96" s="20">
        <v>-0.27129999999999999</v>
      </c>
      <c r="Y96" s="20">
        <v>0.18190000000000001</v>
      </c>
      <c r="Z96" s="20">
        <v>6.0999999999999999E-2</v>
      </c>
      <c r="AA96" s="20">
        <v>-0.18529999999999999</v>
      </c>
      <c r="AB96" s="20">
        <v>0.20669999999999999</v>
      </c>
      <c r="AC96" s="20">
        <v>-0.29470000000000002</v>
      </c>
      <c r="AD96" s="20">
        <v>2.86E-2</v>
      </c>
      <c r="AE96" s="20">
        <v>2.6100000000000002E-2</v>
      </c>
      <c r="AF96" s="20">
        <v>7.0099999999999996E-2</v>
      </c>
      <c r="AG96" s="20">
        <v>-9.7199999999999995E-2</v>
      </c>
      <c r="AH96" s="20">
        <v>-7.7200000000000005E-2</v>
      </c>
      <c r="AI96" s="20">
        <v>-0.1862</v>
      </c>
      <c r="AJ96" s="20">
        <v>-3.4299999999999997E-2</v>
      </c>
      <c r="AK96" s="20">
        <v>0.26719999999999999</v>
      </c>
      <c r="AL96" s="21">
        <v>0.1081</v>
      </c>
    </row>
    <row r="97" spans="1:38">
      <c r="A97" s="20">
        <v>0.1135</v>
      </c>
      <c r="B97" s="20">
        <v>-0.22320000000000001</v>
      </c>
      <c r="C97" s="20">
        <v>-0.1704</v>
      </c>
      <c r="D97" s="20">
        <v>0.3528</v>
      </c>
      <c r="E97" s="20">
        <v>0.19089999999999999</v>
      </c>
      <c r="F97" s="20">
        <v>-1.95E-2</v>
      </c>
      <c r="G97" s="20">
        <v>-3.3099999999999997E-2</v>
      </c>
      <c r="H97" s="20">
        <v>8.5500000000000007E-2</v>
      </c>
      <c r="I97" s="20">
        <v>-5.8799999999999998E-2</v>
      </c>
      <c r="J97" s="20">
        <v>-0.10580000000000001</v>
      </c>
      <c r="K97" s="20">
        <v>-0.30869999999999997</v>
      </c>
      <c r="L97" s="20">
        <v>8.9200000000000002E-2</v>
      </c>
      <c r="M97" s="20">
        <v>0.1056</v>
      </c>
      <c r="N97" s="20">
        <v>-6.1100000000000002E-2</v>
      </c>
      <c r="O97" s="20">
        <v>-7.6200000000000004E-2</v>
      </c>
      <c r="P97" s="20">
        <v>0.42009999999999997</v>
      </c>
      <c r="Q97" s="20">
        <v>4.2700000000000002E-2</v>
      </c>
      <c r="R97" s="20">
        <v>-0.20380000000000001</v>
      </c>
      <c r="S97" s="20">
        <v>-0.1835</v>
      </c>
      <c r="T97" s="20">
        <v>0.10970000000000001</v>
      </c>
      <c r="U97" s="20">
        <v>7.1900000000000006E-2</v>
      </c>
      <c r="V97" s="20">
        <v>-2.1100000000000001E-2</v>
      </c>
      <c r="W97" s="20">
        <v>-6.7999999999999996E-3</v>
      </c>
      <c r="X97" s="20">
        <v>-4.2200000000000001E-2</v>
      </c>
      <c r="Y97" s="20">
        <v>-8.14E-2</v>
      </c>
      <c r="Z97" s="20">
        <v>-5.9400000000000001E-2</v>
      </c>
      <c r="AA97" s="20">
        <v>6.3200000000000006E-2</v>
      </c>
      <c r="AB97" s="20">
        <v>-6.5600000000000006E-2</v>
      </c>
      <c r="AC97" s="20">
        <v>6.2300000000000001E-2</v>
      </c>
      <c r="AD97" s="20">
        <v>0.17330000000000001</v>
      </c>
      <c r="AE97" s="20">
        <v>-0.38990000000000002</v>
      </c>
      <c r="AF97" s="20">
        <v>-0.1507</v>
      </c>
      <c r="AG97" s="20">
        <v>-2.3E-2</v>
      </c>
      <c r="AH97" s="20">
        <v>0.22720000000000001</v>
      </c>
      <c r="AI97" s="20">
        <v>9.9599999999999994E-2</v>
      </c>
      <c r="AJ97" s="20">
        <v>0.17829999999999999</v>
      </c>
      <c r="AK97" s="20">
        <v>-2.5100000000000001E-2</v>
      </c>
      <c r="AL97" s="21">
        <v>-7.2900000000000006E-2</v>
      </c>
    </row>
    <row r="98" spans="1:38">
      <c r="A98" s="20">
        <v>-0.2296</v>
      </c>
      <c r="B98" s="20">
        <v>0.12089999999999999</v>
      </c>
      <c r="C98" s="20">
        <v>-6.6000000000000003E-2</v>
      </c>
      <c r="D98" s="20">
        <v>0.10489999999999999</v>
      </c>
      <c r="E98" s="20">
        <v>0.16520000000000001</v>
      </c>
      <c r="F98" s="20">
        <v>-6.7199999999999996E-2</v>
      </c>
      <c r="G98" s="20">
        <v>-1.8200000000000001E-2</v>
      </c>
      <c r="H98" s="20">
        <v>0.13850000000000001</v>
      </c>
      <c r="I98" s="20">
        <v>-6.1600000000000002E-2</v>
      </c>
      <c r="J98" s="20">
        <v>0.126</v>
      </c>
      <c r="K98" s="20">
        <v>-0.2535</v>
      </c>
      <c r="L98" s="20">
        <v>8.3199999999999996E-2</v>
      </c>
      <c r="M98" s="20">
        <v>0.36659999999999998</v>
      </c>
      <c r="N98" s="20">
        <v>3.7999999999999999E-2</v>
      </c>
      <c r="O98" s="20">
        <v>-0.1988</v>
      </c>
      <c r="P98" s="20">
        <v>0.30499999999999999</v>
      </c>
      <c r="Q98" s="20">
        <v>9.01E-2</v>
      </c>
      <c r="R98" s="20">
        <v>-3.8E-3</v>
      </c>
      <c r="S98" s="20">
        <v>-0.18029999999999999</v>
      </c>
      <c r="T98" s="20">
        <v>-2.64E-2</v>
      </c>
      <c r="U98" s="20">
        <v>-5.5300000000000002E-2</v>
      </c>
      <c r="V98" s="20">
        <v>-0.2218</v>
      </c>
      <c r="W98" s="20">
        <v>0.10150000000000001</v>
      </c>
      <c r="X98" s="20">
        <v>-7.3200000000000001E-2</v>
      </c>
      <c r="Y98" s="20">
        <v>7.0000000000000007E-2</v>
      </c>
      <c r="Z98" s="20">
        <v>-5.3999999999999999E-2</v>
      </c>
      <c r="AA98" s="20">
        <v>-0.1527</v>
      </c>
      <c r="AB98" s="20">
        <v>-0.42249999999999999</v>
      </c>
      <c r="AC98" s="20">
        <v>0.19439999999999999</v>
      </c>
      <c r="AD98" s="20">
        <v>0.18590000000000001</v>
      </c>
      <c r="AE98" s="20">
        <v>0.1555</v>
      </c>
      <c r="AF98" s="20">
        <v>4.99E-2</v>
      </c>
      <c r="AG98" s="20">
        <v>-0.1263</v>
      </c>
      <c r="AH98" s="20">
        <v>0.19439999999999999</v>
      </c>
      <c r="AI98" s="20">
        <v>-3.39E-2</v>
      </c>
      <c r="AJ98" s="20">
        <v>-0.17749999999999999</v>
      </c>
      <c r="AK98" s="20">
        <v>-3.9300000000000002E-2</v>
      </c>
      <c r="AL98" s="21">
        <v>-3.1399999999999997E-2</v>
      </c>
    </row>
    <row r="99" spans="1:38">
      <c r="A99" s="20">
        <v>-0.2485</v>
      </c>
      <c r="B99" s="20">
        <v>0.2671</v>
      </c>
      <c r="C99" s="20">
        <v>1.3899999999999999E-2</v>
      </c>
      <c r="D99" s="20">
        <v>-0.12540000000000001</v>
      </c>
      <c r="E99" s="20">
        <v>-9.4299999999999995E-2</v>
      </c>
      <c r="F99" s="20">
        <v>7.1099999999999997E-2</v>
      </c>
      <c r="G99" s="20">
        <v>9.35E-2</v>
      </c>
      <c r="H99" s="20">
        <v>0.1517</v>
      </c>
      <c r="I99" s="20">
        <v>7.4899999999999994E-2</v>
      </c>
      <c r="J99" s="20">
        <v>6.3399999999999998E-2</v>
      </c>
      <c r="K99" s="20">
        <v>0.2109</v>
      </c>
      <c r="L99" s="20">
        <v>-0.28410000000000002</v>
      </c>
      <c r="M99" s="20">
        <v>-0.2465</v>
      </c>
      <c r="N99" s="20">
        <v>-3.09E-2</v>
      </c>
      <c r="O99" s="20">
        <v>-0.14860000000000001</v>
      </c>
      <c r="P99" s="20">
        <v>-4.2999999999999997E-2</v>
      </c>
      <c r="Q99" s="20">
        <v>-4.2200000000000001E-2</v>
      </c>
      <c r="R99" s="20">
        <v>0.23930000000000001</v>
      </c>
      <c r="S99" s="20">
        <v>0.10299999999999999</v>
      </c>
      <c r="T99" s="20">
        <v>3.8999999999999998E-3</v>
      </c>
      <c r="U99" s="20">
        <v>3.8399999999999997E-2</v>
      </c>
      <c r="V99" s="20">
        <v>-7.1099999999999997E-2</v>
      </c>
      <c r="W99" s="20">
        <v>7.5700000000000003E-2</v>
      </c>
      <c r="X99" s="20">
        <v>1.06E-2</v>
      </c>
      <c r="Y99" s="20">
        <v>2.47E-2</v>
      </c>
      <c r="Z99" s="20">
        <v>-9.5000000000000001E-2</v>
      </c>
      <c r="AA99" s="20">
        <v>8.2199999999999995E-2</v>
      </c>
      <c r="AB99" s="20">
        <v>0.34899999999999998</v>
      </c>
      <c r="AC99" s="20">
        <v>-0.37319999999999998</v>
      </c>
      <c r="AD99" s="20">
        <v>-0.1399</v>
      </c>
      <c r="AE99" s="20">
        <v>-0.1769</v>
      </c>
      <c r="AF99" s="20">
        <v>-6.1800000000000001E-2</v>
      </c>
      <c r="AG99" s="20">
        <v>-2.0899999999999998E-2</v>
      </c>
      <c r="AH99" s="20">
        <v>1.6500000000000001E-2</v>
      </c>
      <c r="AI99" s="20">
        <v>4.82E-2</v>
      </c>
      <c r="AJ99" s="20">
        <v>0.28360000000000002</v>
      </c>
      <c r="AK99" s="20">
        <v>0.20349999999999999</v>
      </c>
      <c r="AL99" s="21">
        <v>-0.214</v>
      </c>
    </row>
    <row r="100" spans="1:38">
      <c r="A100" s="20">
        <v>0.18129999999999999</v>
      </c>
      <c r="B100" s="20">
        <v>-0.19520000000000001</v>
      </c>
      <c r="C100" s="20">
        <v>0.48309999999999997</v>
      </c>
      <c r="D100" s="20">
        <v>0.39269999999999999</v>
      </c>
      <c r="E100" s="20">
        <v>-4.02E-2</v>
      </c>
      <c r="F100" s="20">
        <v>-0.33100000000000002</v>
      </c>
      <c r="G100" s="20">
        <v>-0.23150000000000001</v>
      </c>
      <c r="H100" s="20">
        <v>8.3000000000000004E-2</v>
      </c>
      <c r="I100" s="20">
        <v>-4.7E-2</v>
      </c>
      <c r="J100" s="20">
        <v>-5.2299999999999999E-2</v>
      </c>
      <c r="K100" s="20">
        <v>7.4999999999999997E-2</v>
      </c>
      <c r="L100" s="20">
        <v>0.2802</v>
      </c>
      <c r="M100" s="20">
        <v>8.3599999999999994E-2</v>
      </c>
      <c r="N100" s="20">
        <v>-0.1231</v>
      </c>
      <c r="O100" s="20">
        <v>-0.1031</v>
      </c>
      <c r="P100" s="20">
        <v>3.9E-2</v>
      </c>
      <c r="Q100" s="20">
        <v>-0.30980000000000002</v>
      </c>
      <c r="R100" s="20">
        <v>-5.9400000000000001E-2</v>
      </c>
      <c r="S100" s="20">
        <v>7.9699999999999993E-2</v>
      </c>
      <c r="T100" s="20">
        <v>6.5299999999999997E-2</v>
      </c>
      <c r="U100" s="20">
        <v>-1.5699999999999999E-2</v>
      </c>
      <c r="V100" s="20">
        <v>0.1196</v>
      </c>
      <c r="W100" s="20">
        <v>-9.69E-2</v>
      </c>
      <c r="X100" s="20">
        <v>-8.9999999999999998E-4</v>
      </c>
      <c r="Y100" s="20">
        <v>-6.5600000000000006E-2</v>
      </c>
      <c r="Z100" s="20">
        <v>-0.21729999999999999</v>
      </c>
      <c r="AA100" s="20">
        <v>2.1000000000000001E-2</v>
      </c>
      <c r="AB100" s="20">
        <v>-0.12790000000000001</v>
      </c>
      <c r="AC100" s="20">
        <v>7.7000000000000002E-3</v>
      </c>
      <c r="AD100" s="20">
        <v>7.7700000000000005E-2</v>
      </c>
      <c r="AE100" s="20">
        <v>-3.5000000000000001E-3</v>
      </c>
      <c r="AF100" s="20">
        <v>4.4900000000000002E-2</v>
      </c>
      <c r="AG100" s="20">
        <v>0.1028</v>
      </c>
      <c r="AH100" s="20">
        <v>8.3000000000000001E-3</v>
      </c>
      <c r="AI100" s="20">
        <v>8.2400000000000001E-2</v>
      </c>
      <c r="AJ100" s="20">
        <v>-0.1169</v>
      </c>
      <c r="AK100" s="20">
        <v>-2.24E-2</v>
      </c>
      <c r="AL100" s="21">
        <v>-6.5600000000000006E-2</v>
      </c>
    </row>
    <row r="101" spans="1:38">
      <c r="A101" s="20">
        <v>0.2321</v>
      </c>
      <c r="B101" s="20">
        <v>-0.1704</v>
      </c>
      <c r="C101" s="20">
        <v>5.11E-2</v>
      </c>
      <c r="D101" s="20">
        <v>1.78E-2</v>
      </c>
      <c r="E101" s="20">
        <v>5.79E-2</v>
      </c>
      <c r="F101" s="20">
        <v>-0.16320000000000001</v>
      </c>
      <c r="G101" s="20">
        <v>-0.16850000000000001</v>
      </c>
      <c r="H101" s="20">
        <v>-0.12570000000000001</v>
      </c>
      <c r="I101" s="20">
        <v>-0.1348</v>
      </c>
      <c r="J101" s="20">
        <v>0.11169999999999999</v>
      </c>
      <c r="K101" s="20">
        <v>-0.25180000000000002</v>
      </c>
      <c r="L101" s="20">
        <v>0.16850000000000001</v>
      </c>
      <c r="M101" s="20">
        <v>0.1129</v>
      </c>
      <c r="N101" s="20">
        <v>-7.6100000000000001E-2</v>
      </c>
      <c r="O101" s="20">
        <v>-0.1401</v>
      </c>
      <c r="P101" s="20">
        <v>4.9200000000000001E-2</v>
      </c>
      <c r="Q101" s="20">
        <v>-0.26429999999999998</v>
      </c>
      <c r="R101" s="20">
        <v>7.7600000000000002E-2</v>
      </c>
      <c r="S101" s="20">
        <v>5.9499999999999997E-2</v>
      </c>
      <c r="T101" s="20">
        <v>0.30859999999999999</v>
      </c>
      <c r="U101" s="20">
        <v>2.58E-2</v>
      </c>
      <c r="V101" s="20">
        <v>0.34079999999999999</v>
      </c>
      <c r="W101" s="20">
        <v>0.1704</v>
      </c>
      <c r="X101" s="20">
        <v>-3.2199999999999999E-2</v>
      </c>
      <c r="Y101" s="20">
        <v>0.1</v>
      </c>
      <c r="Z101" s="20">
        <v>-0.1</v>
      </c>
      <c r="AA101" s="20">
        <v>9.7999999999999997E-3</v>
      </c>
      <c r="AB101" s="20">
        <v>0.1106</v>
      </c>
      <c r="AC101" s="20">
        <v>-1.8200000000000001E-2</v>
      </c>
      <c r="AD101" s="20">
        <v>-4.2000000000000003E-2</v>
      </c>
      <c r="AE101" s="20">
        <v>6.4399999999999999E-2</v>
      </c>
      <c r="AF101" s="20">
        <v>-0.33360000000000001</v>
      </c>
      <c r="AG101" s="20">
        <v>4.7699999999999999E-2</v>
      </c>
      <c r="AH101" s="20">
        <v>0.1651</v>
      </c>
      <c r="AI101" s="20">
        <v>0.20830000000000001</v>
      </c>
      <c r="AJ101" s="20">
        <v>-0.18179999999999999</v>
      </c>
      <c r="AK101" s="20">
        <v>-0.31509999999999999</v>
      </c>
      <c r="AL101" s="21">
        <v>1.44E-2</v>
      </c>
    </row>
    <row r="102" spans="1:38">
      <c r="A102" s="20">
        <v>-0.2329</v>
      </c>
      <c r="B102" s="20">
        <v>8.9800000000000005E-2</v>
      </c>
      <c r="C102" s="20">
        <v>0.21340000000000001</v>
      </c>
      <c r="D102" s="20">
        <v>8.1500000000000003E-2</v>
      </c>
      <c r="E102" s="20">
        <v>-0.2019</v>
      </c>
      <c r="F102" s="20">
        <v>-0.14280000000000001</v>
      </c>
      <c r="G102" s="20">
        <v>0.35310000000000002</v>
      </c>
      <c r="H102" s="20">
        <v>-0.5736</v>
      </c>
      <c r="I102" s="20">
        <v>-0.30940000000000001</v>
      </c>
      <c r="J102" s="20">
        <v>-2.1999999999999999E-2</v>
      </c>
      <c r="K102" s="20">
        <v>-0.14460000000000001</v>
      </c>
      <c r="L102" s="20">
        <v>0.1103</v>
      </c>
      <c r="M102" s="20">
        <v>-5.8799999999999998E-2</v>
      </c>
      <c r="N102" s="20">
        <v>8.1100000000000005E-2</v>
      </c>
      <c r="O102" s="20">
        <v>7.9299999999999995E-2</v>
      </c>
      <c r="P102" s="20">
        <v>-3.1899999999999998E-2</v>
      </c>
      <c r="Q102" s="20">
        <v>0.1028</v>
      </c>
      <c r="R102" s="20">
        <v>-6.4999999999999997E-3</v>
      </c>
      <c r="S102" s="20">
        <v>2.2000000000000001E-3</v>
      </c>
      <c r="T102" s="20">
        <v>9.8799999999999999E-2</v>
      </c>
      <c r="U102" s="20">
        <v>0.14399999999999999</v>
      </c>
      <c r="V102" s="20">
        <v>-0.1691</v>
      </c>
      <c r="W102" s="20">
        <v>0.1298</v>
      </c>
      <c r="X102" s="20">
        <v>8.3999999999999995E-3</v>
      </c>
      <c r="Y102" s="20">
        <v>1.55E-2</v>
      </c>
      <c r="Z102" s="20">
        <v>4.7699999999999999E-2</v>
      </c>
      <c r="AA102" s="20">
        <v>-2.4500000000000001E-2</v>
      </c>
      <c r="AB102" s="20">
        <v>-9.69E-2</v>
      </c>
      <c r="AC102" s="20">
        <v>0.1124</v>
      </c>
      <c r="AD102" s="20">
        <v>7.1000000000000004E-3</v>
      </c>
      <c r="AE102" s="20">
        <v>-0.1583</v>
      </c>
      <c r="AF102" s="20">
        <v>9.9400000000000002E-2</v>
      </c>
      <c r="AG102" s="20">
        <v>3.1E-2</v>
      </c>
      <c r="AH102" s="20">
        <v>0.1741</v>
      </c>
      <c r="AI102" s="20">
        <v>5.8799999999999998E-2</v>
      </c>
      <c r="AJ102" s="20">
        <v>-6.2600000000000003E-2</v>
      </c>
      <c r="AK102" s="20">
        <v>-1.0200000000000001E-2</v>
      </c>
      <c r="AL102" s="21">
        <v>0.1961</v>
      </c>
    </row>
    <row r="103" spans="1:38">
      <c r="A103" s="20">
        <v>-5.62E-2</v>
      </c>
      <c r="B103" s="20">
        <v>0.1454</v>
      </c>
      <c r="C103" s="20">
        <v>0.22270000000000001</v>
      </c>
      <c r="D103" s="20">
        <v>4.7000000000000002E-3</v>
      </c>
      <c r="E103" s="20">
        <v>-0.22939999999999999</v>
      </c>
      <c r="F103" s="20">
        <v>-0.10639999999999999</v>
      </c>
      <c r="G103" s="20">
        <v>0.2316</v>
      </c>
      <c r="H103" s="20">
        <v>-0.54700000000000004</v>
      </c>
      <c r="I103" s="20">
        <v>-0.12</v>
      </c>
      <c r="J103" s="20">
        <v>0.1091</v>
      </c>
      <c r="K103" s="20">
        <v>-0.124</v>
      </c>
      <c r="L103" s="20">
        <v>0.2142</v>
      </c>
      <c r="M103" s="20">
        <v>-2.9100000000000001E-2</v>
      </c>
      <c r="N103" s="20">
        <v>0.44929999999999998</v>
      </c>
      <c r="O103" s="20">
        <v>-4.9700000000000001E-2</v>
      </c>
      <c r="P103" s="20">
        <v>-0.14219999999999999</v>
      </c>
      <c r="Q103" s="20">
        <v>7.0000000000000001E-3</v>
      </c>
      <c r="R103" s="20">
        <v>-8.2500000000000004E-2</v>
      </c>
      <c r="S103" s="20">
        <v>-0.15629999999999999</v>
      </c>
      <c r="T103" s="20">
        <v>-0.1414</v>
      </c>
      <c r="U103" s="20">
        <v>9.8199999999999996E-2</v>
      </c>
      <c r="V103" s="20">
        <v>-0.1245</v>
      </c>
      <c r="W103" s="20">
        <v>-1.9400000000000001E-2</v>
      </c>
      <c r="X103" s="20">
        <v>1.12E-2</v>
      </c>
      <c r="Y103" s="20">
        <v>6.6900000000000001E-2</v>
      </c>
      <c r="Z103" s="20">
        <v>1.54E-2</v>
      </c>
      <c r="AA103" s="20">
        <v>6.6400000000000001E-2</v>
      </c>
      <c r="AB103" s="20">
        <v>-5.0200000000000002E-2</v>
      </c>
      <c r="AC103" s="20">
        <v>9.8699999999999996E-2</v>
      </c>
      <c r="AD103" s="20">
        <v>0.161</v>
      </c>
      <c r="AE103" s="20">
        <v>-0.1948</v>
      </c>
      <c r="AF103" s="20">
        <v>9.6699999999999994E-2</v>
      </c>
      <c r="AG103" s="20">
        <v>7.1800000000000003E-2</v>
      </c>
      <c r="AH103" s="20">
        <v>0.11459999999999999</v>
      </c>
      <c r="AI103" s="20">
        <v>-4.9000000000000002E-2</v>
      </c>
      <c r="AJ103" s="20">
        <v>5.6399999999999999E-2</v>
      </c>
      <c r="AK103" s="20">
        <v>-2.76E-2</v>
      </c>
      <c r="AL103" s="21">
        <v>1.29E-2</v>
      </c>
    </row>
    <row r="104" spans="1:38">
      <c r="A104" s="20">
        <v>-1.8200000000000001E-2</v>
      </c>
      <c r="B104" s="20">
        <v>0.48680000000000001</v>
      </c>
      <c r="C104" s="20">
        <v>-0.19420000000000001</v>
      </c>
      <c r="D104" s="20">
        <v>-0.15379999999999999</v>
      </c>
      <c r="E104" s="20">
        <v>0.16839999999999999</v>
      </c>
      <c r="F104" s="20">
        <v>-0.27139999999999997</v>
      </c>
      <c r="G104" s="20">
        <v>-0.1065</v>
      </c>
      <c r="H104" s="20">
        <v>-3.0499999999999999E-2</v>
      </c>
      <c r="I104" s="20">
        <v>7.8E-2</v>
      </c>
      <c r="J104" s="20">
        <v>5.16E-2</v>
      </c>
      <c r="K104" s="20">
        <v>0.3417</v>
      </c>
      <c r="L104" s="20">
        <v>2.3099999999999999E-2</v>
      </c>
      <c r="M104" s="20">
        <v>0.3044</v>
      </c>
      <c r="N104" s="20">
        <v>-0.13469999999999999</v>
      </c>
      <c r="O104" s="20">
        <v>-2.9600000000000001E-2</v>
      </c>
      <c r="P104" s="20">
        <v>-0.26750000000000002</v>
      </c>
      <c r="Q104" s="20">
        <v>-0.16889999999999999</v>
      </c>
      <c r="R104" s="20">
        <v>-0.1943</v>
      </c>
      <c r="S104" s="20">
        <v>-0.18140000000000001</v>
      </c>
      <c r="T104" s="20">
        <v>-6.8199999999999997E-2</v>
      </c>
      <c r="U104" s="20">
        <v>-7.0000000000000001E-3</v>
      </c>
      <c r="V104" s="20">
        <v>8.3799999999999999E-2</v>
      </c>
      <c r="W104" s="20">
        <v>-2.8500000000000001E-2</v>
      </c>
      <c r="X104" s="20">
        <v>0.20280000000000001</v>
      </c>
      <c r="Y104" s="20">
        <v>-9.98E-2</v>
      </c>
      <c r="Z104" s="20">
        <v>0.1318</v>
      </c>
      <c r="AA104" s="20">
        <v>-0.1069</v>
      </c>
      <c r="AB104" s="20">
        <v>5.28E-2</v>
      </c>
      <c r="AC104" s="20">
        <v>3.4000000000000002E-2</v>
      </c>
      <c r="AD104" s="20">
        <v>-8.7099999999999997E-2</v>
      </c>
      <c r="AE104" s="20">
        <v>-1.4500000000000001E-2</v>
      </c>
      <c r="AF104" s="20">
        <v>-9.06E-2</v>
      </c>
      <c r="AG104" s="20">
        <v>0.14680000000000001</v>
      </c>
      <c r="AH104" s="20">
        <v>-4.5999999999999999E-2</v>
      </c>
      <c r="AI104" s="20">
        <v>-5.1200000000000002E-2</v>
      </c>
      <c r="AJ104" s="20">
        <v>0.19670000000000001</v>
      </c>
      <c r="AK104" s="20">
        <v>1.47E-2</v>
      </c>
      <c r="AL104" s="21">
        <v>3.1300000000000001E-2</v>
      </c>
    </row>
    <row r="105" spans="1:38">
      <c r="A105" s="20">
        <v>-0.12130000000000001</v>
      </c>
      <c r="B105" s="20">
        <v>-0.32579999999999998</v>
      </c>
      <c r="C105" s="20">
        <v>0.1401</v>
      </c>
      <c r="D105" s="20">
        <v>-0.1258</v>
      </c>
      <c r="E105" s="20">
        <v>-0.10920000000000001</v>
      </c>
      <c r="F105" s="20">
        <v>-0.12130000000000001</v>
      </c>
      <c r="G105" s="20">
        <v>7.2400000000000006E-2</v>
      </c>
      <c r="H105" s="20">
        <v>-9.6699999999999994E-2</v>
      </c>
      <c r="I105" s="20">
        <v>-0.1835</v>
      </c>
      <c r="J105" s="20">
        <v>0.28420000000000001</v>
      </c>
      <c r="K105" s="20">
        <v>-0.1658</v>
      </c>
      <c r="L105" s="20">
        <v>7.3899999999999993E-2</v>
      </c>
      <c r="M105" s="20">
        <v>0.1099</v>
      </c>
      <c r="N105" s="20">
        <v>0.16139999999999999</v>
      </c>
      <c r="O105" s="20">
        <v>0.1754</v>
      </c>
      <c r="P105" s="20">
        <v>-7.9100000000000004E-2</v>
      </c>
      <c r="Q105" s="20">
        <v>5.1000000000000004E-3</v>
      </c>
      <c r="R105" s="20">
        <v>-1.5800000000000002E-2</v>
      </c>
      <c r="S105" s="20">
        <v>-9.7100000000000006E-2</v>
      </c>
      <c r="T105" s="20">
        <v>0.14929999999999999</v>
      </c>
      <c r="U105" s="20">
        <v>0.2011</v>
      </c>
      <c r="V105" s="20">
        <v>-0.17580000000000001</v>
      </c>
      <c r="W105" s="20">
        <v>0.1386</v>
      </c>
      <c r="X105" s="20">
        <v>5.4800000000000001E-2</v>
      </c>
      <c r="Y105" s="20">
        <v>0.40560000000000002</v>
      </c>
      <c r="Z105" s="20">
        <v>-0.40229999999999999</v>
      </c>
      <c r="AA105" s="20">
        <v>-1.47E-2</v>
      </c>
      <c r="AB105" s="20">
        <v>-7.2800000000000004E-2</v>
      </c>
      <c r="AC105" s="20">
        <v>-5.74E-2</v>
      </c>
      <c r="AD105" s="20">
        <v>-0.1552</v>
      </c>
      <c r="AE105" s="20">
        <v>-7.8E-2</v>
      </c>
      <c r="AF105" s="20">
        <v>0.1129</v>
      </c>
      <c r="AG105" s="20">
        <v>0.1169</v>
      </c>
      <c r="AH105" s="20">
        <v>-7.5700000000000003E-2</v>
      </c>
      <c r="AI105" s="20">
        <v>-7.3200000000000001E-2</v>
      </c>
      <c r="AJ105" s="20">
        <v>0.1842</v>
      </c>
      <c r="AK105" s="20">
        <v>4.8500000000000001E-2</v>
      </c>
      <c r="AL105" s="21">
        <v>0.1235</v>
      </c>
    </row>
    <row r="106" spans="1:38">
      <c r="A106" s="20">
        <v>-0.13969999999999999</v>
      </c>
      <c r="B106" s="20">
        <v>-6.1899999999999997E-2</v>
      </c>
      <c r="C106" s="20">
        <v>5.3199999999999997E-2</v>
      </c>
      <c r="D106" s="20">
        <v>-0.1095</v>
      </c>
      <c r="E106" s="20">
        <v>-0.47099999999999997</v>
      </c>
      <c r="F106" s="20">
        <v>-0.2379</v>
      </c>
      <c r="G106" s="20">
        <v>0.1229</v>
      </c>
      <c r="H106" s="20">
        <v>-1.4E-3</v>
      </c>
      <c r="I106" s="20">
        <v>-0.16120000000000001</v>
      </c>
      <c r="J106" s="20">
        <v>-0.15679999999999999</v>
      </c>
      <c r="K106" s="20">
        <v>-0.14199999999999999</v>
      </c>
      <c r="L106" s="20">
        <v>-6.0100000000000001E-2</v>
      </c>
      <c r="M106" s="20">
        <v>-0.16569999999999999</v>
      </c>
      <c r="N106" s="20">
        <v>-8.7900000000000006E-2</v>
      </c>
      <c r="O106" s="20">
        <v>0.1077</v>
      </c>
      <c r="P106" s="20">
        <v>0.17030000000000001</v>
      </c>
      <c r="Q106" s="20">
        <v>0.22</v>
      </c>
      <c r="R106" s="20">
        <v>-6.8599999999999994E-2</v>
      </c>
      <c r="S106" s="20">
        <v>0.1686</v>
      </c>
      <c r="T106" s="20">
        <v>-0.1469</v>
      </c>
      <c r="U106" s="20">
        <v>-6.93E-2</v>
      </c>
      <c r="V106" s="20">
        <v>0.1429</v>
      </c>
      <c r="W106" s="20">
        <v>0.4713</v>
      </c>
      <c r="X106" s="20">
        <v>6.3200000000000006E-2</v>
      </c>
      <c r="Y106" s="20">
        <v>0.1048</v>
      </c>
      <c r="Z106" s="20">
        <v>0.21440000000000001</v>
      </c>
      <c r="AA106" s="20">
        <v>0.2487</v>
      </c>
      <c r="AB106" s="20">
        <v>4.4000000000000003E-3</v>
      </c>
      <c r="AC106" s="20">
        <v>5.21E-2</v>
      </c>
      <c r="AD106" s="20">
        <v>5.6500000000000002E-2</v>
      </c>
      <c r="AE106" s="20">
        <v>3.0599999999999999E-2</v>
      </c>
      <c r="AF106" s="20">
        <v>-5.7700000000000001E-2</v>
      </c>
      <c r="AG106" s="20">
        <v>-1.0999999999999999E-2</v>
      </c>
      <c r="AH106" s="20">
        <v>1.5100000000000001E-2</v>
      </c>
      <c r="AI106" s="20">
        <v>-0.1542</v>
      </c>
      <c r="AJ106" s="20">
        <v>2.7E-2</v>
      </c>
      <c r="AK106" s="20">
        <v>-5.3800000000000001E-2</v>
      </c>
      <c r="AL106" s="21">
        <v>8.3000000000000004E-2</v>
      </c>
    </row>
    <row r="107" spans="1:38">
      <c r="A107" s="20">
        <v>0.2296</v>
      </c>
      <c r="B107" s="20">
        <v>-0.21959999999999999</v>
      </c>
      <c r="C107" s="20">
        <v>0.26300000000000001</v>
      </c>
      <c r="D107" s="20">
        <v>0.24709999999999999</v>
      </c>
      <c r="E107" s="20">
        <v>-1.5599999999999999E-2</v>
      </c>
      <c r="F107" s="20">
        <v>-0.3337</v>
      </c>
      <c r="G107" s="20">
        <v>-7.2099999999999997E-2</v>
      </c>
      <c r="H107" s="20">
        <v>0.29709999999999998</v>
      </c>
      <c r="I107" s="20">
        <v>-2.52E-2</v>
      </c>
      <c r="J107" s="20">
        <v>0.2303</v>
      </c>
      <c r="K107" s="20">
        <v>0.33929999999999999</v>
      </c>
      <c r="L107" s="20">
        <v>0.28699999999999998</v>
      </c>
      <c r="M107" s="20">
        <v>-0.1202</v>
      </c>
      <c r="N107" s="20">
        <v>-2.87E-2</v>
      </c>
      <c r="O107" s="20">
        <v>-6.9099999999999995E-2</v>
      </c>
      <c r="P107" s="20">
        <v>-0.15210000000000001</v>
      </c>
      <c r="Q107" s="20">
        <v>-0.13250000000000001</v>
      </c>
      <c r="R107" s="20">
        <v>2.0299999999999999E-2</v>
      </c>
      <c r="S107" s="20">
        <v>0.17760000000000001</v>
      </c>
      <c r="T107" s="20">
        <v>8.8900000000000007E-2</v>
      </c>
      <c r="U107" s="20">
        <v>1.6299999999999999E-2</v>
      </c>
      <c r="V107" s="20">
        <v>-0.1356</v>
      </c>
      <c r="W107" s="20">
        <v>-1.9099999999999999E-2</v>
      </c>
      <c r="X107" s="20">
        <v>-4.9000000000000002E-2</v>
      </c>
      <c r="Y107" s="20">
        <v>1.6299999999999999E-2</v>
      </c>
      <c r="Z107" s="20">
        <v>-0.30170000000000002</v>
      </c>
      <c r="AA107" s="20">
        <v>0.1129</v>
      </c>
      <c r="AB107" s="20">
        <v>-0.16520000000000001</v>
      </c>
      <c r="AC107" s="20">
        <v>-2.4299999999999999E-2</v>
      </c>
      <c r="AD107" s="20">
        <v>-2.8000000000000001E-2</v>
      </c>
      <c r="AE107" s="20">
        <v>7.6999999999999999E-2</v>
      </c>
      <c r="AF107" s="20">
        <v>-1.7500000000000002E-2</v>
      </c>
      <c r="AG107" s="20">
        <v>-9.3799999999999994E-2</v>
      </c>
      <c r="AH107" s="20">
        <v>-0.1265</v>
      </c>
      <c r="AI107" s="20">
        <v>-1.9400000000000001E-2</v>
      </c>
      <c r="AJ107" s="20">
        <v>-5.8599999999999999E-2</v>
      </c>
      <c r="AK107" s="20">
        <v>-0.14580000000000001</v>
      </c>
      <c r="AL107" s="21">
        <v>-4.1300000000000003E-2</v>
      </c>
    </row>
    <row r="108" spans="1:38">
      <c r="A108" s="20">
        <v>0.29680000000000001</v>
      </c>
      <c r="B108" s="20">
        <v>-0.31680000000000003</v>
      </c>
      <c r="C108" s="20">
        <v>0.19439999999999999</v>
      </c>
      <c r="D108" s="20">
        <v>3.2500000000000001E-2</v>
      </c>
      <c r="E108" s="20">
        <v>-0.1633</v>
      </c>
      <c r="F108" s="20">
        <v>-0.24610000000000001</v>
      </c>
      <c r="G108" s="20">
        <v>-0.23630000000000001</v>
      </c>
      <c r="H108" s="20">
        <v>-0.15479999999999999</v>
      </c>
      <c r="I108" s="20">
        <v>-3.56E-2</v>
      </c>
      <c r="J108" s="20">
        <v>0.15570000000000001</v>
      </c>
      <c r="K108" s="20">
        <v>-5.16E-2</v>
      </c>
      <c r="L108" s="20">
        <v>0.1482</v>
      </c>
      <c r="M108" s="20">
        <v>-5.8700000000000002E-2</v>
      </c>
      <c r="N108" s="20">
        <v>-0.20599999999999999</v>
      </c>
      <c r="O108" s="20">
        <v>0.1268</v>
      </c>
      <c r="P108" s="20">
        <v>5.6500000000000002E-2</v>
      </c>
      <c r="Q108" s="20">
        <v>-2.58E-2</v>
      </c>
      <c r="R108" s="20">
        <v>0.1166</v>
      </c>
      <c r="S108" s="20">
        <v>-9.2999999999999999E-2</v>
      </c>
      <c r="T108" s="20">
        <v>0.1037</v>
      </c>
      <c r="U108" s="20">
        <v>4.5400000000000003E-2</v>
      </c>
      <c r="V108" s="20">
        <v>0.1255</v>
      </c>
      <c r="W108" s="20">
        <v>0.10680000000000001</v>
      </c>
      <c r="X108" s="20">
        <v>2.0500000000000001E-2</v>
      </c>
      <c r="Y108" s="20">
        <v>5.6099999999999997E-2</v>
      </c>
      <c r="Z108" s="20">
        <v>-0.45469999999999999</v>
      </c>
      <c r="AA108" s="20">
        <v>-1.6500000000000001E-2</v>
      </c>
      <c r="AB108" s="20">
        <v>0.04</v>
      </c>
      <c r="AC108" s="20">
        <v>-2.2200000000000001E-2</v>
      </c>
      <c r="AD108" s="20">
        <v>-0.20469999999999999</v>
      </c>
      <c r="AE108" s="20">
        <v>0.1308</v>
      </c>
      <c r="AF108" s="20">
        <v>0.27410000000000001</v>
      </c>
      <c r="AG108" s="20">
        <v>0.15</v>
      </c>
      <c r="AH108" s="20">
        <v>-1.9099999999999999E-2</v>
      </c>
      <c r="AI108" s="20">
        <v>-0.1041</v>
      </c>
      <c r="AJ108" s="20">
        <v>0.20250000000000001</v>
      </c>
      <c r="AK108" s="20">
        <v>-3.0700000000000002E-2</v>
      </c>
      <c r="AL108" s="21">
        <v>7.0699999999999999E-2</v>
      </c>
    </row>
    <row r="109" spans="1:38">
      <c r="A109" s="20">
        <v>1.04E-2</v>
      </c>
      <c r="B109" s="20">
        <v>-0.1381</v>
      </c>
      <c r="C109" s="20">
        <v>0.2457</v>
      </c>
      <c r="D109" s="20">
        <v>0.15989999999999999</v>
      </c>
      <c r="E109" s="20">
        <v>0.1069</v>
      </c>
      <c r="F109" s="20">
        <v>-0.15609999999999999</v>
      </c>
      <c r="G109" s="20">
        <v>-0.20630000000000001</v>
      </c>
      <c r="H109" s="20">
        <v>9.3700000000000006E-2</v>
      </c>
      <c r="I109" s="20">
        <v>-6.6E-3</v>
      </c>
      <c r="J109" s="20">
        <v>7.0800000000000002E-2</v>
      </c>
      <c r="K109" s="20">
        <v>0.1023</v>
      </c>
      <c r="L109" s="20">
        <v>0.40760000000000002</v>
      </c>
      <c r="M109" s="20">
        <v>-0.16900000000000001</v>
      </c>
      <c r="N109" s="20">
        <v>3.5999999999999997E-2</v>
      </c>
      <c r="O109" s="20">
        <v>0.20530000000000001</v>
      </c>
      <c r="P109" s="20">
        <v>-0.23680000000000001</v>
      </c>
      <c r="Q109" s="20">
        <v>-0.37769999999999998</v>
      </c>
      <c r="R109" s="20">
        <v>1.6199999999999999E-2</v>
      </c>
      <c r="S109" s="20">
        <v>5.3800000000000001E-2</v>
      </c>
      <c r="T109" s="20">
        <v>4.87E-2</v>
      </c>
      <c r="U109" s="20">
        <v>0.12740000000000001</v>
      </c>
      <c r="V109" s="20">
        <v>6.5500000000000003E-2</v>
      </c>
      <c r="W109" s="20">
        <v>3.1E-2</v>
      </c>
      <c r="X109" s="20">
        <v>0.29060000000000002</v>
      </c>
      <c r="Y109" s="20">
        <v>4.5900000000000003E-2</v>
      </c>
      <c r="Z109" s="20">
        <v>-0.3201</v>
      </c>
      <c r="AA109" s="20">
        <v>-6.5500000000000003E-2</v>
      </c>
      <c r="AB109" s="20">
        <v>-0.19850000000000001</v>
      </c>
      <c r="AC109" s="20">
        <v>-3.7600000000000001E-2</v>
      </c>
      <c r="AD109" s="20">
        <v>-4.5699999999999998E-2</v>
      </c>
      <c r="AE109" s="20">
        <v>1.7299999999999999E-2</v>
      </c>
      <c r="AF109" s="20">
        <v>-7.6100000000000001E-2</v>
      </c>
      <c r="AG109" s="20">
        <v>-1.6199999999999999E-2</v>
      </c>
      <c r="AH109" s="20">
        <v>-0.24010000000000001</v>
      </c>
      <c r="AI109" s="20">
        <v>2.4400000000000002E-2</v>
      </c>
      <c r="AJ109" s="20">
        <v>0.13550000000000001</v>
      </c>
      <c r="AK109" s="20">
        <v>-6.88E-2</v>
      </c>
      <c r="AL109" s="21">
        <v>6.6799999999999998E-2</v>
      </c>
    </row>
    <row r="110" spans="1:38">
      <c r="A110" s="20">
        <v>0.4632</v>
      </c>
      <c r="B110" s="20">
        <v>-0.1993</v>
      </c>
      <c r="C110" s="20">
        <v>-0.2293</v>
      </c>
      <c r="D110" s="20">
        <v>0.4027</v>
      </c>
      <c r="E110" s="20">
        <v>-5.5199999999999999E-2</v>
      </c>
      <c r="F110" s="20">
        <v>9.4700000000000006E-2</v>
      </c>
      <c r="G110" s="20">
        <v>-0.217</v>
      </c>
      <c r="H110" s="20">
        <v>-0.3916</v>
      </c>
      <c r="I110" s="20">
        <v>3.4200000000000001E-2</v>
      </c>
      <c r="J110" s="20">
        <v>-0.2392</v>
      </c>
      <c r="K110" s="20">
        <v>0.12429999999999999</v>
      </c>
      <c r="L110" s="20">
        <v>3.2099999999999997E-2</v>
      </c>
      <c r="M110" s="20">
        <v>3.4599999999999999E-2</v>
      </c>
      <c r="N110" s="20">
        <v>-5.5199999999999999E-2</v>
      </c>
      <c r="O110" s="20">
        <v>5.5599999999999997E-2</v>
      </c>
      <c r="P110" s="20">
        <v>-2.2200000000000001E-2</v>
      </c>
      <c r="Q110" s="20">
        <v>-0.20419999999999999</v>
      </c>
      <c r="R110" s="20">
        <v>0.17</v>
      </c>
      <c r="S110" s="20">
        <v>-9.8799999999999999E-2</v>
      </c>
      <c r="T110" s="20">
        <v>-0.14000000000000001</v>
      </c>
      <c r="U110" s="20">
        <v>-7.7399999999999997E-2</v>
      </c>
      <c r="V110" s="20">
        <v>8.6099999999999996E-2</v>
      </c>
      <c r="W110" s="20">
        <v>2.1399999999999999E-2</v>
      </c>
      <c r="X110" s="20">
        <v>-5.4800000000000001E-2</v>
      </c>
      <c r="Y110" s="20">
        <v>0.1507</v>
      </c>
      <c r="Z110" s="20">
        <v>-6.0499999999999998E-2</v>
      </c>
      <c r="AA110" s="20">
        <v>-3.0499999999999999E-2</v>
      </c>
      <c r="AB110" s="20">
        <v>-9.9000000000000008E-3</v>
      </c>
      <c r="AC110" s="20">
        <v>5.9700000000000003E-2</v>
      </c>
      <c r="AD110" s="20">
        <v>5.9299999999999999E-2</v>
      </c>
      <c r="AE110" s="20">
        <v>0.21199999999999999</v>
      </c>
      <c r="AF110" s="20">
        <v>-6.2600000000000003E-2</v>
      </c>
      <c r="AG110" s="20">
        <v>1.03E-2</v>
      </c>
      <c r="AH110" s="20">
        <v>2.5499999999999998E-2</v>
      </c>
      <c r="AI110" s="20">
        <v>-4.9000000000000002E-2</v>
      </c>
      <c r="AJ110" s="20">
        <v>7.4899999999999994E-2</v>
      </c>
      <c r="AK110" s="20">
        <v>0.15229999999999999</v>
      </c>
      <c r="AL110" s="21">
        <v>-6.0499999999999998E-2</v>
      </c>
    </row>
    <row r="111" spans="1:38">
      <c r="A111" s="20">
        <v>-0.11360000000000001</v>
      </c>
      <c r="B111" s="20">
        <v>0.10879999999999999</v>
      </c>
      <c r="C111" s="20">
        <v>0.51690000000000003</v>
      </c>
      <c r="D111" s="20">
        <v>3.8600000000000002E-2</v>
      </c>
      <c r="E111" s="20">
        <v>0.1115</v>
      </c>
      <c r="F111" s="20">
        <v>-0.22919999999999999</v>
      </c>
      <c r="G111" s="20">
        <v>0.20930000000000001</v>
      </c>
      <c r="H111" s="20">
        <v>0.1595</v>
      </c>
      <c r="I111" s="20">
        <v>-0.16339999999999999</v>
      </c>
      <c r="J111" s="20">
        <v>3.8999999999999998E-3</v>
      </c>
      <c r="K111" s="20">
        <v>-9.0899999999999995E-2</v>
      </c>
      <c r="L111" s="20">
        <v>-0.43759999999999999</v>
      </c>
      <c r="M111" s="20">
        <v>-9.3700000000000006E-2</v>
      </c>
      <c r="N111" s="20">
        <v>0.10100000000000001</v>
      </c>
      <c r="O111" s="20">
        <v>0.22189999999999999</v>
      </c>
      <c r="P111" s="20">
        <v>0.14560000000000001</v>
      </c>
      <c r="Q111" s="20">
        <v>0.11310000000000001</v>
      </c>
      <c r="R111" s="20">
        <v>0.1547</v>
      </c>
      <c r="S111" s="20">
        <v>1.6500000000000001E-2</v>
      </c>
      <c r="T111" s="20">
        <v>-8.9599999999999999E-2</v>
      </c>
      <c r="U111" s="20">
        <v>-2.4E-2</v>
      </c>
      <c r="V111" s="20">
        <v>6.6500000000000004E-2</v>
      </c>
      <c r="W111" s="20">
        <v>-0.10009999999999999</v>
      </c>
      <c r="X111" s="20">
        <v>-6.4199999999999993E-2</v>
      </c>
      <c r="Y111" s="20">
        <v>-0.04</v>
      </c>
      <c r="Z111" s="20">
        <v>-0.1163</v>
      </c>
      <c r="AA111" s="20">
        <v>-0.13869999999999999</v>
      </c>
      <c r="AB111" s="20">
        <v>-0.1341</v>
      </c>
      <c r="AC111" s="20">
        <v>0.18010000000000001</v>
      </c>
      <c r="AD111" s="20">
        <v>-0.10970000000000001</v>
      </c>
      <c r="AE111" s="20">
        <v>-4.2700000000000002E-2</v>
      </c>
      <c r="AF111" s="20">
        <v>-3.3999999999999998E-3</v>
      </c>
      <c r="AG111" s="20">
        <v>-0.10440000000000001</v>
      </c>
      <c r="AH111" s="20">
        <v>1.12E-2</v>
      </c>
      <c r="AI111" s="20">
        <v>-0.24890000000000001</v>
      </c>
      <c r="AJ111" s="20">
        <v>0.1227</v>
      </c>
      <c r="AK111" s="20">
        <v>-1.03E-2</v>
      </c>
      <c r="AL111" s="21">
        <v>7.4499999999999997E-2</v>
      </c>
    </row>
    <row r="112" spans="1:38">
      <c r="A112" s="20">
        <v>-4.87E-2</v>
      </c>
      <c r="B112" s="20">
        <v>-0.27979999999999999</v>
      </c>
      <c r="C112" s="20">
        <v>0.24410000000000001</v>
      </c>
      <c r="D112" s="20">
        <v>-5.6099999999999997E-2</v>
      </c>
      <c r="E112" s="20">
        <v>0.49180000000000001</v>
      </c>
      <c r="F112" s="20">
        <v>-0.1794</v>
      </c>
      <c r="G112" s="20">
        <v>0.38969999999999999</v>
      </c>
      <c r="H112" s="20">
        <v>-0.1095</v>
      </c>
      <c r="I112" s="20">
        <v>1.37E-2</v>
      </c>
      <c r="J112" s="20">
        <v>0.1366</v>
      </c>
      <c r="K112" s="20">
        <v>-0.17030000000000001</v>
      </c>
      <c r="L112" s="20">
        <v>-0.17580000000000001</v>
      </c>
      <c r="M112" s="20">
        <v>0.1507</v>
      </c>
      <c r="N112" s="20">
        <v>0.19309999999999999</v>
      </c>
      <c r="O112" s="20">
        <v>0.16439999999999999</v>
      </c>
      <c r="P112" s="20">
        <v>3.7699999999999997E-2</v>
      </c>
      <c r="Q112" s="20">
        <v>8.2400000000000001E-2</v>
      </c>
      <c r="R112" s="20">
        <v>6.59E-2</v>
      </c>
      <c r="S112" s="20">
        <v>-0.2104</v>
      </c>
      <c r="T112" s="20">
        <v>-0.13070000000000001</v>
      </c>
      <c r="U112" s="20">
        <v>6.1600000000000002E-2</v>
      </c>
      <c r="V112" s="20">
        <v>-2.1600000000000001E-2</v>
      </c>
      <c r="W112" s="20">
        <v>-7.6100000000000001E-2</v>
      </c>
      <c r="X112" s="20">
        <v>0.1036</v>
      </c>
      <c r="Y112" s="20">
        <v>-6.8699999999999997E-2</v>
      </c>
      <c r="Z112" s="20">
        <v>-0.1091</v>
      </c>
      <c r="AA112" s="20">
        <v>-0.14799999999999999</v>
      </c>
      <c r="AB112" s="20">
        <v>-0.2049</v>
      </c>
      <c r="AC112" s="20">
        <v>-2.5899999999999999E-2</v>
      </c>
      <c r="AD112" s="20">
        <v>-8.9899999999999994E-2</v>
      </c>
      <c r="AE112" s="20">
        <v>4.3999999999999997E-2</v>
      </c>
      <c r="AF112" s="20">
        <v>9.7699999999999995E-2</v>
      </c>
      <c r="AG112" s="20">
        <v>1.49E-2</v>
      </c>
      <c r="AH112" s="20">
        <v>4.5100000000000001E-2</v>
      </c>
      <c r="AI112" s="20">
        <v>-0.1888</v>
      </c>
      <c r="AJ112" s="20">
        <v>-0.1201</v>
      </c>
      <c r="AK112" s="20">
        <v>7.1800000000000003E-2</v>
      </c>
      <c r="AL112" s="21">
        <v>5.1000000000000004E-3</v>
      </c>
    </row>
    <row r="113" spans="1:38">
      <c r="A113" s="20">
        <v>4.4999999999999998E-2</v>
      </c>
      <c r="B113" s="20">
        <v>-0.25280000000000002</v>
      </c>
      <c r="C113" s="20">
        <v>0.2392</v>
      </c>
      <c r="D113" s="20">
        <v>-0.06</v>
      </c>
      <c r="E113" s="20">
        <v>7.0300000000000001E-2</v>
      </c>
      <c r="F113" s="20">
        <v>-0.30380000000000001</v>
      </c>
      <c r="G113" s="20">
        <v>-0.14530000000000001</v>
      </c>
      <c r="H113" s="20">
        <v>-0.12529999999999999</v>
      </c>
      <c r="I113" s="20">
        <v>-5.3499999999999999E-2</v>
      </c>
      <c r="J113" s="20">
        <v>0.3009</v>
      </c>
      <c r="K113" s="20">
        <v>-7.9600000000000004E-2</v>
      </c>
      <c r="L113" s="20">
        <v>-0.10780000000000001</v>
      </c>
      <c r="M113" s="20">
        <v>9.5299999999999996E-2</v>
      </c>
      <c r="N113" s="20">
        <v>0.14990000000000001</v>
      </c>
      <c r="O113" s="20">
        <v>0.16639999999999999</v>
      </c>
      <c r="P113" s="20">
        <v>1.1000000000000001E-3</v>
      </c>
      <c r="Q113" s="20">
        <v>-7.5700000000000003E-2</v>
      </c>
      <c r="R113" s="20">
        <v>3.2800000000000003E-2</v>
      </c>
      <c r="S113" s="20">
        <v>-0.31269999999999998</v>
      </c>
      <c r="T113" s="20">
        <v>0.10349999999999999</v>
      </c>
      <c r="U113" s="20">
        <v>0.12280000000000001</v>
      </c>
      <c r="V113" s="20">
        <v>-6.8900000000000003E-2</v>
      </c>
      <c r="W113" s="20">
        <v>0.10780000000000001</v>
      </c>
      <c r="X113" s="20">
        <v>0.17849999999999999</v>
      </c>
      <c r="Y113" s="20">
        <v>0.21529999999999999</v>
      </c>
      <c r="Z113" s="20">
        <v>-0.31879999999999997</v>
      </c>
      <c r="AA113" s="20">
        <v>1.54E-2</v>
      </c>
      <c r="AB113" s="20">
        <v>-0.1739</v>
      </c>
      <c r="AC113" s="20">
        <v>2.2499999999999999E-2</v>
      </c>
      <c r="AD113" s="20">
        <v>-0.13850000000000001</v>
      </c>
      <c r="AE113" s="20">
        <v>-7.5300000000000006E-2</v>
      </c>
      <c r="AF113" s="20">
        <v>0.1789</v>
      </c>
      <c r="AG113" s="20">
        <v>0.1321</v>
      </c>
      <c r="AH113" s="20">
        <v>-0.14419999999999999</v>
      </c>
      <c r="AI113" s="20">
        <v>-0.20100000000000001</v>
      </c>
      <c r="AJ113" s="20">
        <v>0.1464</v>
      </c>
      <c r="AK113" s="20">
        <v>0.11890000000000001</v>
      </c>
      <c r="AL113" s="21">
        <v>0.19989999999999999</v>
      </c>
    </row>
    <row r="114" spans="1:38">
      <c r="A114" s="20">
        <v>-0.28589999999999999</v>
      </c>
      <c r="B114" s="20">
        <v>-0.21429999999999999</v>
      </c>
      <c r="C114" s="20">
        <v>-0.28810000000000002</v>
      </c>
      <c r="D114" s="20">
        <v>3.5900000000000001E-2</v>
      </c>
      <c r="E114" s="20">
        <v>0.14879999999999999</v>
      </c>
      <c r="F114" s="20">
        <v>0.19259999999999999</v>
      </c>
      <c r="G114" s="20">
        <v>7.1499999999999994E-2</v>
      </c>
      <c r="H114" s="20">
        <v>0.3332</v>
      </c>
      <c r="I114" s="20">
        <v>-0.16669999999999999</v>
      </c>
      <c r="J114" s="20">
        <v>-5.6300000000000003E-2</v>
      </c>
      <c r="K114" s="20">
        <v>-0.27460000000000001</v>
      </c>
      <c r="L114" s="20">
        <v>-3.1899999999999998E-2</v>
      </c>
      <c r="M114" s="20">
        <v>0.22259999999999999</v>
      </c>
      <c r="N114" s="20">
        <v>-0.1047</v>
      </c>
      <c r="O114" s="20">
        <v>-0.1767</v>
      </c>
      <c r="P114" s="20">
        <v>0.16070000000000001</v>
      </c>
      <c r="Q114" s="20">
        <v>-3.3599999999999998E-2</v>
      </c>
      <c r="R114" s="20">
        <v>3.56E-2</v>
      </c>
      <c r="S114" s="20">
        <v>7.1300000000000002E-2</v>
      </c>
      <c r="T114" s="20">
        <v>-0.25840000000000002</v>
      </c>
      <c r="U114" s="20">
        <v>3.5900000000000001E-2</v>
      </c>
      <c r="V114" s="20">
        <v>-0.16750000000000001</v>
      </c>
      <c r="W114" s="20">
        <v>0.1777</v>
      </c>
      <c r="X114" s="20">
        <v>0.11409999999999999</v>
      </c>
      <c r="Y114" s="20">
        <v>0.18090000000000001</v>
      </c>
      <c r="Z114" s="20">
        <v>-0.14410000000000001</v>
      </c>
      <c r="AA114" s="20">
        <v>-0.16819999999999999</v>
      </c>
      <c r="AB114" s="20">
        <v>4.8599999999999997E-2</v>
      </c>
      <c r="AC114" s="20">
        <v>-0.1134</v>
      </c>
      <c r="AD114" s="20">
        <v>0.22359999999999999</v>
      </c>
      <c r="AE114" s="20">
        <v>0.1996</v>
      </c>
      <c r="AF114" s="20">
        <v>5.7299999999999997E-2</v>
      </c>
      <c r="AG114" s="20">
        <v>9.1499999999999998E-2</v>
      </c>
      <c r="AH114" s="20">
        <v>0.17599999999999999</v>
      </c>
      <c r="AI114" s="20">
        <v>-8.3500000000000005E-2</v>
      </c>
      <c r="AJ114" s="20">
        <v>4.19E-2</v>
      </c>
      <c r="AK114" s="20">
        <v>-3.5400000000000001E-2</v>
      </c>
      <c r="AL114" s="21">
        <v>-7.1999999999999998E-3</v>
      </c>
    </row>
    <row r="115" spans="1:38">
      <c r="A115" s="20">
        <v>-1.7100000000000001E-2</v>
      </c>
      <c r="B115" s="20">
        <v>-0.1696</v>
      </c>
      <c r="C115" s="20">
        <v>8.5599999999999996E-2</v>
      </c>
      <c r="D115" s="20">
        <v>0.25459999999999999</v>
      </c>
      <c r="E115" s="20">
        <v>0.1449</v>
      </c>
      <c r="F115" s="20">
        <v>-3.61E-2</v>
      </c>
      <c r="G115" s="20">
        <v>9.11E-2</v>
      </c>
      <c r="H115" s="20">
        <v>0.31969999999999998</v>
      </c>
      <c r="I115" s="20">
        <v>-0.1656</v>
      </c>
      <c r="J115" s="20">
        <v>-8.3400000000000002E-2</v>
      </c>
      <c r="K115" s="20">
        <v>-0.16320000000000001</v>
      </c>
      <c r="L115" s="20">
        <v>-0.1714</v>
      </c>
      <c r="M115" s="20">
        <v>0.27139999999999997</v>
      </c>
      <c r="N115" s="20">
        <v>8.2500000000000004E-2</v>
      </c>
      <c r="O115" s="20">
        <v>-6.8500000000000005E-2</v>
      </c>
      <c r="P115" s="20">
        <v>4.9500000000000002E-2</v>
      </c>
      <c r="Q115" s="20">
        <v>5.4699999999999999E-2</v>
      </c>
      <c r="R115" s="20">
        <v>7.1499999999999994E-2</v>
      </c>
      <c r="S115" s="20">
        <v>-0.27660000000000001</v>
      </c>
      <c r="T115" s="20">
        <v>-3.5799999999999998E-2</v>
      </c>
      <c r="U115" s="20">
        <v>0.1048</v>
      </c>
      <c r="V115" s="20">
        <v>-0.33339999999999997</v>
      </c>
      <c r="W115" s="20">
        <v>4.3400000000000001E-2</v>
      </c>
      <c r="X115" s="20">
        <v>0.14149999999999999</v>
      </c>
      <c r="Y115" s="20">
        <v>-8.0399999999999999E-2</v>
      </c>
      <c r="Z115" s="20">
        <v>0.1103</v>
      </c>
      <c r="AA115" s="20">
        <v>-1.44E-2</v>
      </c>
      <c r="AB115" s="20">
        <v>0.10730000000000001</v>
      </c>
      <c r="AC115" s="20">
        <v>0.31080000000000002</v>
      </c>
      <c r="AD115" s="20">
        <v>-0.246</v>
      </c>
      <c r="AE115" s="20">
        <v>7.6700000000000004E-2</v>
      </c>
      <c r="AF115" s="20">
        <v>-0.28849999999999998</v>
      </c>
      <c r="AG115" s="20">
        <v>1.47E-2</v>
      </c>
      <c r="AH115" s="20">
        <v>-8.7400000000000005E-2</v>
      </c>
      <c r="AI115" s="20">
        <v>0.17730000000000001</v>
      </c>
      <c r="AJ115" s="20">
        <v>-0.1241</v>
      </c>
      <c r="AK115" s="20">
        <v>1.44E-2</v>
      </c>
      <c r="AL115" s="21">
        <v>-0.16320000000000001</v>
      </c>
    </row>
    <row r="116" spans="1:38">
      <c r="A116" s="20">
        <v>0.2576</v>
      </c>
      <c r="B116" s="20">
        <v>-0.44290000000000002</v>
      </c>
      <c r="C116" s="20">
        <v>0.29210000000000003</v>
      </c>
      <c r="D116" s="20">
        <v>-0.13869999999999999</v>
      </c>
      <c r="E116" s="20">
        <v>0.12189999999999999</v>
      </c>
      <c r="F116" s="20">
        <v>-0.19600000000000001</v>
      </c>
      <c r="G116" s="20">
        <v>-7.3099999999999998E-2</v>
      </c>
      <c r="H116" s="20">
        <v>0.15959999999999999</v>
      </c>
      <c r="I116" s="20">
        <v>-9.5799999999999996E-2</v>
      </c>
      <c r="J116" s="20">
        <v>-0.2034</v>
      </c>
      <c r="K116" s="20">
        <v>0.20749999999999999</v>
      </c>
      <c r="L116" s="20">
        <v>0.2535</v>
      </c>
      <c r="M116" s="20">
        <v>-0.10050000000000001</v>
      </c>
      <c r="N116" s="20">
        <v>-0.25069999999999998</v>
      </c>
      <c r="O116" s="20">
        <v>-3.0200000000000001E-2</v>
      </c>
      <c r="P116" s="20">
        <v>-0.17949999999999999</v>
      </c>
      <c r="Q116" s="20">
        <v>-0.21</v>
      </c>
      <c r="R116" s="20">
        <v>-8.5900000000000004E-2</v>
      </c>
      <c r="S116" s="20">
        <v>0.16889999999999999</v>
      </c>
      <c r="T116" s="20">
        <v>2.2100000000000002E-2</v>
      </c>
      <c r="U116" s="20">
        <v>7.0599999999999996E-2</v>
      </c>
      <c r="V116" s="20">
        <v>5.7500000000000002E-2</v>
      </c>
      <c r="W116" s="20">
        <v>5.9700000000000003E-2</v>
      </c>
      <c r="X116" s="20">
        <v>0.19350000000000001</v>
      </c>
      <c r="Y116" s="20">
        <v>3.8899999999999997E-2</v>
      </c>
      <c r="Z116" s="20">
        <v>-0.23669999999999999</v>
      </c>
      <c r="AA116" s="20">
        <v>-9.5200000000000007E-2</v>
      </c>
      <c r="AB116" s="20">
        <v>-4.3200000000000002E-2</v>
      </c>
      <c r="AC116" s="20">
        <v>-3.7900000000000003E-2</v>
      </c>
      <c r="AD116" s="20">
        <v>8.09E-2</v>
      </c>
      <c r="AE116" s="20">
        <v>0.15210000000000001</v>
      </c>
      <c r="AF116" s="20">
        <v>0.17199999999999999</v>
      </c>
      <c r="AG116" s="20">
        <v>-5.6300000000000003E-2</v>
      </c>
      <c r="AH116" s="20">
        <v>-3.1099999999999999E-2</v>
      </c>
      <c r="AI116" s="20">
        <v>8.4599999999999995E-2</v>
      </c>
      <c r="AJ116" s="20">
        <v>-3.8899999999999997E-2</v>
      </c>
      <c r="AK116" s="20">
        <v>5.0700000000000002E-2</v>
      </c>
      <c r="AL116" s="21">
        <v>0.1026</v>
      </c>
    </row>
    <row r="117" spans="1:38">
      <c r="A117" s="20">
        <v>-0.15740000000000001</v>
      </c>
      <c r="B117" s="20">
        <v>0.24460000000000001</v>
      </c>
      <c r="C117" s="20">
        <v>-0.19969999999999999</v>
      </c>
      <c r="D117" s="20">
        <v>0.41260000000000002</v>
      </c>
      <c r="E117" s="20">
        <v>0.37769999999999998</v>
      </c>
      <c r="F117" s="20">
        <v>6.5299999999999997E-2</v>
      </c>
      <c r="G117" s="20">
        <v>-0.16500000000000001</v>
      </c>
      <c r="H117" s="20">
        <v>0.15559999999999999</v>
      </c>
      <c r="I117" s="20">
        <v>-6.8699999999999997E-2</v>
      </c>
      <c r="J117" s="20">
        <v>-3.95E-2</v>
      </c>
      <c r="K117" s="20">
        <v>-5.9499999999999997E-2</v>
      </c>
      <c r="L117" s="20">
        <v>0.15939999999999999</v>
      </c>
      <c r="M117" s="20">
        <v>-3.3999999999999998E-3</v>
      </c>
      <c r="N117" s="20">
        <v>0.17929999999999999</v>
      </c>
      <c r="O117" s="20">
        <v>-0.1021</v>
      </c>
      <c r="P117" s="20">
        <v>8.5900000000000004E-2</v>
      </c>
      <c r="Q117" s="20">
        <v>0.11360000000000001</v>
      </c>
      <c r="R117" s="20">
        <v>-0.2984</v>
      </c>
      <c r="S117" s="20">
        <v>0.2387</v>
      </c>
      <c r="T117" s="20">
        <v>-0.1925</v>
      </c>
      <c r="U117" s="20">
        <v>-5.3699999999999998E-2</v>
      </c>
      <c r="V117" s="20">
        <v>-0.17710000000000001</v>
      </c>
      <c r="W117" s="20">
        <v>0.1106</v>
      </c>
      <c r="X117" s="20">
        <v>-3.6299999999999999E-2</v>
      </c>
      <c r="Y117" s="20">
        <v>-3.2399999999999998E-2</v>
      </c>
      <c r="Z117" s="20">
        <v>7.0900000000000005E-2</v>
      </c>
      <c r="AA117" s="20">
        <v>-4.8300000000000003E-2</v>
      </c>
      <c r="AB117" s="20">
        <v>0.20150000000000001</v>
      </c>
      <c r="AC117" s="20">
        <v>1.6000000000000001E-3</v>
      </c>
      <c r="AD117" s="20">
        <v>-7.0499999999999993E-2</v>
      </c>
      <c r="AE117" s="20">
        <v>-0.1666</v>
      </c>
      <c r="AF117" s="20">
        <v>-0.1038</v>
      </c>
      <c r="AG117" s="20">
        <v>-8.3500000000000005E-2</v>
      </c>
      <c r="AH117" s="20">
        <v>3.3599999999999998E-2</v>
      </c>
      <c r="AI117" s="20">
        <v>-0.157</v>
      </c>
      <c r="AJ117" s="20">
        <v>5.6099999999999997E-2</v>
      </c>
      <c r="AK117" s="20">
        <v>-0.20830000000000001</v>
      </c>
      <c r="AL117" s="21">
        <v>-7.8700000000000006E-2</v>
      </c>
    </row>
    <row r="118" spans="1:38">
      <c r="A118" s="20">
        <v>0.2203</v>
      </c>
      <c r="B118" s="20">
        <v>-0.43519999999999998</v>
      </c>
      <c r="C118" s="20">
        <v>6.9800000000000001E-2</v>
      </c>
      <c r="D118" s="20">
        <v>-0.48049999999999998</v>
      </c>
      <c r="E118" s="20">
        <v>0.2666</v>
      </c>
      <c r="F118" s="20">
        <v>9.0899999999999995E-2</v>
      </c>
      <c r="G118" s="20">
        <v>1.12E-2</v>
      </c>
      <c r="H118" s="20">
        <v>8.8999999999999999E-3</v>
      </c>
      <c r="I118" s="20">
        <v>6.0600000000000001E-2</v>
      </c>
      <c r="J118" s="20">
        <v>-0.2026</v>
      </c>
      <c r="K118" s="20">
        <v>8.9599999999999999E-2</v>
      </c>
      <c r="L118" s="20">
        <v>5.6899999999999999E-2</v>
      </c>
      <c r="M118" s="20">
        <v>-3.1E-2</v>
      </c>
      <c r="N118" s="20">
        <v>-0.16039999999999999</v>
      </c>
      <c r="O118" s="20">
        <v>-0.24690000000000001</v>
      </c>
      <c r="P118" s="20">
        <v>6.3299999999999995E-2</v>
      </c>
      <c r="Q118" s="20">
        <v>9.8400000000000001E-2</v>
      </c>
      <c r="R118" s="20">
        <v>-2.69E-2</v>
      </c>
      <c r="S118" s="20">
        <v>0.16619999999999999</v>
      </c>
      <c r="T118" s="20">
        <v>3.1E-2</v>
      </c>
      <c r="U118" s="20">
        <v>0.1022</v>
      </c>
      <c r="V118" s="20">
        <v>-0.16819999999999999</v>
      </c>
      <c r="W118" s="20">
        <v>8.6800000000000002E-2</v>
      </c>
      <c r="X118" s="20">
        <v>-1.7000000000000001E-2</v>
      </c>
      <c r="Y118" s="20">
        <v>0.17610000000000001</v>
      </c>
      <c r="Z118" s="20">
        <v>-0.1202</v>
      </c>
      <c r="AA118" s="20">
        <v>-0.13109999999999999</v>
      </c>
      <c r="AB118" s="20">
        <v>2.4199999999999999E-2</v>
      </c>
      <c r="AC118" s="20">
        <v>-0.11310000000000001</v>
      </c>
      <c r="AD118" s="20">
        <v>-2.6599999999999999E-2</v>
      </c>
      <c r="AE118" s="20">
        <v>0.26729999999999998</v>
      </c>
      <c r="AF118" s="20">
        <v>0.1784</v>
      </c>
      <c r="AG118" s="20">
        <v>-0.08</v>
      </c>
      <c r="AH118" s="20">
        <v>-5.4100000000000002E-2</v>
      </c>
      <c r="AI118" s="20">
        <v>-1.67E-2</v>
      </c>
      <c r="AJ118" s="20">
        <v>8.3099999999999993E-2</v>
      </c>
      <c r="AK118" s="20">
        <v>0.12570000000000001</v>
      </c>
      <c r="AL118" s="21">
        <v>3.44E-2</v>
      </c>
    </row>
    <row r="119" spans="1:38">
      <c r="A119" s="20">
        <v>0.57999999999999996</v>
      </c>
      <c r="B119" s="20">
        <v>-0.26869999999999999</v>
      </c>
      <c r="C119" s="20">
        <v>-0.15790000000000001</v>
      </c>
      <c r="D119" s="20">
        <v>-2.2700000000000001E-2</v>
      </c>
      <c r="E119" s="20">
        <v>0.2397</v>
      </c>
      <c r="F119" s="20">
        <v>7.6700000000000004E-2</v>
      </c>
      <c r="G119" s="20">
        <v>1.9900000000000001E-2</v>
      </c>
      <c r="H119" s="20">
        <v>2.6100000000000002E-2</v>
      </c>
      <c r="I119" s="20">
        <v>-0.18010000000000001</v>
      </c>
      <c r="J119" s="20">
        <v>0.11700000000000001</v>
      </c>
      <c r="K119" s="20">
        <v>-0.1988</v>
      </c>
      <c r="L119" s="20">
        <v>0.1767</v>
      </c>
      <c r="M119" s="20">
        <v>-0.16700000000000001</v>
      </c>
      <c r="N119" s="20">
        <v>-0.22550000000000001</v>
      </c>
      <c r="O119" s="20">
        <v>8.2900000000000001E-2</v>
      </c>
      <c r="P119" s="20">
        <v>-0.16470000000000001</v>
      </c>
      <c r="Q119" s="20">
        <v>-0.36919999999999997</v>
      </c>
      <c r="R119" s="20">
        <v>-3.7499999999999999E-2</v>
      </c>
      <c r="S119" s="20">
        <v>-4.6600000000000003E-2</v>
      </c>
      <c r="T119" s="20">
        <v>-2.8E-3</v>
      </c>
      <c r="U119" s="20">
        <v>8.5199999999999998E-2</v>
      </c>
      <c r="V119" s="20">
        <v>0.18970000000000001</v>
      </c>
      <c r="W119" s="20">
        <v>0.1074</v>
      </c>
      <c r="X119" s="20">
        <v>1.7000000000000001E-2</v>
      </c>
      <c r="Y119" s="20">
        <v>7.8399999999999997E-2</v>
      </c>
      <c r="Z119" s="20">
        <v>-0.13289999999999999</v>
      </c>
      <c r="AA119" s="20">
        <v>-5.45E-2</v>
      </c>
      <c r="AB119" s="20">
        <v>7.6700000000000004E-2</v>
      </c>
      <c r="AC119" s="20">
        <v>5.9999999999999995E-4</v>
      </c>
      <c r="AD119" s="20">
        <v>-8.7499999999999994E-2</v>
      </c>
      <c r="AE119" s="20">
        <v>0.13750000000000001</v>
      </c>
      <c r="AF119" s="20">
        <v>1.4800000000000001E-2</v>
      </c>
      <c r="AG119" s="20">
        <v>7.7299999999999994E-2</v>
      </c>
      <c r="AH119" s="20">
        <v>-5.96E-2</v>
      </c>
      <c r="AI119" s="20">
        <v>1.9300000000000001E-2</v>
      </c>
      <c r="AJ119" s="20">
        <v>3.5200000000000002E-2</v>
      </c>
      <c r="AK119" s="20">
        <v>-4.2599999999999999E-2</v>
      </c>
      <c r="AL119" s="21">
        <v>6.7599999999999993E-2</v>
      </c>
    </row>
    <row r="120" spans="1:38">
      <c r="A120" s="20">
        <v>-0.2419</v>
      </c>
      <c r="B120" s="20">
        <v>0.1605</v>
      </c>
      <c r="C120" s="20">
        <v>-0.30680000000000002</v>
      </c>
      <c r="D120" s="20">
        <v>-0.06</v>
      </c>
      <c r="E120" s="20">
        <v>0.1648</v>
      </c>
      <c r="F120" s="20">
        <v>0.16769999999999999</v>
      </c>
      <c r="G120" s="20">
        <v>4.0000000000000002E-4</v>
      </c>
      <c r="H120" s="20">
        <v>-1.8E-3</v>
      </c>
      <c r="I120" s="20">
        <v>-0.39700000000000002</v>
      </c>
      <c r="J120" s="20">
        <v>0.1807</v>
      </c>
      <c r="K120" s="20">
        <v>-4.3499999999999997E-2</v>
      </c>
      <c r="L120" s="20">
        <v>0.24740000000000001</v>
      </c>
      <c r="M120" s="20">
        <v>0.1089</v>
      </c>
      <c r="N120" s="20">
        <v>-0.19109999999999999</v>
      </c>
      <c r="O120" s="20">
        <v>-3.8600000000000002E-2</v>
      </c>
      <c r="P120" s="20">
        <v>2.9000000000000001E-2</v>
      </c>
      <c r="Q120" s="20">
        <v>-0.24829999999999999</v>
      </c>
      <c r="R120" s="20">
        <v>0.28820000000000001</v>
      </c>
      <c r="S120" s="20">
        <v>0.1938</v>
      </c>
      <c r="T120" s="20">
        <v>-8.2000000000000003E-2</v>
      </c>
      <c r="U120" s="20">
        <v>8.3199999999999996E-2</v>
      </c>
      <c r="V120" s="20">
        <v>7.5499999999999998E-2</v>
      </c>
      <c r="W120" s="20">
        <v>-0.12670000000000001</v>
      </c>
      <c r="X120" s="20">
        <v>3.9399999999999998E-2</v>
      </c>
      <c r="Y120" s="20">
        <v>7.5300000000000006E-2</v>
      </c>
      <c r="Z120" s="20">
        <v>-6.6500000000000004E-2</v>
      </c>
      <c r="AA120" s="20">
        <v>9.1399999999999995E-2</v>
      </c>
      <c r="AB120" s="20">
        <v>0.14219999999999999</v>
      </c>
      <c r="AC120" s="20">
        <v>0.14319999999999999</v>
      </c>
      <c r="AD120" s="20">
        <v>-0.1046</v>
      </c>
      <c r="AE120" s="20">
        <v>-0.10829999999999999</v>
      </c>
      <c r="AF120" s="20">
        <v>-0.33600000000000002</v>
      </c>
      <c r="AG120" s="20">
        <v>-0.14949999999999999</v>
      </c>
      <c r="AH120" s="20">
        <v>0.08</v>
      </c>
      <c r="AI120" s="20">
        <v>8.3000000000000004E-2</v>
      </c>
      <c r="AJ120" s="20">
        <v>7.1999999999999995E-2</v>
      </c>
      <c r="AK120" s="20">
        <v>5.9400000000000001E-2</v>
      </c>
      <c r="AL120" s="21">
        <v>1.6500000000000001E-2</v>
      </c>
    </row>
    <row r="121" spans="1:38">
      <c r="A121" s="20">
        <v>1.84E-2</v>
      </c>
      <c r="B121" s="20">
        <v>-8.9899999999999994E-2</v>
      </c>
      <c r="C121" s="20">
        <v>9.8299999999999998E-2</v>
      </c>
      <c r="D121" s="20">
        <v>-7.8899999999999998E-2</v>
      </c>
      <c r="E121" s="20">
        <v>-0.19409999999999999</v>
      </c>
      <c r="F121" s="20">
        <v>-0.3342</v>
      </c>
      <c r="G121" s="20">
        <v>0.1027</v>
      </c>
      <c r="H121" s="20">
        <v>0.13339999999999999</v>
      </c>
      <c r="I121" s="20">
        <v>-0.21840000000000001</v>
      </c>
      <c r="J121" s="20">
        <v>-3.2800000000000003E-2</v>
      </c>
      <c r="K121" s="20">
        <v>-3.7100000000000001E-2</v>
      </c>
      <c r="L121" s="20">
        <v>-8.0399999999999999E-2</v>
      </c>
      <c r="M121" s="20">
        <v>5.4800000000000001E-2</v>
      </c>
      <c r="N121" s="20">
        <v>-8.9899999999999994E-2</v>
      </c>
      <c r="O121" s="20">
        <v>0.115</v>
      </c>
      <c r="P121" s="20">
        <v>0.1163</v>
      </c>
      <c r="Q121" s="20">
        <v>5.28E-2</v>
      </c>
      <c r="R121" s="20">
        <v>-5.6300000000000003E-2</v>
      </c>
      <c r="S121" s="20">
        <v>0.22589999999999999</v>
      </c>
      <c r="T121" s="20">
        <v>-0.2361</v>
      </c>
      <c r="U121" s="20">
        <v>8.8099999999999998E-2</v>
      </c>
      <c r="V121" s="20">
        <v>-0.18129999999999999</v>
      </c>
      <c r="W121" s="20">
        <v>-2.6100000000000002E-2</v>
      </c>
      <c r="X121" s="20">
        <v>0.24709999999999999</v>
      </c>
      <c r="Y121" s="20">
        <v>0.157</v>
      </c>
      <c r="Z121" s="20">
        <v>0.25659999999999999</v>
      </c>
      <c r="AA121" s="20">
        <v>0.24429999999999999</v>
      </c>
      <c r="AB121" s="20">
        <v>-0.1037</v>
      </c>
      <c r="AC121" s="20">
        <v>0.26300000000000001</v>
      </c>
      <c r="AD121" s="20">
        <v>-1.66E-2</v>
      </c>
      <c r="AE121" s="20">
        <v>-0.19489999999999999</v>
      </c>
      <c r="AF121" s="20">
        <v>0.16489999999999999</v>
      </c>
      <c r="AG121" s="20">
        <v>-9.4E-2</v>
      </c>
      <c r="AH121" s="20">
        <v>0.1181</v>
      </c>
      <c r="AI121" s="20">
        <v>-0.3014</v>
      </c>
      <c r="AJ121" s="20">
        <v>-0.24709999999999999</v>
      </c>
      <c r="AK121" s="20">
        <v>1.3299999999999999E-2</v>
      </c>
      <c r="AL121" s="21">
        <v>0.13389999999999999</v>
      </c>
    </row>
    <row r="122" spans="1:38">
      <c r="A122" s="20">
        <v>-0.15570000000000001</v>
      </c>
      <c r="B122" s="20">
        <v>0.18079999999999999</v>
      </c>
      <c r="C122" s="20">
        <v>-8.4599999999999995E-2</v>
      </c>
      <c r="D122" s="20">
        <v>-0.1908</v>
      </c>
      <c r="E122" s="20">
        <v>-0.1132</v>
      </c>
      <c r="F122" s="20">
        <v>-0.105</v>
      </c>
      <c r="G122" s="20">
        <v>0.20150000000000001</v>
      </c>
      <c r="H122" s="20">
        <v>8.5699999999999998E-2</v>
      </c>
      <c r="I122" s="20">
        <v>-0.1227</v>
      </c>
      <c r="J122" s="20">
        <v>-0.15640000000000001</v>
      </c>
      <c r="K122" s="20">
        <v>-9.2499999999999999E-2</v>
      </c>
      <c r="L122" s="20">
        <v>-0.10059999999999999</v>
      </c>
      <c r="M122" s="20">
        <v>-0.12180000000000001</v>
      </c>
      <c r="N122" s="20">
        <v>-0.24629999999999999</v>
      </c>
      <c r="O122" s="20">
        <v>0.1057</v>
      </c>
      <c r="P122" s="20">
        <v>-0.15060000000000001</v>
      </c>
      <c r="Q122" s="20">
        <v>0.13009999999999999</v>
      </c>
      <c r="R122" s="20">
        <v>1.7899999999999999E-2</v>
      </c>
      <c r="S122" s="20">
        <v>0.43409999999999999</v>
      </c>
      <c r="T122" s="20">
        <v>-0.13150000000000001</v>
      </c>
      <c r="U122" s="20">
        <v>0.15759999999999999</v>
      </c>
      <c r="V122" s="20">
        <v>-5.3E-3</v>
      </c>
      <c r="W122" s="20">
        <v>4.6699999999999998E-2</v>
      </c>
      <c r="X122" s="20">
        <v>0.1996</v>
      </c>
      <c r="Y122" s="20">
        <v>0.17710000000000001</v>
      </c>
      <c r="Z122" s="20">
        <v>9.5500000000000002E-2</v>
      </c>
      <c r="AA122" s="20">
        <v>0.42220000000000002</v>
      </c>
      <c r="AB122" s="20">
        <v>0.15759999999999999</v>
      </c>
      <c r="AC122" s="20">
        <v>-7.1999999999999998E-3</v>
      </c>
      <c r="AD122" s="20">
        <v>-9.9500000000000005E-2</v>
      </c>
      <c r="AE122" s="20">
        <v>-0.13039999999999999</v>
      </c>
      <c r="AF122" s="20">
        <v>5.8999999999999997E-2</v>
      </c>
      <c r="AG122" s="20">
        <v>-1.9300000000000001E-2</v>
      </c>
      <c r="AH122" s="20">
        <v>-5.0200000000000002E-2</v>
      </c>
      <c r="AI122" s="20">
        <v>-0.11799999999999999</v>
      </c>
      <c r="AJ122" s="20">
        <v>-0.11550000000000001</v>
      </c>
      <c r="AK122" s="20">
        <v>8.4400000000000003E-2</v>
      </c>
      <c r="AL122" s="21">
        <v>-0.24310000000000001</v>
      </c>
    </row>
    <row r="123" spans="1:38">
      <c r="A123" s="20">
        <v>0.60050000000000003</v>
      </c>
      <c r="B123" s="20">
        <v>-0.14580000000000001</v>
      </c>
      <c r="C123" s="20">
        <v>-0.17660000000000001</v>
      </c>
      <c r="D123" s="20">
        <v>-0.17150000000000001</v>
      </c>
      <c r="E123" s="20">
        <v>3.9300000000000002E-2</v>
      </c>
      <c r="F123" s="20">
        <v>4.3E-3</v>
      </c>
      <c r="G123" s="20">
        <v>-0.2767</v>
      </c>
      <c r="H123" s="20">
        <v>0.05</v>
      </c>
      <c r="I123" s="20">
        <v>2.01E-2</v>
      </c>
      <c r="J123" s="20">
        <v>0.1595</v>
      </c>
      <c r="K123" s="20">
        <v>-0.11119999999999999</v>
      </c>
      <c r="L123" s="20">
        <v>4.19E-2</v>
      </c>
      <c r="M123" s="20">
        <v>-0.10050000000000001</v>
      </c>
      <c r="N123" s="20">
        <v>-0.17879999999999999</v>
      </c>
      <c r="O123" s="20">
        <v>-9.5799999999999996E-2</v>
      </c>
      <c r="P123" s="20">
        <v>-1.6999999999999999E-3</v>
      </c>
      <c r="Q123" s="20">
        <v>-0.1031</v>
      </c>
      <c r="R123" s="20">
        <v>7.1400000000000005E-2</v>
      </c>
      <c r="S123" s="20">
        <v>3.7600000000000001E-2</v>
      </c>
      <c r="T123" s="20">
        <v>-2.6499999999999999E-2</v>
      </c>
      <c r="U123" s="20">
        <v>0.36780000000000002</v>
      </c>
      <c r="V123" s="20">
        <v>-4.2299999999999997E-2</v>
      </c>
      <c r="W123" s="20">
        <v>1.15E-2</v>
      </c>
      <c r="X123" s="20">
        <v>-7.4399999999999994E-2</v>
      </c>
      <c r="Y123" s="20">
        <v>0.2369</v>
      </c>
      <c r="Z123" s="20">
        <v>4.3200000000000002E-2</v>
      </c>
      <c r="AA123" s="20">
        <v>-0.15529999999999999</v>
      </c>
      <c r="AB123" s="20">
        <v>0.1198</v>
      </c>
      <c r="AC123" s="20">
        <v>-6.1600000000000002E-2</v>
      </c>
      <c r="AD123" s="20">
        <v>-4.7000000000000002E-3</v>
      </c>
      <c r="AE123" s="20">
        <v>-3.5099999999999999E-2</v>
      </c>
      <c r="AF123" s="20">
        <v>6.9699999999999998E-2</v>
      </c>
      <c r="AG123" s="20">
        <v>7.0099999999999996E-2</v>
      </c>
      <c r="AH123" s="20">
        <v>-0.25019999999999998</v>
      </c>
      <c r="AI123" s="20">
        <v>-2.6100000000000002E-2</v>
      </c>
      <c r="AJ123" s="20">
        <v>8.1299999999999997E-2</v>
      </c>
      <c r="AK123" s="20">
        <v>-0.13730000000000001</v>
      </c>
      <c r="AL123" s="21">
        <v>0.15820000000000001</v>
      </c>
    </row>
    <row r="124" spans="1:38">
      <c r="A124" s="20">
        <v>-0.15229999999999999</v>
      </c>
      <c r="B124" s="20">
        <v>3.7499999999999999E-2</v>
      </c>
      <c r="C124" s="20">
        <v>0.43690000000000001</v>
      </c>
      <c r="D124" s="20">
        <v>0.15190000000000001</v>
      </c>
      <c r="E124" s="20">
        <v>6.8699999999999997E-2</v>
      </c>
      <c r="F124" s="20">
        <v>0.12520000000000001</v>
      </c>
      <c r="G124" s="20">
        <v>0.19950000000000001</v>
      </c>
      <c r="H124" s="20">
        <v>-0.35659999999999997</v>
      </c>
      <c r="I124" s="20">
        <v>6.9099999999999995E-2</v>
      </c>
      <c r="J124" s="20">
        <v>-7.9100000000000004E-2</v>
      </c>
      <c r="K124" s="20">
        <v>-0.2482</v>
      </c>
      <c r="L124" s="20">
        <v>-2.9700000000000001E-2</v>
      </c>
      <c r="M124" s="20">
        <v>-0.1159</v>
      </c>
      <c r="N124" s="20">
        <v>0.24959999999999999</v>
      </c>
      <c r="O124" s="20">
        <v>1.9E-3</v>
      </c>
      <c r="P124" s="20">
        <v>0.1074</v>
      </c>
      <c r="Q124" s="20">
        <v>-5.1299999999999998E-2</v>
      </c>
      <c r="R124" s="20">
        <v>-0.21029999999999999</v>
      </c>
      <c r="S124" s="20">
        <v>-6.13E-2</v>
      </c>
      <c r="T124" s="20">
        <v>0.16350000000000001</v>
      </c>
      <c r="U124" s="20">
        <v>0.2069</v>
      </c>
      <c r="V124" s="20">
        <v>0.11890000000000001</v>
      </c>
      <c r="W124" s="20">
        <v>-3.7499999999999999E-2</v>
      </c>
      <c r="X124" s="20">
        <v>-7.3200000000000001E-2</v>
      </c>
      <c r="Y124" s="20">
        <v>-0.1865</v>
      </c>
      <c r="Z124" s="20">
        <v>-1.41E-2</v>
      </c>
      <c r="AA124" s="20">
        <v>-1.34E-2</v>
      </c>
      <c r="AB124" s="20">
        <v>-5.5399999999999998E-2</v>
      </c>
      <c r="AC124" s="20">
        <v>-0.12820000000000001</v>
      </c>
      <c r="AD124" s="20">
        <v>0.19500000000000001</v>
      </c>
      <c r="AE124" s="20">
        <v>1.34E-2</v>
      </c>
      <c r="AF124" s="20">
        <v>-7.9500000000000001E-2</v>
      </c>
      <c r="AG124" s="20">
        <v>-0.31580000000000003</v>
      </c>
      <c r="AH124" s="20">
        <v>-0.224</v>
      </c>
      <c r="AI124" s="20">
        <v>5.28E-2</v>
      </c>
      <c r="AJ124" s="20">
        <v>4.0899999999999999E-2</v>
      </c>
      <c r="AK124" s="20">
        <v>0.1133</v>
      </c>
      <c r="AL124" s="21">
        <v>7.6899999999999996E-2</v>
      </c>
    </row>
    <row r="125" spans="1:38">
      <c r="A125" s="20">
        <v>0.5484</v>
      </c>
      <c r="B125" s="20">
        <v>-0.23250000000000001</v>
      </c>
      <c r="C125" s="20">
        <v>-2.53E-2</v>
      </c>
      <c r="D125" s="20">
        <v>-0.37019999999999997</v>
      </c>
      <c r="E125" s="20">
        <v>0.21079999999999999</v>
      </c>
      <c r="F125" s="20">
        <v>-0.2457</v>
      </c>
      <c r="G125" s="20">
        <v>0.1246</v>
      </c>
      <c r="H125" s="20">
        <v>-3.9E-2</v>
      </c>
      <c r="I125" s="20">
        <v>-2.46E-2</v>
      </c>
      <c r="J125" s="20">
        <v>7.1400000000000005E-2</v>
      </c>
      <c r="K125" s="20">
        <v>6.2899999999999998E-2</v>
      </c>
      <c r="L125" s="20">
        <v>-0.1143</v>
      </c>
      <c r="M125" s="20">
        <v>5.9700000000000003E-2</v>
      </c>
      <c r="N125" s="20">
        <v>6.3E-3</v>
      </c>
      <c r="O125" s="20">
        <v>0.24229999999999999</v>
      </c>
      <c r="P125" s="20">
        <v>0.12720000000000001</v>
      </c>
      <c r="Q125" s="20">
        <v>-5.6500000000000002E-2</v>
      </c>
      <c r="R125" s="20">
        <v>0.1487</v>
      </c>
      <c r="S125" s="20">
        <v>-7.9500000000000001E-2</v>
      </c>
      <c r="T125" s="20">
        <v>-2.75E-2</v>
      </c>
      <c r="U125" s="20">
        <v>-0.1762</v>
      </c>
      <c r="V125" s="20">
        <v>6.8000000000000005E-2</v>
      </c>
      <c r="W125" s="20">
        <v>6.6299999999999998E-2</v>
      </c>
      <c r="X125" s="20">
        <v>1.41E-2</v>
      </c>
      <c r="Y125" s="20">
        <v>-0.15090000000000001</v>
      </c>
      <c r="Z125" s="20">
        <v>3.1199999999999999E-2</v>
      </c>
      <c r="AA125" s="20">
        <v>-0.23250000000000001</v>
      </c>
      <c r="AB125" s="20">
        <v>8.6300000000000002E-2</v>
      </c>
      <c r="AC125" s="20">
        <v>4.2200000000000001E-2</v>
      </c>
      <c r="AD125" s="20">
        <v>0.10970000000000001</v>
      </c>
      <c r="AE125" s="20">
        <v>1.7500000000000002E-2</v>
      </c>
      <c r="AF125" s="20">
        <v>-0.16889999999999999</v>
      </c>
      <c r="AG125" s="20">
        <v>-0.1618</v>
      </c>
      <c r="AH125" s="20">
        <v>0.1009</v>
      </c>
      <c r="AI125" s="20">
        <v>8.1900000000000001E-2</v>
      </c>
      <c r="AJ125" s="20">
        <v>8.8999999999999996E-2</v>
      </c>
      <c r="AK125" s="20">
        <v>-2.7300000000000001E-2</v>
      </c>
      <c r="AL125" s="21">
        <v>-0.17910000000000001</v>
      </c>
    </row>
    <row r="126" spans="1:38">
      <c r="A126" s="20">
        <v>0.43840000000000001</v>
      </c>
      <c r="B126" s="20">
        <v>-0.1666</v>
      </c>
      <c r="C126" s="20">
        <v>-1.0200000000000001E-2</v>
      </c>
      <c r="D126" s="20">
        <v>-1.2999999999999999E-3</v>
      </c>
      <c r="E126" s="20">
        <v>0.2838</v>
      </c>
      <c r="F126" s="20">
        <v>-8.4199999999999997E-2</v>
      </c>
      <c r="G126" s="20">
        <v>0.16969999999999999</v>
      </c>
      <c r="H126" s="20">
        <v>-1.2500000000000001E-2</v>
      </c>
      <c r="I126" s="20">
        <v>0.1145</v>
      </c>
      <c r="J126" s="20">
        <v>-5.6599999999999998E-2</v>
      </c>
      <c r="K126" s="20">
        <v>-8.3799999999999999E-2</v>
      </c>
      <c r="L126" s="20">
        <v>-2.5399999999999999E-2</v>
      </c>
      <c r="M126" s="20">
        <v>-0.1341</v>
      </c>
      <c r="N126" s="20">
        <v>2.3199999999999998E-2</v>
      </c>
      <c r="O126" s="20">
        <v>-6.7299999999999999E-2</v>
      </c>
      <c r="P126" s="20">
        <v>-0.44819999999999999</v>
      </c>
      <c r="Q126" s="20">
        <v>-0.22409999999999999</v>
      </c>
      <c r="R126" s="20">
        <v>0.1109</v>
      </c>
      <c r="S126" s="20">
        <v>-0.2112</v>
      </c>
      <c r="T126" s="20">
        <v>-9.0899999999999995E-2</v>
      </c>
      <c r="U126" s="20">
        <v>-7.6E-3</v>
      </c>
      <c r="V126" s="20">
        <v>0.25480000000000003</v>
      </c>
      <c r="W126" s="20">
        <v>5.2600000000000001E-2</v>
      </c>
      <c r="X126" s="20">
        <v>0.1729</v>
      </c>
      <c r="Y126" s="20">
        <v>0.21210000000000001</v>
      </c>
      <c r="Z126" s="20">
        <v>-0.13189999999999999</v>
      </c>
      <c r="AA126" s="20">
        <v>3.3399999999999999E-2</v>
      </c>
      <c r="AB126" s="20">
        <v>-0.11</v>
      </c>
      <c r="AC126" s="20">
        <v>8.8999999999999999E-3</v>
      </c>
      <c r="AD126" s="20">
        <v>-0.22450000000000001</v>
      </c>
      <c r="AE126" s="20">
        <v>6.4199999999999993E-2</v>
      </c>
      <c r="AF126" s="20">
        <v>0.10829999999999999</v>
      </c>
      <c r="AG126" s="20">
        <v>0.16969999999999999</v>
      </c>
      <c r="AH126" s="20">
        <v>-7.6600000000000001E-2</v>
      </c>
      <c r="AI126" s="20">
        <v>2.23E-2</v>
      </c>
      <c r="AJ126" s="20">
        <v>-9.7600000000000006E-2</v>
      </c>
      <c r="AK126" s="20">
        <v>0.1016</v>
      </c>
      <c r="AL126" s="21">
        <v>-7.4800000000000005E-2</v>
      </c>
    </row>
    <row r="127" spans="1:38">
      <c r="A127" s="20">
        <v>0.42149999999999999</v>
      </c>
      <c r="B127" s="20">
        <v>-7.0099999999999996E-2</v>
      </c>
      <c r="C127" s="20">
        <v>-0.34960000000000002</v>
      </c>
      <c r="D127" s="20">
        <v>0.19139999999999999</v>
      </c>
      <c r="E127" s="20">
        <v>-8.3400000000000002E-2</v>
      </c>
      <c r="F127" s="20">
        <v>0.2329</v>
      </c>
      <c r="G127" s="20">
        <v>-0.18659999999999999</v>
      </c>
      <c r="H127" s="20">
        <v>-0.29959999999999998</v>
      </c>
      <c r="I127" s="20">
        <v>-3.9199999999999999E-2</v>
      </c>
      <c r="J127" s="20">
        <v>-9.9000000000000008E-3</v>
      </c>
      <c r="K127" s="20">
        <v>8.2699999999999996E-2</v>
      </c>
      <c r="L127" s="20">
        <v>2.1899999999999999E-2</v>
      </c>
      <c r="M127" s="20">
        <v>2.7000000000000001E-3</v>
      </c>
      <c r="N127" s="20">
        <v>-0.19839999999999999</v>
      </c>
      <c r="O127" s="20">
        <v>4.4999999999999997E-3</v>
      </c>
      <c r="P127" s="20">
        <v>-0.1143</v>
      </c>
      <c r="Q127" s="20">
        <v>-3.8300000000000001E-2</v>
      </c>
      <c r="R127" s="20">
        <v>-6.2E-2</v>
      </c>
      <c r="S127" s="20">
        <v>8.1600000000000006E-2</v>
      </c>
      <c r="T127" s="20">
        <v>-3.2000000000000001E-2</v>
      </c>
      <c r="U127" s="20">
        <v>-6.7400000000000002E-2</v>
      </c>
      <c r="V127" s="20">
        <v>0.1578</v>
      </c>
      <c r="W127" s="20">
        <v>0.1021</v>
      </c>
      <c r="X127" s="20">
        <v>-0.1492</v>
      </c>
      <c r="Y127" s="20">
        <v>0.13339999999999999</v>
      </c>
      <c r="Z127" s="20">
        <v>-0.28000000000000003</v>
      </c>
      <c r="AA127" s="20">
        <v>3.49E-2</v>
      </c>
      <c r="AB127" s="20">
        <v>2.7E-2</v>
      </c>
      <c r="AC127" s="20">
        <v>0.14130000000000001</v>
      </c>
      <c r="AD127" s="20">
        <v>4.3700000000000003E-2</v>
      </c>
      <c r="AE127" s="20">
        <v>0.1925</v>
      </c>
      <c r="AF127" s="20">
        <v>-0.12280000000000001</v>
      </c>
      <c r="AG127" s="20">
        <v>5.1200000000000002E-2</v>
      </c>
      <c r="AH127" s="20">
        <v>-8.72E-2</v>
      </c>
      <c r="AI127" s="20">
        <v>-0.23169999999999999</v>
      </c>
      <c r="AJ127" s="20">
        <v>5.3600000000000002E-2</v>
      </c>
      <c r="AK127" s="20">
        <v>0.22109999999999999</v>
      </c>
      <c r="AL127" s="21">
        <v>0.22</v>
      </c>
    </row>
    <row r="128" spans="1:38">
      <c r="A128" s="20">
        <v>2.35E-2</v>
      </c>
      <c r="B128" s="20">
        <v>0.18340000000000001</v>
      </c>
      <c r="C128" s="20">
        <v>-2.4799999999999999E-2</v>
      </c>
      <c r="D128" s="20">
        <v>7.3899999999999993E-2</v>
      </c>
      <c r="E128" s="20">
        <v>-6.5199999999999994E-2</v>
      </c>
      <c r="F128" s="20">
        <v>-9.35E-2</v>
      </c>
      <c r="G128" s="20">
        <v>-0.2883</v>
      </c>
      <c r="H128" s="20">
        <v>4.7899999999999998E-2</v>
      </c>
      <c r="I128" s="20">
        <v>2.8000000000000001E-2</v>
      </c>
      <c r="J128" s="20">
        <v>1.8599999999999998E-2</v>
      </c>
      <c r="K128" s="20">
        <v>7.7999999999999996E-3</v>
      </c>
      <c r="L128" s="20">
        <v>5.1499999999999997E-2</v>
      </c>
      <c r="M128" s="20">
        <v>0.27039999999999997</v>
      </c>
      <c r="N128" s="20">
        <v>4.53E-2</v>
      </c>
      <c r="O128" s="20">
        <v>-0.31859999999999999</v>
      </c>
      <c r="P128" s="20">
        <v>4.6600000000000003E-2</v>
      </c>
      <c r="Q128" s="20">
        <v>-1.2999999999999999E-2</v>
      </c>
      <c r="R128" s="20">
        <v>-8.8300000000000003E-2</v>
      </c>
      <c r="S128" s="20">
        <v>2.2200000000000001E-2</v>
      </c>
      <c r="T128" s="20">
        <v>0.1469</v>
      </c>
      <c r="U128" s="20">
        <v>-0.15179999999999999</v>
      </c>
      <c r="V128" s="20">
        <v>0.16389999999999999</v>
      </c>
      <c r="W128" s="20">
        <v>0.13750000000000001</v>
      </c>
      <c r="X128" s="20">
        <v>-0.1736</v>
      </c>
      <c r="Y128" s="20">
        <v>8.8900000000000007E-2</v>
      </c>
      <c r="Z128" s="20">
        <v>-0.2026</v>
      </c>
      <c r="AA128" s="20">
        <v>1.11E-2</v>
      </c>
      <c r="AB128" s="20">
        <v>0.26390000000000002</v>
      </c>
      <c r="AC128" s="20">
        <v>7.8799999999999995E-2</v>
      </c>
      <c r="AD128" s="20">
        <v>6.7999999999999996E-3</v>
      </c>
      <c r="AE128" s="20">
        <v>8.9599999999999999E-2</v>
      </c>
      <c r="AF128" s="20">
        <v>0.1515</v>
      </c>
      <c r="AG128" s="20">
        <v>-0.38240000000000002</v>
      </c>
      <c r="AH128" s="20">
        <v>-0.1293</v>
      </c>
      <c r="AI128" s="20">
        <v>0.34560000000000002</v>
      </c>
      <c r="AJ128" s="20">
        <v>-0.29680000000000001</v>
      </c>
      <c r="AK128" s="20">
        <v>-0.13750000000000001</v>
      </c>
      <c r="AL128" s="21">
        <v>6.6100000000000006E-2</v>
      </c>
    </row>
    <row r="129" spans="1:38">
      <c r="A129" s="20">
        <v>-2.7099999999999999E-2</v>
      </c>
      <c r="B129" s="20">
        <v>4.2000000000000003E-2</v>
      </c>
      <c r="C129" s="20">
        <v>-6.3E-2</v>
      </c>
      <c r="D129" s="20">
        <v>0.247</v>
      </c>
      <c r="E129" s="20">
        <v>0.1017</v>
      </c>
      <c r="F129" s="20">
        <v>8.5800000000000001E-2</v>
      </c>
      <c r="G129" s="20">
        <v>-0.35449999999999998</v>
      </c>
      <c r="H129" s="20">
        <v>-0.18090000000000001</v>
      </c>
      <c r="I129" s="20">
        <v>0.1188</v>
      </c>
      <c r="J129" s="20">
        <v>6.7000000000000002E-3</v>
      </c>
      <c r="K129" s="20">
        <v>-0.113</v>
      </c>
      <c r="L129" s="20">
        <v>0.1129</v>
      </c>
      <c r="M129" s="20">
        <v>0.13950000000000001</v>
      </c>
      <c r="N129" s="20">
        <v>0.29360000000000003</v>
      </c>
      <c r="O129" s="20">
        <v>-0.17330000000000001</v>
      </c>
      <c r="P129" s="20">
        <v>-0.1265</v>
      </c>
      <c r="Q129" s="20">
        <v>0.15720000000000001</v>
      </c>
      <c r="R129" s="20">
        <v>-0.35649999999999998</v>
      </c>
      <c r="S129" s="20">
        <v>-2.5999999999999999E-2</v>
      </c>
      <c r="T129" s="20">
        <v>3.9100000000000003E-2</v>
      </c>
      <c r="U129" s="20">
        <v>0.1487</v>
      </c>
      <c r="V129" s="20">
        <v>-2.35E-2</v>
      </c>
      <c r="W129" s="20">
        <v>5.1499999999999997E-2</v>
      </c>
      <c r="X129" s="20">
        <v>-0.13519999999999999</v>
      </c>
      <c r="Y129" s="20">
        <v>0.14929999999999999</v>
      </c>
      <c r="Z129" s="20">
        <v>-0.12</v>
      </c>
      <c r="AA129" s="20">
        <v>-0.1031</v>
      </c>
      <c r="AB129" s="20">
        <v>0.24410000000000001</v>
      </c>
      <c r="AC129" s="20">
        <v>0.17799999999999999</v>
      </c>
      <c r="AD129" s="20">
        <v>-0.1076</v>
      </c>
      <c r="AE129" s="20">
        <v>7.3700000000000002E-2</v>
      </c>
      <c r="AF129" s="20">
        <v>0.1736</v>
      </c>
      <c r="AG129" s="20">
        <v>-5.16E-2</v>
      </c>
      <c r="AH129" s="20">
        <v>9.9699999999999997E-2</v>
      </c>
      <c r="AI129" s="20">
        <v>-4.2799999999999998E-2</v>
      </c>
      <c r="AJ129" s="20">
        <v>5.8900000000000001E-2</v>
      </c>
      <c r="AK129" s="20">
        <v>-0.12859999999999999</v>
      </c>
      <c r="AL129" s="21">
        <v>-0.38379999999999997</v>
      </c>
    </row>
    <row r="130" spans="1:38">
      <c r="A130" s="20">
        <v>-0.3327</v>
      </c>
      <c r="B130" s="20">
        <v>0.26769999999999999</v>
      </c>
      <c r="C130" s="20">
        <v>-7.4099999999999999E-2</v>
      </c>
      <c r="D130" s="20">
        <v>-0.13070000000000001</v>
      </c>
      <c r="E130" s="20">
        <v>0.2606</v>
      </c>
      <c r="F130" s="20">
        <v>8.3299999999999999E-2</v>
      </c>
      <c r="G130" s="20">
        <v>0.1336</v>
      </c>
      <c r="H130" s="20">
        <v>1.83E-2</v>
      </c>
      <c r="I130" s="20">
        <v>0.26140000000000002</v>
      </c>
      <c r="J130" s="20">
        <v>-0.13830000000000001</v>
      </c>
      <c r="K130" s="20">
        <v>0.25569999999999998</v>
      </c>
      <c r="L130" s="20">
        <v>5.0599999999999999E-2</v>
      </c>
      <c r="M130" s="20">
        <v>-0.1336</v>
      </c>
      <c r="N130" s="20">
        <v>9.9299999999999999E-2</v>
      </c>
      <c r="O130" s="20">
        <v>6.3399999999999998E-2</v>
      </c>
      <c r="P130" s="20">
        <v>0.29260000000000003</v>
      </c>
      <c r="Q130" s="20">
        <v>-2.0400000000000001E-2</v>
      </c>
      <c r="R130" s="20">
        <v>-0.21479999999999999</v>
      </c>
      <c r="S130" s="20">
        <v>3.9600000000000003E-2</v>
      </c>
      <c r="T130" s="20">
        <v>8.2000000000000003E-2</v>
      </c>
      <c r="U130" s="20">
        <v>-0.11210000000000001</v>
      </c>
      <c r="V130" s="20">
        <v>0.24049999999999999</v>
      </c>
      <c r="W130" s="20">
        <v>-2.1499999999999998E-2</v>
      </c>
      <c r="X130" s="20">
        <v>2.41E-2</v>
      </c>
      <c r="Y130" s="20">
        <v>-1.41E-2</v>
      </c>
      <c r="Z130" s="20">
        <v>-0.1105</v>
      </c>
      <c r="AA130" s="20">
        <v>9.0399999999999994E-2</v>
      </c>
      <c r="AB130" s="20">
        <v>-7.3899999999999993E-2</v>
      </c>
      <c r="AC130" s="20">
        <v>-8.9300000000000004E-2</v>
      </c>
      <c r="AD130" s="20">
        <v>-0.154</v>
      </c>
      <c r="AE130" s="20">
        <v>-8.0199999999999994E-2</v>
      </c>
      <c r="AF130" s="20">
        <v>-8.0199999999999994E-2</v>
      </c>
      <c r="AG130" s="20">
        <v>-0.24859999999999999</v>
      </c>
      <c r="AH130" s="20">
        <v>-0.31330000000000002</v>
      </c>
      <c r="AI130" s="20">
        <v>-0.16869999999999999</v>
      </c>
      <c r="AJ130" s="20">
        <v>-9.7000000000000003E-3</v>
      </c>
      <c r="AK130" s="20">
        <v>0.1983</v>
      </c>
      <c r="AL130" s="21">
        <v>6.8400000000000002E-2</v>
      </c>
    </row>
    <row r="131" spans="1:38">
      <c r="A131" s="20">
        <v>0.32529999999999998</v>
      </c>
      <c r="B131" s="20">
        <v>-0.28389999999999999</v>
      </c>
      <c r="C131" s="20">
        <v>-1.5800000000000002E-2</v>
      </c>
      <c r="D131" s="20">
        <v>-8.3799999999999999E-2</v>
      </c>
      <c r="E131" s="20">
        <v>-2.1499999999999998E-2</v>
      </c>
      <c r="F131" s="20">
        <v>-0.15429999999999999</v>
      </c>
      <c r="G131" s="20">
        <v>-9.7000000000000003E-3</v>
      </c>
      <c r="H131" s="20">
        <v>-6.6799999999999998E-2</v>
      </c>
      <c r="I131" s="20">
        <v>-0.11749999999999999</v>
      </c>
      <c r="J131" s="20">
        <v>4.9399999999999999E-2</v>
      </c>
      <c r="K131" s="20">
        <v>-0.10730000000000001</v>
      </c>
      <c r="L131" s="20">
        <v>7.9799999999999996E-2</v>
      </c>
      <c r="M131" s="20">
        <v>-0.20979999999999999</v>
      </c>
      <c r="N131" s="20">
        <v>-0.1414</v>
      </c>
      <c r="O131" s="20">
        <v>0.20449999999999999</v>
      </c>
      <c r="P131" s="20">
        <v>-0.11990000000000001</v>
      </c>
      <c r="Q131" s="20">
        <v>-5.3100000000000001E-2</v>
      </c>
      <c r="R131" s="20">
        <v>6.2799999999999995E-2</v>
      </c>
      <c r="S131" s="20">
        <v>-0.13969999999999999</v>
      </c>
      <c r="T131" s="20">
        <v>-3.6900000000000002E-2</v>
      </c>
      <c r="U131" s="20">
        <v>0.20660000000000001</v>
      </c>
      <c r="V131" s="20">
        <v>0.26889999999999997</v>
      </c>
      <c r="W131" s="20">
        <v>0.24909999999999999</v>
      </c>
      <c r="X131" s="20">
        <v>8.2600000000000007E-2</v>
      </c>
      <c r="Y131" s="20">
        <v>0.1195</v>
      </c>
      <c r="Z131" s="20">
        <v>-0.38240000000000002</v>
      </c>
      <c r="AA131" s="20">
        <v>-0.1041</v>
      </c>
      <c r="AB131" s="20">
        <v>0.1867</v>
      </c>
      <c r="AC131" s="20">
        <v>-5.7500000000000002E-2</v>
      </c>
      <c r="AD131" s="20">
        <v>-0.2969</v>
      </c>
      <c r="AE131" s="20">
        <v>6.9699999999999998E-2</v>
      </c>
      <c r="AF131" s="20">
        <v>9.3600000000000003E-2</v>
      </c>
      <c r="AG131" s="20">
        <v>0.1138</v>
      </c>
      <c r="AH131" s="20">
        <v>-3.8899999999999997E-2</v>
      </c>
      <c r="AI131" s="20">
        <v>-5.6300000000000003E-2</v>
      </c>
      <c r="AJ131" s="20">
        <v>0.26529999999999998</v>
      </c>
      <c r="AK131" s="20">
        <v>2.35E-2</v>
      </c>
      <c r="AL131" s="21">
        <v>0.1086</v>
      </c>
    </row>
    <row r="132" spans="1:38">
      <c r="A132" s="20">
        <v>-0.33040000000000003</v>
      </c>
      <c r="B132" s="20">
        <v>0.3518</v>
      </c>
      <c r="C132" s="20">
        <v>1.1999999999999999E-3</v>
      </c>
      <c r="D132" s="20">
        <v>-2.81E-2</v>
      </c>
      <c r="E132" s="20">
        <v>0.19159999999999999</v>
      </c>
      <c r="F132" s="20">
        <v>-0.37080000000000002</v>
      </c>
      <c r="G132" s="20">
        <v>0.11459999999999999</v>
      </c>
      <c r="H132" s="20">
        <v>-1.1599999999999999E-2</v>
      </c>
      <c r="I132" s="20">
        <v>0.02</v>
      </c>
      <c r="J132" s="20">
        <v>-4.1799999999999997E-2</v>
      </c>
      <c r="K132" s="20">
        <v>5.0700000000000002E-2</v>
      </c>
      <c r="L132" s="20">
        <v>1.84E-2</v>
      </c>
      <c r="M132" s="20">
        <v>8.72E-2</v>
      </c>
      <c r="N132" s="20">
        <v>7.9699999999999993E-2</v>
      </c>
      <c r="O132" s="20">
        <v>0.04</v>
      </c>
      <c r="P132" s="20">
        <v>3.15E-2</v>
      </c>
      <c r="Q132" s="20">
        <v>-4.4299999999999999E-2</v>
      </c>
      <c r="R132" s="20">
        <v>-0.15310000000000001</v>
      </c>
      <c r="S132" s="20">
        <v>-0.24160000000000001</v>
      </c>
      <c r="T132" s="20">
        <v>-2.4799999999999999E-2</v>
      </c>
      <c r="U132" s="20">
        <v>0.13600000000000001</v>
      </c>
      <c r="V132" s="20">
        <v>6.8900000000000003E-2</v>
      </c>
      <c r="W132" s="20">
        <v>-0.1404</v>
      </c>
      <c r="X132" s="20">
        <v>3.2599999999999997E-2</v>
      </c>
      <c r="Y132" s="20">
        <v>-0.2122</v>
      </c>
      <c r="Z132" s="20">
        <v>0.14649999999999999</v>
      </c>
      <c r="AA132" s="20">
        <v>6.1100000000000002E-2</v>
      </c>
      <c r="AB132" s="20">
        <v>8.5999999999999993E-2</v>
      </c>
      <c r="AC132" s="20">
        <v>6.7000000000000004E-2</v>
      </c>
      <c r="AD132" s="20">
        <v>3.7600000000000001E-2</v>
      </c>
      <c r="AE132" s="20">
        <v>0.15279999999999999</v>
      </c>
      <c r="AF132" s="20">
        <v>-4.41E-2</v>
      </c>
      <c r="AG132" s="20">
        <v>0.1656</v>
      </c>
      <c r="AH132" s="20">
        <v>-0.44719999999999999</v>
      </c>
      <c r="AI132" s="20">
        <v>-0.1099</v>
      </c>
      <c r="AJ132" s="20">
        <v>0.1062</v>
      </c>
      <c r="AK132" s="20">
        <v>-9.3899999999999997E-2</v>
      </c>
      <c r="AL132" s="21">
        <v>0.24579999999999999</v>
      </c>
    </row>
    <row r="133" spans="1:38">
      <c r="A133" s="20">
        <v>0.38090000000000002</v>
      </c>
      <c r="B133" s="20">
        <v>-0.28949999999999998</v>
      </c>
      <c r="C133" s="20">
        <v>0.26329999999999998</v>
      </c>
      <c r="D133" s="20">
        <v>-0.35</v>
      </c>
      <c r="E133" s="20">
        <v>-4.0899999999999999E-2</v>
      </c>
      <c r="F133" s="20">
        <v>9.1600000000000001E-2</v>
      </c>
      <c r="G133" s="20">
        <v>-5.5E-2</v>
      </c>
      <c r="H133" s="20">
        <v>-0.3115</v>
      </c>
      <c r="I133" s="20">
        <v>0.15029999999999999</v>
      </c>
      <c r="J133" s="20">
        <v>-0.3543</v>
      </c>
      <c r="K133" s="20">
        <v>0.1961</v>
      </c>
      <c r="L133" s="20">
        <v>0.1234</v>
      </c>
      <c r="M133" s="20">
        <v>0.11940000000000001</v>
      </c>
      <c r="N133" s="20">
        <v>-8.4900000000000003E-2</v>
      </c>
      <c r="O133" s="20">
        <v>4.7E-2</v>
      </c>
      <c r="P133" s="20">
        <v>-0.1115</v>
      </c>
      <c r="Q133" s="20">
        <v>-0.12280000000000001</v>
      </c>
      <c r="R133" s="20">
        <v>-6.6299999999999998E-2</v>
      </c>
      <c r="S133" s="20">
        <v>-4.2799999999999998E-2</v>
      </c>
      <c r="T133" s="20">
        <v>-5.6800000000000003E-2</v>
      </c>
      <c r="U133" s="20">
        <v>9.6199999999999994E-2</v>
      </c>
      <c r="V133" s="20">
        <v>-0.20100000000000001</v>
      </c>
      <c r="W133" s="20">
        <v>0.13289999999999999</v>
      </c>
      <c r="X133" s="20">
        <v>-0.1106</v>
      </c>
      <c r="Y133" s="20">
        <v>5.6500000000000002E-2</v>
      </c>
      <c r="Z133" s="20">
        <v>3.9100000000000003E-2</v>
      </c>
      <c r="AA133" s="20">
        <v>3.85E-2</v>
      </c>
      <c r="AB133" s="20">
        <v>4.4299999999999999E-2</v>
      </c>
      <c r="AC133" s="20">
        <v>-5.7099999999999998E-2</v>
      </c>
      <c r="AD133" s="20">
        <v>0.1512</v>
      </c>
      <c r="AE133" s="20">
        <v>6.0499999999999998E-2</v>
      </c>
      <c r="AF133" s="20">
        <v>7.6999999999999999E-2</v>
      </c>
      <c r="AG133" s="20">
        <v>-0.1545</v>
      </c>
      <c r="AH133" s="20">
        <v>2.29E-2</v>
      </c>
      <c r="AI133" s="20">
        <v>4.1500000000000002E-2</v>
      </c>
      <c r="AJ133" s="20">
        <v>0.22420000000000001</v>
      </c>
      <c r="AK133" s="20">
        <v>-1.95E-2</v>
      </c>
      <c r="AL133" s="21">
        <v>8.1199999999999994E-2</v>
      </c>
    </row>
    <row r="134" spans="1:38">
      <c r="A134" s="20">
        <v>0.24390000000000001</v>
      </c>
      <c r="B134" s="20">
        <v>-0.20399999999999999</v>
      </c>
      <c r="C134" s="20">
        <v>0.28739999999999999</v>
      </c>
      <c r="D134" s="20">
        <v>-0.1386</v>
      </c>
      <c r="E134" s="20">
        <v>1.2999999999999999E-3</v>
      </c>
      <c r="F134" s="20">
        <v>-0.24299999999999999</v>
      </c>
      <c r="G134" s="20">
        <v>-0.1668</v>
      </c>
      <c r="H134" s="20">
        <v>-0.11260000000000001</v>
      </c>
      <c r="I134" s="20">
        <v>-0.15429999999999999</v>
      </c>
      <c r="J134" s="20">
        <v>0.2399</v>
      </c>
      <c r="K134" s="20">
        <v>9.6000000000000002E-2</v>
      </c>
      <c r="L134" s="20">
        <v>0.152</v>
      </c>
      <c r="M134" s="20">
        <v>7.5800000000000006E-2</v>
      </c>
      <c r="N134" s="20">
        <v>-0.29189999999999999</v>
      </c>
      <c r="O134" s="20">
        <v>-0.1206</v>
      </c>
      <c r="P134" s="20">
        <v>-8.5199999999999998E-2</v>
      </c>
      <c r="Q134" s="20">
        <v>-0.14480000000000001</v>
      </c>
      <c r="R134" s="20">
        <v>-5.0700000000000002E-2</v>
      </c>
      <c r="S134" s="20">
        <v>2.1999999999999999E-2</v>
      </c>
      <c r="T134" s="20">
        <v>0.1099</v>
      </c>
      <c r="U134" s="20">
        <v>0.16550000000000001</v>
      </c>
      <c r="V134" s="20">
        <v>0.17979999999999999</v>
      </c>
      <c r="W134" s="20">
        <v>-1.03E-2</v>
      </c>
      <c r="X134" s="20">
        <v>-2.8199999999999999E-2</v>
      </c>
      <c r="Y134" s="20">
        <v>0.1305</v>
      </c>
      <c r="Z134" s="20">
        <v>-0.16189999999999999</v>
      </c>
      <c r="AA134" s="20">
        <v>-2.9100000000000001E-2</v>
      </c>
      <c r="AB134" s="20">
        <v>0.1179</v>
      </c>
      <c r="AC134" s="20">
        <v>-8.1600000000000006E-2</v>
      </c>
      <c r="AD134" s="20">
        <v>-0.29820000000000002</v>
      </c>
      <c r="AE134" s="20">
        <v>0.20669999999999999</v>
      </c>
      <c r="AF134" s="20">
        <v>0.32869999999999999</v>
      </c>
      <c r="AG134" s="20">
        <v>4.0399999999999998E-2</v>
      </c>
      <c r="AH134" s="20">
        <v>-3.3599999999999998E-2</v>
      </c>
      <c r="AI134" s="20">
        <v>4.0000000000000002E-4</v>
      </c>
      <c r="AJ134" s="20">
        <v>-0.1009</v>
      </c>
      <c r="AK134" s="20">
        <v>-0.13</v>
      </c>
      <c r="AL134" s="21">
        <v>0.20039999999999999</v>
      </c>
    </row>
    <row r="135" spans="1:38">
      <c r="A135" s="20">
        <v>-0.35249999999999998</v>
      </c>
      <c r="B135" s="20">
        <v>0.1149</v>
      </c>
      <c r="C135" s="20">
        <v>-0.12520000000000001</v>
      </c>
      <c r="D135" s="20">
        <v>-0.23069999999999999</v>
      </c>
      <c r="E135" s="20">
        <v>-0.39350000000000002</v>
      </c>
      <c r="F135" s="20">
        <v>6.7000000000000002E-3</v>
      </c>
      <c r="G135" s="20">
        <v>9.2700000000000005E-2</v>
      </c>
      <c r="H135" s="20">
        <v>0.12470000000000001</v>
      </c>
      <c r="I135" s="20">
        <v>2.69E-2</v>
      </c>
      <c r="J135" s="20">
        <v>-6.9699999999999998E-2</v>
      </c>
      <c r="K135" s="20">
        <v>-5.0500000000000003E-2</v>
      </c>
      <c r="L135" s="20">
        <v>-0.14460000000000001</v>
      </c>
      <c r="M135" s="20">
        <v>-2.8500000000000001E-2</v>
      </c>
      <c r="N135" s="20">
        <v>-6.3600000000000004E-2</v>
      </c>
      <c r="O135" s="20">
        <v>0.12839999999999999</v>
      </c>
      <c r="P135" s="20">
        <v>0.18629999999999999</v>
      </c>
      <c r="Q135" s="20">
        <v>-6.1699999999999998E-2</v>
      </c>
      <c r="R135" s="20">
        <v>1.72E-2</v>
      </c>
      <c r="S135" s="20">
        <v>-7.2800000000000004E-2</v>
      </c>
      <c r="T135" s="20">
        <v>-0.18609999999999999</v>
      </c>
      <c r="U135" s="20">
        <v>-1.09E-2</v>
      </c>
      <c r="V135" s="20">
        <v>5.4699999999999999E-2</v>
      </c>
      <c r="W135" s="20">
        <v>0.2044</v>
      </c>
      <c r="X135" s="20">
        <v>8.4000000000000005E-2</v>
      </c>
      <c r="Y135" s="20">
        <v>2.12E-2</v>
      </c>
      <c r="Z135" s="20">
        <v>-0.1159</v>
      </c>
      <c r="AA135" s="20">
        <v>1.52E-2</v>
      </c>
      <c r="AB135" s="20">
        <v>8.8000000000000005E-3</v>
      </c>
      <c r="AC135" s="20">
        <v>-0.16639999999999999</v>
      </c>
      <c r="AD135" s="20">
        <v>5.0000000000000001E-4</v>
      </c>
      <c r="AE135" s="20">
        <v>0.3357</v>
      </c>
      <c r="AF135" s="20">
        <v>-0.17760000000000001</v>
      </c>
      <c r="AG135" s="20">
        <v>0.13800000000000001</v>
      </c>
      <c r="AH135" s="20">
        <v>0.1032</v>
      </c>
      <c r="AI135" s="20">
        <v>0.44929999999999998</v>
      </c>
      <c r="AJ135" s="20">
        <v>0.1135</v>
      </c>
      <c r="AK135" s="20">
        <v>-2.4400000000000002E-2</v>
      </c>
      <c r="AL135" s="21">
        <v>4.9399999999999999E-2</v>
      </c>
    </row>
    <row r="136" spans="1:38">
      <c r="A136" s="20">
        <v>-0.34210000000000002</v>
      </c>
      <c r="B136" s="20">
        <v>0.1663</v>
      </c>
      <c r="C136" s="20">
        <v>-0.1489</v>
      </c>
      <c r="D136" s="20">
        <v>-0.1825</v>
      </c>
      <c r="E136" s="20">
        <v>-0.37540000000000001</v>
      </c>
      <c r="F136" s="20">
        <v>6.8699999999999997E-2</v>
      </c>
      <c r="G136" s="20">
        <v>0.14299999999999999</v>
      </c>
      <c r="H136" s="20">
        <v>0.1178</v>
      </c>
      <c r="I136" s="20">
        <v>0.1103</v>
      </c>
      <c r="J136" s="20">
        <v>-4.58E-2</v>
      </c>
      <c r="K136" s="20">
        <v>5.96E-2</v>
      </c>
      <c r="L136" s="20">
        <v>-0.21540000000000001</v>
      </c>
      <c r="M136" s="20">
        <v>-6.2199999999999998E-2</v>
      </c>
      <c r="N136" s="20">
        <v>-3.09E-2</v>
      </c>
      <c r="O136" s="20">
        <v>6.3500000000000001E-2</v>
      </c>
      <c r="P136" s="20">
        <v>0.23569999999999999</v>
      </c>
      <c r="Q136" s="20">
        <v>-8.2299999999999998E-2</v>
      </c>
      <c r="R136" s="20">
        <v>2.8199999999999999E-2</v>
      </c>
      <c r="S136" s="20">
        <v>-5.4800000000000001E-2</v>
      </c>
      <c r="T136" s="20">
        <v>-0.17319999999999999</v>
      </c>
      <c r="U136" s="20">
        <v>-9.2999999999999992E-3</v>
      </c>
      <c r="V136" s="20">
        <v>-2.3E-2</v>
      </c>
      <c r="W136" s="20">
        <v>7.4499999999999997E-2</v>
      </c>
      <c r="X136" s="20">
        <v>0.1774</v>
      </c>
      <c r="Y136" s="20">
        <v>-2.2499999999999999E-2</v>
      </c>
      <c r="Z136" s="20">
        <v>-0.2243</v>
      </c>
      <c r="AA136" s="20">
        <v>-2.8199999999999999E-2</v>
      </c>
      <c r="AB136" s="20">
        <v>2.75E-2</v>
      </c>
      <c r="AC136" s="20">
        <v>-0.1333</v>
      </c>
      <c r="AD136" s="20">
        <v>3.8999999999999998E-3</v>
      </c>
      <c r="AE136" s="20">
        <v>0.30349999999999999</v>
      </c>
      <c r="AF136" s="20">
        <v>-0.11310000000000001</v>
      </c>
      <c r="AG136" s="20">
        <v>0.1263</v>
      </c>
      <c r="AH136" s="20">
        <v>0.20250000000000001</v>
      </c>
      <c r="AI136" s="20">
        <v>0.4118</v>
      </c>
      <c r="AJ136" s="20">
        <v>4.3299999999999998E-2</v>
      </c>
      <c r="AK136" s="20">
        <v>-9.7500000000000003E-2</v>
      </c>
      <c r="AL136" s="21">
        <v>-2.8999999999999998E-3</v>
      </c>
    </row>
    <row r="137" spans="1:38">
      <c r="A137" s="20">
        <v>-3.2000000000000002E-3</v>
      </c>
      <c r="B137" s="20">
        <v>1.26E-2</v>
      </c>
      <c r="C137" s="20">
        <v>0.1308</v>
      </c>
      <c r="D137" s="20">
        <v>0.23080000000000001</v>
      </c>
      <c r="E137" s="20">
        <v>0.38500000000000001</v>
      </c>
      <c r="F137" s="20">
        <v>-0.42649999999999999</v>
      </c>
      <c r="G137" s="20">
        <v>6.0600000000000001E-2</v>
      </c>
      <c r="H137" s="20">
        <v>-0.17080000000000001</v>
      </c>
      <c r="I137" s="20">
        <v>5.2999999999999999E-2</v>
      </c>
      <c r="J137" s="20">
        <v>1.7600000000000001E-2</v>
      </c>
      <c r="K137" s="20">
        <v>4.7399999999999998E-2</v>
      </c>
      <c r="L137" s="20">
        <v>-9.2399999999999996E-2</v>
      </c>
      <c r="M137" s="20">
        <v>2.98E-2</v>
      </c>
      <c r="N137" s="20">
        <v>-6.0299999999999999E-2</v>
      </c>
      <c r="O137" s="20">
        <v>-2.7799999999999998E-2</v>
      </c>
      <c r="P137" s="20">
        <v>0.13539999999999999</v>
      </c>
      <c r="Q137" s="20">
        <v>0.22170000000000001</v>
      </c>
      <c r="R137" s="20">
        <v>5.4100000000000002E-2</v>
      </c>
      <c r="S137" s="20">
        <v>-0.17610000000000001</v>
      </c>
      <c r="T137" s="20">
        <v>-0.13139999999999999</v>
      </c>
      <c r="U137" s="20">
        <v>2.1899999999999999E-2</v>
      </c>
      <c r="V137" s="20">
        <v>0.13689999999999999</v>
      </c>
      <c r="W137" s="20">
        <v>-0.16880000000000001</v>
      </c>
      <c r="X137" s="20">
        <v>8.0199999999999994E-2</v>
      </c>
      <c r="Y137" s="20">
        <v>-0.15590000000000001</v>
      </c>
      <c r="Z137" s="20">
        <v>0.24310000000000001</v>
      </c>
      <c r="AA137" s="20">
        <v>9.1899999999999996E-2</v>
      </c>
      <c r="AB137" s="20">
        <v>4.36E-2</v>
      </c>
      <c r="AC137" s="20">
        <v>7.3099999999999998E-2</v>
      </c>
      <c r="AD137" s="20">
        <v>-1.0800000000000001E-2</v>
      </c>
      <c r="AE137" s="20">
        <v>9.01E-2</v>
      </c>
      <c r="AF137" s="20">
        <v>3.2199999999999999E-2</v>
      </c>
      <c r="AG137" s="20">
        <v>-5.5999999999999999E-3</v>
      </c>
      <c r="AH137" s="20">
        <v>-0.37940000000000002</v>
      </c>
      <c r="AI137" s="20">
        <v>-0.22259999999999999</v>
      </c>
      <c r="AJ137" s="20">
        <v>4.6199999999999998E-2</v>
      </c>
      <c r="AK137" s="20">
        <v>-0.26119999999999999</v>
      </c>
      <c r="AL137" s="21">
        <v>4.5600000000000002E-2</v>
      </c>
    </row>
    <row r="138" spans="1:38">
      <c r="A138" s="20">
        <v>1.1900000000000001E-2</v>
      </c>
      <c r="B138" s="20">
        <v>0.32669999999999999</v>
      </c>
      <c r="C138" s="20">
        <v>-8.7099999999999997E-2</v>
      </c>
      <c r="D138" s="20">
        <v>0.1802</v>
      </c>
      <c r="E138" s="20">
        <v>0.35299999999999998</v>
      </c>
      <c r="F138" s="20">
        <v>-0.2114</v>
      </c>
      <c r="G138" s="20">
        <v>7.6499999999999999E-2</v>
      </c>
      <c r="H138" s="20">
        <v>-0.17899999999999999</v>
      </c>
      <c r="I138" s="20">
        <v>1.34E-2</v>
      </c>
      <c r="J138" s="20">
        <v>-6.2899999999999998E-2</v>
      </c>
      <c r="K138" s="20">
        <v>0.24829999999999999</v>
      </c>
      <c r="L138" s="20">
        <v>-5.6899999999999999E-2</v>
      </c>
      <c r="M138" s="20">
        <v>-0.155</v>
      </c>
      <c r="N138" s="20">
        <v>0.2084</v>
      </c>
      <c r="O138" s="20">
        <v>0.17480000000000001</v>
      </c>
      <c r="P138" s="20">
        <v>2.5999999999999999E-2</v>
      </c>
      <c r="Q138" s="20">
        <v>0.25940000000000002</v>
      </c>
      <c r="R138" s="20">
        <v>0.2074</v>
      </c>
      <c r="S138" s="20">
        <v>-5.6399999999999999E-2</v>
      </c>
      <c r="T138" s="20">
        <v>-0.251</v>
      </c>
      <c r="U138" s="20">
        <v>-0.16139999999999999</v>
      </c>
      <c r="V138" s="20">
        <v>-3.3700000000000001E-2</v>
      </c>
      <c r="W138" s="20">
        <v>-0.28239999999999998</v>
      </c>
      <c r="X138" s="20">
        <v>-0.11360000000000001</v>
      </c>
      <c r="Y138" s="20">
        <v>-0.17699999999999999</v>
      </c>
      <c r="Z138" s="20">
        <v>-2.6200000000000001E-2</v>
      </c>
      <c r="AA138" s="20">
        <v>-0.12280000000000001</v>
      </c>
      <c r="AB138" s="20">
        <v>-1.78E-2</v>
      </c>
      <c r="AC138" s="20">
        <v>-0.10050000000000001</v>
      </c>
      <c r="AD138" s="20">
        <v>4.1999999999999997E-3</v>
      </c>
      <c r="AE138" s="20">
        <v>0.13</v>
      </c>
      <c r="AF138" s="20">
        <v>0.12180000000000001</v>
      </c>
      <c r="AG138" s="20">
        <v>-6.5100000000000005E-2</v>
      </c>
      <c r="AH138" s="20">
        <v>-0.10249999999999999</v>
      </c>
      <c r="AI138" s="20">
        <v>-0.13020000000000001</v>
      </c>
      <c r="AJ138" s="20">
        <v>-0.123</v>
      </c>
      <c r="AK138" s="20">
        <v>0.2114</v>
      </c>
      <c r="AL138" s="21">
        <v>-3.27E-2</v>
      </c>
    </row>
    <row r="139" spans="1:38">
      <c r="A139" s="20">
        <v>0.28070000000000001</v>
      </c>
      <c r="B139" s="20">
        <v>-0.18659999999999999</v>
      </c>
      <c r="C139" s="20">
        <v>0.17780000000000001</v>
      </c>
      <c r="D139" s="20">
        <v>4.7699999999999999E-2</v>
      </c>
      <c r="E139" s="20">
        <v>-2.8899999999999999E-2</v>
      </c>
      <c r="F139" s="20">
        <v>4.1799999999999997E-2</v>
      </c>
      <c r="G139" s="20">
        <v>-1.6299999999999999E-2</v>
      </c>
      <c r="H139" s="20">
        <v>-8.8300000000000003E-2</v>
      </c>
      <c r="I139" s="20">
        <v>-2.8400000000000002E-2</v>
      </c>
      <c r="J139" s="20">
        <v>-2.9700000000000001E-2</v>
      </c>
      <c r="K139" s="20">
        <v>-0.18240000000000001</v>
      </c>
      <c r="L139" s="20">
        <v>0.18740000000000001</v>
      </c>
      <c r="M139" s="20">
        <v>-8.3999999999999995E-3</v>
      </c>
      <c r="N139" s="20">
        <v>-0.27689999999999998</v>
      </c>
      <c r="O139" s="20">
        <v>0.1004</v>
      </c>
      <c r="P139" s="20">
        <v>-0.1389</v>
      </c>
      <c r="Q139" s="20">
        <v>-0.17230000000000001</v>
      </c>
      <c r="R139" s="20">
        <v>-0.30449999999999999</v>
      </c>
      <c r="S139" s="20">
        <v>4.02E-2</v>
      </c>
      <c r="T139" s="20">
        <v>-3.0099999999999998E-2</v>
      </c>
      <c r="U139" s="20">
        <v>0.2276</v>
      </c>
      <c r="V139" s="20">
        <v>0.16059999999999999</v>
      </c>
      <c r="W139" s="20">
        <v>-0.1021</v>
      </c>
      <c r="X139" s="20">
        <v>1.17E-2</v>
      </c>
      <c r="Y139" s="20">
        <v>4.3099999999999999E-2</v>
      </c>
      <c r="Z139" s="20">
        <v>1.0500000000000001E-2</v>
      </c>
      <c r="AA139" s="20">
        <v>7.4999999999999997E-3</v>
      </c>
      <c r="AB139" s="20">
        <v>2.5100000000000001E-2</v>
      </c>
      <c r="AC139" s="20">
        <v>-0.35970000000000002</v>
      </c>
      <c r="AD139" s="20">
        <v>-7.4499999999999997E-2</v>
      </c>
      <c r="AE139" s="20">
        <v>2.5100000000000001E-2</v>
      </c>
      <c r="AF139" s="20">
        <v>0.3735</v>
      </c>
      <c r="AG139" s="20">
        <v>0.19120000000000001</v>
      </c>
      <c r="AH139" s="20">
        <v>-8.6599999999999996E-2</v>
      </c>
      <c r="AI139" s="20">
        <v>0.33760000000000001</v>
      </c>
      <c r="AJ139" s="20">
        <v>-3.1399999999999997E-2</v>
      </c>
      <c r="AK139" s="20">
        <v>-0.12470000000000001</v>
      </c>
      <c r="AL139" s="21">
        <v>-1.84E-2</v>
      </c>
    </row>
    <row r="140" spans="1:38">
      <c r="A140" s="20">
        <v>-7.3999999999999996E-2</v>
      </c>
      <c r="B140" s="20">
        <v>0.16389999999999999</v>
      </c>
      <c r="C140" s="20">
        <v>0.25090000000000001</v>
      </c>
      <c r="D140" s="20">
        <v>-5.91E-2</v>
      </c>
      <c r="E140" s="20">
        <v>-0.41949999999999998</v>
      </c>
      <c r="F140" s="20">
        <v>-0.35099999999999998</v>
      </c>
      <c r="G140" s="20">
        <v>0.2097</v>
      </c>
      <c r="H140" s="20">
        <v>-0.35489999999999999</v>
      </c>
      <c r="I140" s="20">
        <v>-0.15060000000000001</v>
      </c>
      <c r="J140" s="20">
        <v>0.15679999999999999</v>
      </c>
      <c r="K140" s="20">
        <v>6.83E-2</v>
      </c>
      <c r="L140" s="20">
        <v>0.13469999999999999</v>
      </c>
      <c r="M140" s="20">
        <v>-5.0000000000000001E-3</v>
      </c>
      <c r="N140" s="20">
        <v>-0.1613</v>
      </c>
      <c r="O140" s="20">
        <v>4.53E-2</v>
      </c>
      <c r="P140" s="20">
        <v>-0.14960000000000001</v>
      </c>
      <c r="Q140" s="20">
        <v>0.29649999999999999</v>
      </c>
      <c r="R140" s="20">
        <v>4.2999999999999997E-2</v>
      </c>
      <c r="S140" s="20">
        <v>3.44E-2</v>
      </c>
      <c r="T140" s="20">
        <v>-9.5600000000000004E-2</v>
      </c>
      <c r="U140" s="20">
        <v>-2.1100000000000001E-2</v>
      </c>
      <c r="V140" s="20">
        <v>-6.8000000000000005E-2</v>
      </c>
      <c r="W140" s="20">
        <v>-3.7499999999999999E-2</v>
      </c>
      <c r="X140" s="20">
        <v>7.1599999999999997E-2</v>
      </c>
      <c r="Y140" s="20">
        <v>-0.1618</v>
      </c>
      <c r="Z140" s="20">
        <v>0.12479999999999999</v>
      </c>
      <c r="AA140" s="20">
        <v>-8.3000000000000001E-3</v>
      </c>
      <c r="AB140" s="20">
        <v>6.2E-2</v>
      </c>
      <c r="AC140" s="20">
        <v>0.21440000000000001</v>
      </c>
      <c r="AD140" s="20">
        <v>-6.83E-2</v>
      </c>
      <c r="AE140" s="20">
        <v>-0.1086</v>
      </c>
      <c r="AF140" s="20">
        <v>0.1464</v>
      </c>
      <c r="AG140" s="20">
        <v>0.18809999999999999</v>
      </c>
      <c r="AH140" s="20">
        <v>3.15E-2</v>
      </c>
      <c r="AI140" s="20">
        <v>-2.92E-2</v>
      </c>
      <c r="AJ140" s="20">
        <v>0.1608</v>
      </c>
      <c r="AK140" s="20">
        <v>-8.5500000000000007E-2</v>
      </c>
      <c r="AL140" s="21">
        <v>-2.0999999999999999E-3</v>
      </c>
    </row>
    <row r="141" spans="1:38">
      <c r="A141" s="20">
        <v>0.45960000000000001</v>
      </c>
      <c r="B141" s="20">
        <v>-0.26450000000000001</v>
      </c>
      <c r="C141" s="20">
        <v>-0.16139999999999999</v>
      </c>
      <c r="D141" s="20">
        <v>-7.5899999999999995E-2</v>
      </c>
      <c r="E141" s="20">
        <v>-9.6199999999999994E-2</v>
      </c>
      <c r="F141" s="20">
        <v>0.1348</v>
      </c>
      <c r="G141" s="20">
        <v>-0.2858</v>
      </c>
      <c r="H141" s="20">
        <v>4.65E-2</v>
      </c>
      <c r="I141" s="20">
        <v>-5.9700000000000003E-2</v>
      </c>
      <c r="J141" s="20">
        <v>0.27650000000000002</v>
      </c>
      <c r="K141" s="20">
        <v>-0.22070000000000001</v>
      </c>
      <c r="L141" s="20">
        <v>1.7899999999999999E-2</v>
      </c>
      <c r="M141" s="20">
        <v>9.5500000000000002E-2</v>
      </c>
      <c r="N141" s="20">
        <v>-0.19620000000000001</v>
      </c>
      <c r="O141" s="20">
        <v>-0.1714</v>
      </c>
      <c r="P141" s="20">
        <v>-6.6500000000000004E-2</v>
      </c>
      <c r="Q141" s="20">
        <v>-0.17030000000000001</v>
      </c>
      <c r="R141" s="20">
        <v>-0.11550000000000001</v>
      </c>
      <c r="S141" s="20">
        <v>0.1396</v>
      </c>
      <c r="T141" s="20">
        <v>5.5500000000000001E-2</v>
      </c>
      <c r="U141" s="20">
        <v>0.1545</v>
      </c>
      <c r="V141" s="20">
        <v>0.16450000000000001</v>
      </c>
      <c r="W141" s="20">
        <v>-4.3799999999999999E-2</v>
      </c>
      <c r="X141" s="20">
        <v>-0.25380000000000003</v>
      </c>
      <c r="Y141" s="20">
        <v>0.2</v>
      </c>
      <c r="Z141" s="20">
        <v>-0.12139999999999999</v>
      </c>
      <c r="AA141" s="20">
        <v>8.1000000000000003E-2</v>
      </c>
      <c r="AB141" s="20">
        <v>9.8599999999999993E-2</v>
      </c>
      <c r="AC141" s="20">
        <v>0.1021</v>
      </c>
      <c r="AD141" s="20">
        <v>9.6500000000000002E-2</v>
      </c>
      <c r="AE141" s="20">
        <v>7.9000000000000008E-3</v>
      </c>
      <c r="AF141" s="20">
        <v>-1.41E-2</v>
      </c>
      <c r="AG141" s="20">
        <v>5.2400000000000002E-2</v>
      </c>
      <c r="AH141" s="20">
        <v>4.65E-2</v>
      </c>
      <c r="AI141" s="20">
        <v>-0.2145</v>
      </c>
      <c r="AJ141" s="20">
        <v>6.2399999999999997E-2</v>
      </c>
      <c r="AK141" s="20">
        <v>6.7599999999999993E-2</v>
      </c>
      <c r="AL141" s="21">
        <v>0.1807</v>
      </c>
    </row>
    <row r="142" spans="1:38">
      <c r="A142" s="20">
        <v>0.5383</v>
      </c>
      <c r="B142" s="20">
        <v>-0.26929999999999998</v>
      </c>
      <c r="C142" s="20">
        <v>-8.2500000000000004E-2</v>
      </c>
      <c r="D142" s="20">
        <v>0.1527</v>
      </c>
      <c r="E142" s="20">
        <v>6.1899999999999997E-2</v>
      </c>
      <c r="F142" s="20">
        <v>3.2899999999999999E-2</v>
      </c>
      <c r="G142" s="20">
        <v>-5.3900000000000003E-2</v>
      </c>
      <c r="H142" s="20">
        <v>-2.9399999999999999E-2</v>
      </c>
      <c r="I142" s="20">
        <v>-0.15390000000000001</v>
      </c>
      <c r="J142" s="20">
        <v>3.7699999999999997E-2</v>
      </c>
      <c r="K142" s="20">
        <v>-0.29430000000000001</v>
      </c>
      <c r="L142" s="20">
        <v>0.2114</v>
      </c>
      <c r="M142" s="20">
        <v>4.3200000000000002E-2</v>
      </c>
      <c r="N142" s="20">
        <v>-0.1166</v>
      </c>
      <c r="O142" s="20">
        <v>2.58E-2</v>
      </c>
      <c r="P142" s="20">
        <v>-0.1123</v>
      </c>
      <c r="Q142" s="20">
        <v>-0.2404</v>
      </c>
      <c r="R142" s="20">
        <v>-0.20710000000000001</v>
      </c>
      <c r="S142" s="20">
        <v>-5.4300000000000001E-2</v>
      </c>
      <c r="T142" s="20">
        <v>0.18290000000000001</v>
      </c>
      <c r="U142" s="20">
        <v>0.13009999999999999</v>
      </c>
      <c r="V142" s="20">
        <v>0.2848</v>
      </c>
      <c r="W142" s="20">
        <v>1.7899999999999999E-2</v>
      </c>
      <c r="X142" s="20">
        <v>-2.9399999999999999E-2</v>
      </c>
      <c r="Y142" s="20">
        <v>2.5399999999999999E-2</v>
      </c>
      <c r="Z142" s="20">
        <v>2.4199999999999999E-2</v>
      </c>
      <c r="AA142" s="20">
        <v>3.2899999999999999E-2</v>
      </c>
      <c r="AB142" s="20">
        <v>-8.0000000000000004E-4</v>
      </c>
      <c r="AC142" s="20">
        <v>-0.2114</v>
      </c>
      <c r="AD142" s="20">
        <v>-0.1162</v>
      </c>
      <c r="AE142" s="20">
        <v>3.73E-2</v>
      </c>
      <c r="AF142" s="20">
        <v>-7.3400000000000007E-2</v>
      </c>
      <c r="AG142" s="20">
        <v>0.28239999999999998</v>
      </c>
      <c r="AH142" s="20">
        <v>8.8900000000000007E-2</v>
      </c>
      <c r="AI142" s="20">
        <v>2.8199999999999999E-2</v>
      </c>
      <c r="AJ142" s="20">
        <v>1.35E-2</v>
      </c>
      <c r="AK142" s="20">
        <v>-0.11700000000000001</v>
      </c>
      <c r="AL142" s="21">
        <v>-8.8099999999999998E-2</v>
      </c>
    </row>
    <row r="143" spans="1:38">
      <c r="A143" s="20">
        <v>-0.18790000000000001</v>
      </c>
      <c r="B143" s="20">
        <v>0.38200000000000001</v>
      </c>
      <c r="C143" s="20">
        <v>-0.15820000000000001</v>
      </c>
      <c r="D143" s="20">
        <v>8.43E-2</v>
      </c>
      <c r="E143" s="20">
        <v>8.1199999999999994E-2</v>
      </c>
      <c r="F143" s="20">
        <v>-8.8400000000000006E-2</v>
      </c>
      <c r="G143" s="20">
        <v>-7.4899999999999994E-2</v>
      </c>
      <c r="H143" s="20">
        <v>2.87E-2</v>
      </c>
      <c r="I143" s="20">
        <v>9.7500000000000003E-2</v>
      </c>
      <c r="J143" s="20">
        <v>-0.1419</v>
      </c>
      <c r="K143" s="20">
        <v>5.9499999999999997E-2</v>
      </c>
      <c r="L143" s="20">
        <v>-2.06E-2</v>
      </c>
      <c r="M143" s="20">
        <v>-0.20710000000000001</v>
      </c>
      <c r="N143" s="20">
        <v>0.2031</v>
      </c>
      <c r="O143" s="20">
        <v>-2.8000000000000001E-2</v>
      </c>
      <c r="P143" s="20">
        <v>9.4500000000000001E-2</v>
      </c>
      <c r="Q143" s="20">
        <v>-0.1895</v>
      </c>
      <c r="R143" s="20">
        <v>-0.14990000000000001</v>
      </c>
      <c r="S143" s="20">
        <v>8.8700000000000001E-2</v>
      </c>
      <c r="T143" s="20">
        <v>0.11749999999999999</v>
      </c>
      <c r="U143" s="20">
        <v>-0.13009999999999999</v>
      </c>
      <c r="V143" s="20">
        <v>0.28739999999999999</v>
      </c>
      <c r="W143" s="20">
        <v>-9.4899999999999998E-2</v>
      </c>
      <c r="X143" s="20">
        <v>-0.29830000000000001</v>
      </c>
      <c r="Y143" s="20">
        <v>0.1603</v>
      </c>
      <c r="Z143" s="20">
        <v>0.01</v>
      </c>
      <c r="AA143" s="20">
        <v>-0.19620000000000001</v>
      </c>
      <c r="AB143" s="20">
        <v>5.5800000000000002E-2</v>
      </c>
      <c r="AC143" s="20">
        <v>0.3241</v>
      </c>
      <c r="AD143" s="20">
        <v>0.13800000000000001</v>
      </c>
      <c r="AE143" s="20">
        <v>-0.22900000000000001</v>
      </c>
      <c r="AF143" s="20">
        <v>-3.6900000000000002E-2</v>
      </c>
      <c r="AG143" s="20">
        <v>-0.23699999999999999</v>
      </c>
      <c r="AH143" s="20">
        <v>0.19639999999999999</v>
      </c>
      <c r="AI143" s="20">
        <v>-7.6700000000000004E-2</v>
      </c>
      <c r="AJ143" s="20">
        <v>5.7099999999999998E-2</v>
      </c>
      <c r="AK143" s="20">
        <v>0.10539999999999999</v>
      </c>
      <c r="AL143" s="21">
        <v>-2.3300000000000001E-2</v>
      </c>
    </row>
    <row r="144" spans="1:38">
      <c r="A144" s="20">
        <v>0.37419999999999998</v>
      </c>
      <c r="B144" s="20">
        <v>-0.24060000000000001</v>
      </c>
      <c r="C144" s="20">
        <v>-0.30259999999999998</v>
      </c>
      <c r="D144" s="20">
        <v>0.45440000000000003</v>
      </c>
      <c r="E144" s="20">
        <v>-6.7900000000000002E-2</v>
      </c>
      <c r="F144" s="20">
        <v>0.121</v>
      </c>
      <c r="G144" s="20">
        <v>-7.8600000000000003E-2</v>
      </c>
      <c r="H144" s="20">
        <v>-0.2621</v>
      </c>
      <c r="I144" s="20">
        <v>-0.10580000000000001</v>
      </c>
      <c r="J144" s="20">
        <v>-0.33139999999999997</v>
      </c>
      <c r="K144" s="20">
        <v>8.1699999999999995E-2</v>
      </c>
      <c r="L144" s="20">
        <v>4.7000000000000002E-3</v>
      </c>
      <c r="M144" s="20">
        <v>0.24299999999999999</v>
      </c>
      <c r="N144" s="20">
        <v>-0.2576</v>
      </c>
      <c r="O144" s="20">
        <v>0.15379999999999999</v>
      </c>
      <c r="P144" s="20">
        <v>-6.8500000000000005E-2</v>
      </c>
      <c r="Q144" s="20">
        <v>-5.8999999999999997E-2</v>
      </c>
      <c r="R144" s="20">
        <v>7.7799999999999994E-2</v>
      </c>
      <c r="S144" s="20">
        <v>-3.1E-2</v>
      </c>
      <c r="T144" s="20">
        <v>9.69E-2</v>
      </c>
      <c r="U144" s="20">
        <v>1.6400000000000001E-2</v>
      </c>
      <c r="V144" s="20">
        <v>6.7299999999999999E-2</v>
      </c>
      <c r="W144" s="20">
        <v>-8.7599999999999997E-2</v>
      </c>
      <c r="X144" s="20">
        <v>-9.4500000000000001E-2</v>
      </c>
      <c r="Y144" s="20">
        <v>5.74E-2</v>
      </c>
      <c r="Z144" s="20">
        <v>-7.9699999999999993E-2</v>
      </c>
      <c r="AA144" s="20">
        <v>0.09</v>
      </c>
      <c r="AB144" s="20">
        <v>2.9600000000000001E-2</v>
      </c>
      <c r="AC144" s="20">
        <v>-0.1003</v>
      </c>
      <c r="AD144" s="20">
        <v>5.5100000000000003E-2</v>
      </c>
      <c r="AE144" s="20">
        <v>9.9299999999999999E-2</v>
      </c>
      <c r="AF144" s="20">
        <v>0.10639999999999999</v>
      </c>
      <c r="AG144" s="20">
        <v>0.1149</v>
      </c>
      <c r="AH144" s="20">
        <v>-6.5100000000000005E-2</v>
      </c>
      <c r="AI144" s="20">
        <v>-7.6600000000000001E-2</v>
      </c>
      <c r="AJ144" s="20">
        <v>-1.5800000000000002E-2</v>
      </c>
      <c r="AK144" s="20">
        <v>0.1009</v>
      </c>
      <c r="AL144" s="21">
        <v>-2.3099999999999999E-2</v>
      </c>
    </row>
    <row r="145" spans="1:38">
      <c r="A145" s="20">
        <v>0.40060000000000001</v>
      </c>
      <c r="B145" s="20">
        <v>-0.31609999999999999</v>
      </c>
      <c r="C145" s="20">
        <v>2.6100000000000002E-2</v>
      </c>
      <c r="D145" s="20">
        <v>-0.53569999999999995</v>
      </c>
      <c r="E145" s="20">
        <v>0.35539999999999999</v>
      </c>
      <c r="F145" s="20">
        <v>-0.1867</v>
      </c>
      <c r="G145" s="20">
        <v>5.7099999999999998E-2</v>
      </c>
      <c r="H145" s="20">
        <v>-7.1900000000000006E-2</v>
      </c>
      <c r="I145" s="20">
        <v>-0.01</v>
      </c>
      <c r="J145" s="20">
        <v>-0.2329</v>
      </c>
      <c r="K145" s="20">
        <v>0.08</v>
      </c>
      <c r="L145" s="20">
        <v>4.3900000000000002E-2</v>
      </c>
      <c r="M145" s="20">
        <v>-1.06E-2</v>
      </c>
      <c r="N145" s="20">
        <v>-2.4500000000000001E-2</v>
      </c>
      <c r="O145" s="20">
        <v>3.7400000000000003E-2</v>
      </c>
      <c r="P145" s="20">
        <v>-0.03</v>
      </c>
      <c r="Q145" s="20">
        <v>-0.26579999999999998</v>
      </c>
      <c r="R145" s="20">
        <v>2.1899999999999999E-2</v>
      </c>
      <c r="S145" s="20">
        <v>-1.4800000000000001E-2</v>
      </c>
      <c r="T145" s="20">
        <v>0.15290000000000001</v>
      </c>
      <c r="U145" s="20">
        <v>3.9699999999999999E-2</v>
      </c>
      <c r="V145" s="20">
        <v>-0.13289999999999999</v>
      </c>
      <c r="W145" s="20">
        <v>-7.3899999999999993E-2</v>
      </c>
      <c r="X145" s="20">
        <v>5.8400000000000001E-2</v>
      </c>
      <c r="Y145" s="20">
        <v>8.9700000000000002E-2</v>
      </c>
      <c r="Z145" s="20">
        <v>2.6800000000000001E-2</v>
      </c>
      <c r="AA145" s="20">
        <v>-6.3200000000000006E-2</v>
      </c>
      <c r="AB145" s="20">
        <v>0.1893</v>
      </c>
      <c r="AC145" s="20">
        <v>2.8400000000000002E-2</v>
      </c>
      <c r="AD145" s="20">
        <v>8.7999999999999995E-2</v>
      </c>
      <c r="AE145" s="20">
        <v>-1.4800000000000001E-2</v>
      </c>
      <c r="AF145" s="20">
        <v>0.1116</v>
      </c>
      <c r="AG145" s="20">
        <v>-6.4799999999999996E-2</v>
      </c>
      <c r="AH145" s="20">
        <v>5.6399999999999999E-2</v>
      </c>
      <c r="AI145" s="20">
        <v>6.2899999999999998E-2</v>
      </c>
      <c r="AJ145" s="20">
        <v>1.26E-2</v>
      </c>
      <c r="AK145" s="20">
        <v>0.11219999999999999</v>
      </c>
      <c r="AL145" s="21">
        <v>1.9E-3</v>
      </c>
    </row>
    <row r="146" spans="1:38">
      <c r="A146" s="20">
        <v>0.1545</v>
      </c>
      <c r="B146" s="20">
        <v>-0.29070000000000001</v>
      </c>
      <c r="C146" s="20">
        <v>0.44209999999999999</v>
      </c>
      <c r="D146" s="20">
        <v>0.14549999999999999</v>
      </c>
      <c r="E146" s="20">
        <v>9.7000000000000003E-3</v>
      </c>
      <c r="F146" s="20">
        <v>-0.41160000000000002</v>
      </c>
      <c r="G146" s="20">
        <v>-1.6400000000000001E-2</v>
      </c>
      <c r="H146" s="20">
        <v>0.27089999999999997</v>
      </c>
      <c r="I146" s="20">
        <v>-0.2218</v>
      </c>
      <c r="J146" s="20">
        <v>8.7499999999999994E-2</v>
      </c>
      <c r="K146" s="20">
        <v>4.3200000000000002E-2</v>
      </c>
      <c r="L146" s="20">
        <v>0.13700000000000001</v>
      </c>
      <c r="M146" s="20">
        <v>-7.85E-2</v>
      </c>
      <c r="N146" s="20">
        <v>-0.23219999999999999</v>
      </c>
      <c r="O146" s="20">
        <v>9.1200000000000003E-2</v>
      </c>
      <c r="P146" s="20">
        <v>-9.6000000000000002E-2</v>
      </c>
      <c r="Q146" s="20">
        <v>-8.2299999999999998E-2</v>
      </c>
      <c r="R146" s="20">
        <v>2.0500000000000001E-2</v>
      </c>
      <c r="S146" s="20">
        <v>-9.1600000000000001E-2</v>
      </c>
      <c r="T146" s="20">
        <v>0.1411</v>
      </c>
      <c r="U146" s="20">
        <v>8.8200000000000001E-2</v>
      </c>
      <c r="V146" s="20">
        <v>-7.6999999999999999E-2</v>
      </c>
      <c r="W146" s="20">
        <v>6.4000000000000001E-2</v>
      </c>
      <c r="X146" s="20">
        <v>-3.7999999999999999E-2</v>
      </c>
      <c r="Y146" s="20">
        <v>0.13139999999999999</v>
      </c>
      <c r="Z146" s="20">
        <v>-0.1973</v>
      </c>
      <c r="AA146" s="20">
        <v>-0.1764</v>
      </c>
      <c r="AB146" s="20">
        <v>-0.1239</v>
      </c>
      <c r="AC146" s="20">
        <v>-6.0299999999999999E-2</v>
      </c>
      <c r="AD146" s="20">
        <v>8.1100000000000005E-2</v>
      </c>
      <c r="AE146" s="20">
        <v>-4.0000000000000002E-4</v>
      </c>
      <c r="AF146" s="20">
        <v>0.1366</v>
      </c>
      <c r="AG146" s="20">
        <v>0.1061</v>
      </c>
      <c r="AH146" s="20">
        <v>-0.1656</v>
      </c>
      <c r="AI146" s="20">
        <v>8.6699999999999999E-2</v>
      </c>
      <c r="AJ146" s="20">
        <v>4.9500000000000002E-2</v>
      </c>
      <c r="AK146" s="20">
        <v>0.18090000000000001</v>
      </c>
      <c r="AL146" s="21">
        <v>-9.5299999999999996E-2</v>
      </c>
    </row>
    <row r="147" spans="1:38">
      <c r="A147" s="20">
        <v>-3.3599999999999998E-2</v>
      </c>
      <c r="B147" s="20">
        <v>0.26190000000000002</v>
      </c>
      <c r="C147" s="20">
        <v>-0.1045</v>
      </c>
      <c r="D147" s="20">
        <v>-8.5099999999999995E-2</v>
      </c>
      <c r="E147" s="20">
        <v>-0.2447</v>
      </c>
      <c r="F147" s="20">
        <v>0.25600000000000001</v>
      </c>
      <c r="G147" s="20">
        <v>3.3399999999999999E-2</v>
      </c>
      <c r="H147" s="20">
        <v>0.30890000000000001</v>
      </c>
      <c r="I147" s="20">
        <v>3.0800000000000001E-2</v>
      </c>
      <c r="J147" s="20">
        <v>-7.8399999999999997E-2</v>
      </c>
      <c r="K147" s="20">
        <v>-9.5000000000000001E-2</v>
      </c>
      <c r="L147" s="20">
        <v>-0.19969999999999999</v>
      </c>
      <c r="M147" s="20">
        <v>0.2412</v>
      </c>
      <c r="N147" s="20">
        <v>9.11E-2</v>
      </c>
      <c r="O147" s="20">
        <v>-0.192</v>
      </c>
      <c r="P147" s="20">
        <v>-0.11990000000000001</v>
      </c>
      <c r="Q147" s="20">
        <v>-0.1237</v>
      </c>
      <c r="R147" s="20">
        <v>0.10630000000000001</v>
      </c>
      <c r="S147" s="20">
        <v>-3.4599999999999999E-2</v>
      </c>
      <c r="T147" s="20">
        <v>6.8099999999999994E-2</v>
      </c>
      <c r="U147" s="20">
        <v>-3.2599999999999997E-2</v>
      </c>
      <c r="V147" s="20">
        <v>-0.1104</v>
      </c>
      <c r="W147" s="20">
        <v>-0.1</v>
      </c>
      <c r="X147" s="20">
        <v>3.9300000000000002E-2</v>
      </c>
      <c r="Y147" s="20">
        <v>0.21210000000000001</v>
      </c>
      <c r="Z147" s="20">
        <v>0.2858</v>
      </c>
      <c r="AA147" s="20">
        <v>-0.22720000000000001</v>
      </c>
      <c r="AB147" s="20">
        <v>0.2021</v>
      </c>
      <c r="AC147" s="20">
        <v>-8.5300000000000001E-2</v>
      </c>
      <c r="AD147" s="20">
        <v>-0.13569999999999999</v>
      </c>
      <c r="AE147" s="20">
        <v>0.17169999999999999</v>
      </c>
      <c r="AF147" s="20">
        <v>-0.2432</v>
      </c>
      <c r="AG147" s="20">
        <v>-4.8599999999999997E-2</v>
      </c>
      <c r="AH147" s="20">
        <v>-1.6799999999999999E-2</v>
      </c>
      <c r="AI147" s="20">
        <v>0.19670000000000001</v>
      </c>
      <c r="AJ147" s="20">
        <v>-0.26960000000000001</v>
      </c>
      <c r="AK147" s="20">
        <v>-2.47E-2</v>
      </c>
      <c r="AL147" s="21">
        <v>0.1053</v>
      </c>
    </row>
    <row r="148" spans="1:38">
      <c r="A148" s="20">
        <v>-0.40770000000000001</v>
      </c>
      <c r="B148" s="20">
        <v>-1.89E-2</v>
      </c>
      <c r="C148" s="20">
        <v>-0.15620000000000001</v>
      </c>
      <c r="D148" s="20">
        <v>0.14829999999999999</v>
      </c>
      <c r="E148" s="20">
        <v>6.8199999999999997E-2</v>
      </c>
      <c r="F148" s="20">
        <v>0.11409999999999999</v>
      </c>
      <c r="G148" s="20">
        <v>-5.0799999999999998E-2</v>
      </c>
      <c r="H148" s="20">
        <v>0.2767</v>
      </c>
      <c r="I148" s="20">
        <v>-1.8599999999999998E-2</v>
      </c>
      <c r="J148" s="20">
        <v>-8.0699999999999994E-2</v>
      </c>
      <c r="K148" s="20">
        <v>-0.1741</v>
      </c>
      <c r="L148" s="20">
        <v>0.21210000000000001</v>
      </c>
      <c r="M148" s="20">
        <v>0.25040000000000001</v>
      </c>
      <c r="N148" s="20">
        <v>7.0199999999999999E-2</v>
      </c>
      <c r="O148" s="20">
        <v>-0.1197</v>
      </c>
      <c r="P148" s="20">
        <v>4.8999999999999998E-3</v>
      </c>
      <c r="Q148" s="20">
        <v>-0.2029</v>
      </c>
      <c r="R148" s="20">
        <v>0.2823</v>
      </c>
      <c r="S148" s="20">
        <v>7.5300000000000006E-2</v>
      </c>
      <c r="T148" s="20">
        <v>-0.14499999999999999</v>
      </c>
      <c r="U148" s="20">
        <v>0.1391</v>
      </c>
      <c r="V148" s="20">
        <v>-0.32500000000000001</v>
      </c>
      <c r="W148" s="20">
        <v>-0.12889999999999999</v>
      </c>
      <c r="X148" s="20">
        <v>0.28460000000000002</v>
      </c>
      <c r="Y148" s="20">
        <v>-1.5E-3</v>
      </c>
      <c r="Z148" s="20">
        <v>-2.07E-2</v>
      </c>
      <c r="AA148" s="20">
        <v>-0.1419</v>
      </c>
      <c r="AB148" s="20">
        <v>-0.1024</v>
      </c>
      <c r="AC148" s="20">
        <v>5.8200000000000002E-2</v>
      </c>
      <c r="AD148" s="20">
        <v>6.6600000000000006E-2</v>
      </c>
      <c r="AE148" s="20">
        <v>0.12640000000000001</v>
      </c>
      <c r="AF148" s="20">
        <v>0.14680000000000001</v>
      </c>
      <c r="AG148" s="20">
        <v>2.4500000000000001E-2</v>
      </c>
      <c r="AH148" s="20">
        <v>5.8500000000000003E-2</v>
      </c>
      <c r="AI148" s="20">
        <v>-0.15390000000000001</v>
      </c>
      <c r="AJ148" s="20">
        <v>-8.5800000000000001E-2</v>
      </c>
      <c r="AK148" s="20">
        <v>-0.184</v>
      </c>
      <c r="AL148" s="21">
        <v>0.10290000000000001</v>
      </c>
    </row>
    <row r="149" spans="1:38">
      <c r="A149" s="20">
        <v>-0.21110000000000001</v>
      </c>
      <c r="B149" s="20">
        <v>0.20480000000000001</v>
      </c>
      <c r="C149" s="20">
        <v>0.13850000000000001</v>
      </c>
      <c r="D149" s="20">
        <v>-0.16869999999999999</v>
      </c>
      <c r="E149" s="20">
        <v>-0.37959999999999999</v>
      </c>
      <c r="F149" s="20">
        <v>0.4078</v>
      </c>
      <c r="G149" s="20">
        <v>0.1507</v>
      </c>
      <c r="H149" s="20">
        <v>-8.1600000000000006E-2</v>
      </c>
      <c r="I149" s="20">
        <v>-0.13469999999999999</v>
      </c>
      <c r="J149" s="20">
        <v>-6.1600000000000002E-2</v>
      </c>
      <c r="K149" s="20">
        <v>-0.1401</v>
      </c>
      <c r="L149" s="20">
        <v>1.35E-2</v>
      </c>
      <c r="M149" s="20">
        <v>-2.8999999999999998E-3</v>
      </c>
      <c r="N149" s="20">
        <v>1.17E-2</v>
      </c>
      <c r="O149" s="20">
        <v>-1.6500000000000001E-2</v>
      </c>
      <c r="P149" s="20">
        <v>4.0599999999999997E-2</v>
      </c>
      <c r="Q149" s="20">
        <v>-0.1716</v>
      </c>
      <c r="R149" s="20">
        <v>-1.04E-2</v>
      </c>
      <c r="S149" s="20">
        <v>1.9599999999999999E-2</v>
      </c>
      <c r="T149" s="20">
        <v>0.17799999999999999</v>
      </c>
      <c r="U149" s="20">
        <v>0.15160000000000001</v>
      </c>
      <c r="V149" s="20">
        <v>-0.13739999999999999</v>
      </c>
      <c r="W149" s="20">
        <v>3.2000000000000002E-3</v>
      </c>
      <c r="X149" s="20">
        <v>-5.5300000000000002E-2</v>
      </c>
      <c r="Y149" s="20">
        <v>-3.8600000000000002E-2</v>
      </c>
      <c r="Z149" s="20">
        <v>0.1051</v>
      </c>
      <c r="AA149" s="20">
        <v>-0.12559999999999999</v>
      </c>
      <c r="AB149" s="20">
        <v>-4.8000000000000001E-2</v>
      </c>
      <c r="AC149" s="20">
        <v>-6.8599999999999994E-2</v>
      </c>
      <c r="AD149" s="20">
        <v>-7.9399999999999998E-2</v>
      </c>
      <c r="AE149" s="20">
        <v>0.17119999999999999</v>
      </c>
      <c r="AF149" s="20">
        <v>-6.6100000000000006E-2</v>
      </c>
      <c r="AG149" s="20">
        <v>-0.16889999999999999</v>
      </c>
      <c r="AH149" s="20">
        <v>-7.2900000000000006E-2</v>
      </c>
      <c r="AI149" s="20">
        <v>0.40439999999999998</v>
      </c>
      <c r="AJ149" s="20">
        <v>-0.1017</v>
      </c>
      <c r="AK149" s="20">
        <v>2.9499999999999998E-2</v>
      </c>
      <c r="AL149" s="21">
        <v>0.30309999999999998</v>
      </c>
    </row>
    <row r="150" spans="1:38">
      <c r="A150" s="20">
        <v>-9.2600000000000002E-2</v>
      </c>
      <c r="B150" s="20">
        <v>-0.33129999999999998</v>
      </c>
      <c r="C150" s="20">
        <v>0.1709</v>
      </c>
      <c r="D150" s="20">
        <v>0.35489999999999999</v>
      </c>
      <c r="E150" s="20">
        <v>0.17580000000000001</v>
      </c>
      <c r="F150" s="20">
        <v>-3.2899999999999999E-2</v>
      </c>
      <c r="G150" s="20">
        <v>-3.78E-2</v>
      </c>
      <c r="H150" s="20">
        <v>0.40200000000000002</v>
      </c>
      <c r="I150" s="20">
        <v>6.8099999999999994E-2</v>
      </c>
      <c r="J150" s="20">
        <v>2.4500000000000001E-2</v>
      </c>
      <c r="K150" s="20">
        <v>-0.19769999999999999</v>
      </c>
      <c r="L150" s="20">
        <v>0.1313</v>
      </c>
      <c r="M150" s="20">
        <v>-3.9E-2</v>
      </c>
      <c r="N150" s="20">
        <v>7.0699999999999999E-2</v>
      </c>
      <c r="O150" s="20">
        <v>4.4299999999999999E-2</v>
      </c>
      <c r="P150" s="20">
        <v>5.6500000000000002E-2</v>
      </c>
      <c r="Q150" s="20">
        <v>-0.1578</v>
      </c>
      <c r="R150" s="20">
        <v>-1.72E-2</v>
      </c>
      <c r="S150" s="20">
        <v>-5.1799999999999999E-2</v>
      </c>
      <c r="T150" s="20">
        <v>0.18659999999999999</v>
      </c>
      <c r="U150" s="20">
        <v>2.1000000000000001E-2</v>
      </c>
      <c r="V150" s="20">
        <v>-0.15429999999999999</v>
      </c>
      <c r="W150" s="20">
        <v>-9.2299999999999993E-2</v>
      </c>
      <c r="X150" s="20">
        <v>0.12720000000000001</v>
      </c>
      <c r="Y150" s="20">
        <v>-0.1217</v>
      </c>
      <c r="Z150" s="20">
        <v>-0.1671</v>
      </c>
      <c r="AA150" s="20">
        <v>-0.25969999999999999</v>
      </c>
      <c r="AB150" s="20">
        <v>-0.15920000000000001</v>
      </c>
      <c r="AC150" s="20">
        <v>0.06</v>
      </c>
      <c r="AD150" s="20">
        <v>0.14699999999999999</v>
      </c>
      <c r="AE150" s="20">
        <v>-0.1895</v>
      </c>
      <c r="AF150" s="20">
        <v>4.5400000000000003E-2</v>
      </c>
      <c r="AG150" s="20">
        <v>-0.1895</v>
      </c>
      <c r="AH150" s="20">
        <v>6.9000000000000006E-2</v>
      </c>
      <c r="AI150" s="20">
        <v>-0.21160000000000001</v>
      </c>
      <c r="AJ150" s="20">
        <v>0.1132</v>
      </c>
      <c r="AK150" s="20">
        <v>0.22239999999999999</v>
      </c>
      <c r="AL150" s="21">
        <v>8.3999999999999995E-3</v>
      </c>
    </row>
    <row r="151" spans="1:38">
      <c r="A151" s="20">
        <v>0.53569999999999995</v>
      </c>
      <c r="B151" s="20">
        <v>-0.23719999999999999</v>
      </c>
      <c r="C151" s="20">
        <v>-0.13270000000000001</v>
      </c>
      <c r="D151" s="20">
        <v>6.4000000000000001E-2</v>
      </c>
      <c r="E151" s="20">
        <v>0.1384</v>
      </c>
      <c r="F151" s="20">
        <v>4.8000000000000001E-2</v>
      </c>
      <c r="G151" s="20">
        <v>3.5999999999999999E-3</v>
      </c>
      <c r="H151" s="20">
        <v>4.5499999999999999E-2</v>
      </c>
      <c r="I151" s="20">
        <v>-0.2152</v>
      </c>
      <c r="J151" s="20">
        <v>0.1113</v>
      </c>
      <c r="K151" s="20">
        <v>-0.3226</v>
      </c>
      <c r="L151" s="20">
        <v>6.5799999999999997E-2</v>
      </c>
      <c r="M151" s="20">
        <v>0.1366</v>
      </c>
      <c r="N151" s="20">
        <v>-0.35460000000000003</v>
      </c>
      <c r="O151" s="20">
        <v>-8.1500000000000003E-2</v>
      </c>
      <c r="P151" s="20">
        <v>-7.6100000000000001E-2</v>
      </c>
      <c r="Q151" s="20">
        <v>7.1499999999999994E-2</v>
      </c>
      <c r="R151" s="20">
        <v>-0.1341</v>
      </c>
      <c r="S151" s="20">
        <v>0.13439999999999999</v>
      </c>
      <c r="T151" s="20">
        <v>0.1003</v>
      </c>
      <c r="U151" s="20">
        <v>0.21870000000000001</v>
      </c>
      <c r="V151" s="20">
        <v>3.2399999999999998E-2</v>
      </c>
      <c r="W151" s="20">
        <v>-0.15190000000000001</v>
      </c>
      <c r="X151" s="20">
        <v>-0.17929999999999999</v>
      </c>
      <c r="Y151" s="20">
        <v>-1.5299999999999999E-2</v>
      </c>
      <c r="Z151" s="20">
        <v>-0.1042</v>
      </c>
      <c r="AA151" s="20">
        <v>1.89E-2</v>
      </c>
      <c r="AB151" s="20">
        <v>0.1142</v>
      </c>
      <c r="AC151" s="20">
        <v>1.35E-2</v>
      </c>
      <c r="AD151" s="20">
        <v>0.1046</v>
      </c>
      <c r="AE151" s="20">
        <v>0.21340000000000001</v>
      </c>
      <c r="AF151" s="20">
        <v>-0.1216</v>
      </c>
      <c r="AG151" s="20">
        <v>2.7400000000000001E-2</v>
      </c>
      <c r="AH151" s="20">
        <v>-1.4E-3</v>
      </c>
      <c r="AI151" s="20">
        <v>-0.1106</v>
      </c>
      <c r="AJ151" s="20">
        <v>0.1295</v>
      </c>
      <c r="AK151" s="20">
        <v>-6.9999999999999999E-4</v>
      </c>
      <c r="AL151" s="21">
        <v>-8.1100000000000005E-2</v>
      </c>
    </row>
    <row r="152" spans="1:38">
      <c r="A152" s="20">
        <v>0.35239999999999999</v>
      </c>
      <c r="B152" s="20">
        <v>-9.0899999999999995E-2</v>
      </c>
      <c r="C152" s="20">
        <v>-0.1028</v>
      </c>
      <c r="D152" s="20">
        <v>0.31730000000000003</v>
      </c>
      <c r="E152" s="20">
        <v>-0.17749999999999999</v>
      </c>
      <c r="F152" s="20">
        <v>0.2177</v>
      </c>
      <c r="G152" s="20">
        <v>0.13869999999999999</v>
      </c>
      <c r="H152" s="20">
        <v>-0.4627</v>
      </c>
      <c r="I152" s="20">
        <v>-2.2000000000000001E-3</v>
      </c>
      <c r="J152" s="20">
        <v>-0.30680000000000002</v>
      </c>
      <c r="K152" s="20">
        <v>-4.4200000000000003E-2</v>
      </c>
      <c r="L152" s="20">
        <v>0.2366</v>
      </c>
      <c r="M152" s="20">
        <v>-4.9099999999999998E-2</v>
      </c>
      <c r="N152" s="20">
        <v>0.15570000000000001</v>
      </c>
      <c r="O152" s="20">
        <v>0.11360000000000001</v>
      </c>
      <c r="P152" s="20">
        <v>-0.15590000000000001</v>
      </c>
      <c r="Q152" s="20">
        <v>-0.2021</v>
      </c>
      <c r="R152" s="20">
        <v>9.4000000000000004E-3</v>
      </c>
      <c r="S152" s="20">
        <v>-0.1487</v>
      </c>
      <c r="T152" s="20">
        <v>-6.2100000000000002E-2</v>
      </c>
      <c r="U152" s="20">
        <v>0.1492</v>
      </c>
      <c r="V152" s="20">
        <v>-2.0500000000000001E-2</v>
      </c>
      <c r="W152" s="20">
        <v>1.03E-2</v>
      </c>
      <c r="X152" s="20">
        <v>-0.23899999999999999</v>
      </c>
      <c r="Y152" s="20">
        <v>7.1999999999999995E-2</v>
      </c>
      <c r="Z152" s="20">
        <v>-8.8200000000000001E-2</v>
      </c>
      <c r="AA152" s="20">
        <v>8.3400000000000002E-2</v>
      </c>
      <c r="AB152" s="20">
        <v>0.10929999999999999</v>
      </c>
      <c r="AC152" s="20">
        <v>-4.8599999999999997E-2</v>
      </c>
      <c r="AD152" s="20">
        <v>-8.5800000000000001E-2</v>
      </c>
      <c r="AE152" s="20">
        <v>-4.48E-2</v>
      </c>
      <c r="AF152" s="20">
        <v>-4.8999999999999998E-3</v>
      </c>
      <c r="AG152" s="20">
        <v>2.9700000000000001E-2</v>
      </c>
      <c r="AH152" s="20">
        <v>5.5599999999999997E-2</v>
      </c>
      <c r="AI152" s="20">
        <v>7.6600000000000001E-2</v>
      </c>
      <c r="AJ152" s="20">
        <v>0.1603</v>
      </c>
      <c r="AK152" s="20">
        <v>0</v>
      </c>
      <c r="AL152" s="21">
        <v>4.7800000000000002E-2</v>
      </c>
    </row>
    <row r="153" spans="1:38">
      <c r="A153" s="20">
        <v>-0.7117</v>
      </c>
      <c r="B153" s="20">
        <v>-1.2999999999999999E-3</v>
      </c>
      <c r="C153" s="20">
        <v>-0.13780000000000001</v>
      </c>
      <c r="D153" s="20">
        <v>-8.3400000000000002E-2</v>
      </c>
      <c r="E153" s="20">
        <v>0.20699999999999999</v>
      </c>
      <c r="F153" s="20">
        <v>4.1799999999999997E-2</v>
      </c>
      <c r="G153" s="20">
        <v>0.13789999999999999</v>
      </c>
      <c r="H153" s="20">
        <v>-3.8199999999999998E-2</v>
      </c>
      <c r="I153" s="20">
        <v>-0.1326</v>
      </c>
      <c r="J153" s="20">
        <v>0.1168</v>
      </c>
      <c r="K153" s="20">
        <v>-2.2100000000000002E-2</v>
      </c>
      <c r="L153" s="20">
        <v>0.1115</v>
      </c>
      <c r="M153" s="20">
        <v>0.1099</v>
      </c>
      <c r="N153" s="20">
        <v>3.8999999999999998E-3</v>
      </c>
      <c r="O153" s="20">
        <v>-5.5E-2</v>
      </c>
      <c r="P153" s="20">
        <v>-0.17230000000000001</v>
      </c>
      <c r="Q153" s="20">
        <v>-1.2999999999999999E-3</v>
      </c>
      <c r="R153" s="20">
        <v>0.12429999999999999</v>
      </c>
      <c r="S153" s="20">
        <v>2.76E-2</v>
      </c>
      <c r="T153" s="20">
        <v>0.14779999999999999</v>
      </c>
      <c r="U153" s="20">
        <v>3.39E-2</v>
      </c>
      <c r="V153" s="20">
        <v>-0.2452</v>
      </c>
      <c r="W153" s="20">
        <v>-1.5100000000000001E-2</v>
      </c>
      <c r="X153" s="20">
        <v>-6.4000000000000003E-3</v>
      </c>
      <c r="Y153" s="20">
        <v>-0.1177</v>
      </c>
      <c r="Z153" s="20">
        <v>0.22359999999999999</v>
      </c>
      <c r="AA153" s="20">
        <v>2.5000000000000001E-3</v>
      </c>
      <c r="AB153" s="20">
        <v>2.53E-2</v>
      </c>
      <c r="AC153" s="20">
        <v>-4.9299999999999997E-2</v>
      </c>
      <c r="AD153" s="20">
        <v>-8.7900000000000006E-2</v>
      </c>
      <c r="AE153" s="20">
        <v>9.4799999999999995E-2</v>
      </c>
      <c r="AF153" s="20">
        <v>9.6100000000000005E-2</v>
      </c>
      <c r="AG153" s="20">
        <v>0.24929999999999999</v>
      </c>
      <c r="AH153" s="20">
        <v>-0.14380000000000001</v>
      </c>
      <c r="AI153" s="20">
        <v>0.1072</v>
      </c>
      <c r="AJ153" s="20">
        <v>0.1605</v>
      </c>
      <c r="AK153" s="20">
        <v>2.0400000000000001E-2</v>
      </c>
      <c r="AL153" s="21">
        <v>-2.3699999999999999E-2</v>
      </c>
    </row>
    <row r="154" spans="1:38">
      <c r="A154" s="20">
        <v>-0.41149999999999998</v>
      </c>
      <c r="B154" s="20">
        <v>-0.27110000000000001</v>
      </c>
      <c r="C154" s="20">
        <v>3.9899999999999998E-2</v>
      </c>
      <c r="D154" s="20">
        <v>0.2984</v>
      </c>
      <c r="E154" s="20">
        <v>0.1608</v>
      </c>
      <c r="F154" s="20">
        <v>-0.15909999999999999</v>
      </c>
      <c r="G154" s="20">
        <v>0.1603</v>
      </c>
      <c r="H154" s="20">
        <v>-0.1973</v>
      </c>
      <c r="I154" s="20">
        <v>-0.29580000000000001</v>
      </c>
      <c r="J154" s="20">
        <v>8.8700000000000001E-2</v>
      </c>
      <c r="K154" s="20">
        <v>-0.2571</v>
      </c>
      <c r="L154" s="20">
        <v>0.20880000000000001</v>
      </c>
      <c r="M154" s="20">
        <v>0.1474</v>
      </c>
      <c r="N154" s="20">
        <v>-3.2300000000000002E-2</v>
      </c>
      <c r="O154" s="20">
        <v>-0.10299999999999999</v>
      </c>
      <c r="P154" s="20">
        <v>-0.12770000000000001</v>
      </c>
      <c r="Q154" s="20">
        <v>9.1499999999999998E-2</v>
      </c>
      <c r="R154" s="20">
        <v>0.2928</v>
      </c>
      <c r="S154" s="20">
        <v>1.7999999999999999E-2</v>
      </c>
      <c r="T154" s="20">
        <v>0.1777</v>
      </c>
      <c r="U154" s="20">
        <v>-1.8200000000000001E-2</v>
      </c>
      <c r="V154" s="20">
        <v>8.6999999999999994E-3</v>
      </c>
      <c r="W154" s="20">
        <v>-3.5099999999999999E-2</v>
      </c>
      <c r="X154" s="20">
        <v>-0.18410000000000001</v>
      </c>
      <c r="Y154" s="20">
        <v>-6.0100000000000001E-2</v>
      </c>
      <c r="Z154" s="20">
        <v>0.15720000000000001</v>
      </c>
      <c r="AA154" s="20">
        <v>3.9600000000000003E-2</v>
      </c>
      <c r="AB154" s="20">
        <v>5.8400000000000001E-2</v>
      </c>
      <c r="AC154" s="20">
        <v>0.20380000000000001</v>
      </c>
      <c r="AD154" s="20">
        <v>-0.14480000000000001</v>
      </c>
      <c r="AE154" s="20">
        <v>-0.1263</v>
      </c>
      <c r="AF154" s="20">
        <v>-3.6799999999999999E-2</v>
      </c>
      <c r="AG154" s="20">
        <v>8.3099999999999993E-2</v>
      </c>
      <c r="AH154" s="20">
        <v>8.0000000000000004E-4</v>
      </c>
      <c r="AI154" s="20">
        <v>6.3399999999999998E-2</v>
      </c>
      <c r="AJ154" s="20">
        <v>3.1199999999999999E-2</v>
      </c>
      <c r="AK154" s="20">
        <v>2.9499999999999998E-2</v>
      </c>
      <c r="AL154" s="21">
        <v>9.2600000000000002E-2</v>
      </c>
    </row>
    <row r="155" spans="1:38">
      <c r="A155" s="20">
        <v>-0.48130000000000001</v>
      </c>
      <c r="B155" s="20">
        <v>6.9900000000000004E-2</v>
      </c>
      <c r="C155" s="20">
        <v>-7.1599999999999997E-2</v>
      </c>
      <c r="D155" s="20">
        <v>-0.1027</v>
      </c>
      <c r="E155" s="20">
        <v>0.24210000000000001</v>
      </c>
      <c r="F155" s="20">
        <v>-0.23569999999999999</v>
      </c>
      <c r="G155" s="20">
        <v>0.1792</v>
      </c>
      <c r="H155" s="20">
        <v>-0.1321</v>
      </c>
      <c r="I155" s="20">
        <v>-0.1094</v>
      </c>
      <c r="J155" s="20">
        <v>3.9199999999999999E-2</v>
      </c>
      <c r="K155" s="20">
        <v>-5.8900000000000001E-2</v>
      </c>
      <c r="L155" s="20">
        <v>0.23330000000000001</v>
      </c>
      <c r="M155" s="20">
        <v>0.12180000000000001</v>
      </c>
      <c r="N155" s="20">
        <v>-0.1011</v>
      </c>
      <c r="O155" s="20">
        <v>-0.1</v>
      </c>
      <c r="P155" s="20">
        <v>-0.16039999999999999</v>
      </c>
      <c r="Q155" s="20">
        <v>-2.3099999999999999E-2</v>
      </c>
      <c r="R155" s="20">
        <v>2.1700000000000001E-2</v>
      </c>
      <c r="S155" s="20">
        <v>-2.6800000000000001E-2</v>
      </c>
      <c r="T155" s="20">
        <v>-1.7999999999999999E-2</v>
      </c>
      <c r="U155" s="20">
        <v>-1.6299999999999999E-2</v>
      </c>
      <c r="V155" s="20">
        <v>-1.41E-2</v>
      </c>
      <c r="W155" s="20">
        <v>-0.21149999999999999</v>
      </c>
      <c r="X155" s="20">
        <v>3.1300000000000001E-2</v>
      </c>
      <c r="Y155" s="20">
        <v>-0.18160000000000001</v>
      </c>
      <c r="Z155" s="20">
        <v>0.2084</v>
      </c>
      <c r="AA155" s="20">
        <v>8.9099999999999999E-2</v>
      </c>
      <c r="AB155" s="20">
        <v>0.1973</v>
      </c>
      <c r="AC155" s="20">
        <v>0.13930000000000001</v>
      </c>
      <c r="AD155" s="20">
        <v>4.1200000000000001E-2</v>
      </c>
      <c r="AE155" s="20">
        <v>0.2482</v>
      </c>
      <c r="AF155" s="20">
        <v>6.3500000000000001E-2</v>
      </c>
      <c r="AG155" s="20">
        <v>0.2198</v>
      </c>
      <c r="AH155" s="20">
        <v>-0.31259999999999999</v>
      </c>
      <c r="AI155" s="20">
        <v>-7.7200000000000005E-2</v>
      </c>
      <c r="AJ155" s="20">
        <v>0.16339999999999999</v>
      </c>
      <c r="AK155" s="20">
        <v>1.4E-3</v>
      </c>
      <c r="AL155" s="21">
        <v>0.1222</v>
      </c>
    </row>
    <row r="156" spans="1:38">
      <c r="A156" s="20">
        <v>7.9500000000000001E-2</v>
      </c>
      <c r="B156" s="20">
        <v>-0.41959999999999997</v>
      </c>
      <c r="C156" s="20">
        <v>0.2452</v>
      </c>
      <c r="D156" s="20">
        <v>-0.19389999999999999</v>
      </c>
      <c r="E156" s="20">
        <v>0.3856</v>
      </c>
      <c r="F156" s="20">
        <v>-0.15640000000000001</v>
      </c>
      <c r="G156" s="20">
        <v>1.77E-2</v>
      </c>
      <c r="H156" s="20">
        <v>-0.14269999999999999</v>
      </c>
      <c r="I156" s="20">
        <v>-0.23630000000000001</v>
      </c>
      <c r="J156" s="20">
        <v>-0.14580000000000001</v>
      </c>
      <c r="K156" s="20">
        <v>-6.2700000000000006E-2</v>
      </c>
      <c r="L156" s="20">
        <v>0.246</v>
      </c>
      <c r="M156" s="20">
        <v>5.79E-2</v>
      </c>
      <c r="N156" s="20">
        <v>-0.24340000000000001</v>
      </c>
      <c r="O156" s="20">
        <v>-3.1800000000000002E-2</v>
      </c>
      <c r="P156" s="20">
        <v>-0.1042</v>
      </c>
      <c r="Q156" s="20">
        <v>-0.23100000000000001</v>
      </c>
      <c r="R156" s="20">
        <v>4.5100000000000001E-2</v>
      </c>
      <c r="S156" s="20">
        <v>8.8300000000000003E-2</v>
      </c>
      <c r="T156" s="20">
        <v>0</v>
      </c>
      <c r="U156" s="20">
        <v>0.23899999999999999</v>
      </c>
      <c r="V156" s="20">
        <v>-0.16209999999999999</v>
      </c>
      <c r="W156" s="20">
        <v>0.17399999999999999</v>
      </c>
      <c r="X156" s="20">
        <v>1.6799999999999999E-2</v>
      </c>
      <c r="Y156" s="20">
        <v>6.6299999999999998E-2</v>
      </c>
      <c r="Z156" s="20">
        <v>-0.12809999999999999</v>
      </c>
      <c r="AA156" s="20">
        <v>-1.41E-2</v>
      </c>
      <c r="AB156" s="20">
        <v>3.3099999999999997E-2</v>
      </c>
      <c r="AC156" s="20">
        <v>-1.77E-2</v>
      </c>
      <c r="AD156" s="20">
        <v>-4.0000000000000002E-4</v>
      </c>
      <c r="AE156" s="20">
        <v>0.18459999999999999</v>
      </c>
      <c r="AF156" s="20">
        <v>0.19570000000000001</v>
      </c>
      <c r="AG156" s="20">
        <v>9.8500000000000004E-2</v>
      </c>
      <c r="AH156" s="20">
        <v>-2.8299999999999999E-2</v>
      </c>
      <c r="AI156" s="20">
        <v>-7.4999999999999997E-3</v>
      </c>
      <c r="AJ156" s="20">
        <v>6.0999999999999999E-2</v>
      </c>
      <c r="AK156" s="20">
        <v>-4.5499999999999999E-2</v>
      </c>
      <c r="AL156" s="21">
        <v>0.14749999999999999</v>
      </c>
    </row>
    <row r="157" spans="1:38">
      <c r="A157" s="20">
        <v>-0.10829999999999999</v>
      </c>
      <c r="B157" s="20">
        <v>9.1899999999999996E-2</v>
      </c>
      <c r="C157" s="20">
        <v>4.4999999999999997E-3</v>
      </c>
      <c r="D157" s="20">
        <v>8.6999999999999994E-3</v>
      </c>
      <c r="E157" s="20">
        <v>0.41220000000000001</v>
      </c>
      <c r="F157" s="20">
        <v>-0.1313</v>
      </c>
      <c r="G157" s="20">
        <v>-0.27489999999999998</v>
      </c>
      <c r="H157" s="20">
        <v>-0.2477</v>
      </c>
      <c r="I157" s="20">
        <v>6.7100000000000007E-2</v>
      </c>
      <c r="J157" s="20">
        <v>0.2676</v>
      </c>
      <c r="K157" s="20">
        <v>8.77E-2</v>
      </c>
      <c r="L157" s="20">
        <v>0.17499999999999999</v>
      </c>
      <c r="M157" s="20">
        <v>-2.69E-2</v>
      </c>
      <c r="N157" s="20">
        <v>0.3357</v>
      </c>
      <c r="O157" s="20">
        <v>-0.16980000000000001</v>
      </c>
      <c r="P157" s="20">
        <v>-7.7899999999999997E-2</v>
      </c>
      <c r="Q157" s="20">
        <v>0.1177</v>
      </c>
      <c r="R157" s="20">
        <v>-0.16350000000000001</v>
      </c>
      <c r="S157" s="20">
        <v>3.56E-2</v>
      </c>
      <c r="T157" s="20">
        <v>1.7100000000000001E-2</v>
      </c>
      <c r="U157" s="20">
        <v>8.0699999999999994E-2</v>
      </c>
      <c r="V157" s="20">
        <v>-4.9299999999999997E-2</v>
      </c>
      <c r="W157" s="20">
        <v>7.8899999999999998E-2</v>
      </c>
      <c r="X157" s="20">
        <v>-8.5900000000000004E-2</v>
      </c>
      <c r="Y157" s="20">
        <v>0.1188</v>
      </c>
      <c r="Z157" s="20">
        <v>8.7300000000000003E-2</v>
      </c>
      <c r="AA157" s="20">
        <v>9.1499999999999998E-2</v>
      </c>
      <c r="AB157" s="20">
        <v>-0.17849999999999999</v>
      </c>
      <c r="AC157" s="20">
        <v>-0.1037</v>
      </c>
      <c r="AD157" s="20">
        <v>-0.18970000000000001</v>
      </c>
      <c r="AE157" s="20">
        <v>-3.7400000000000003E-2</v>
      </c>
      <c r="AF157" s="20">
        <v>8.3500000000000005E-2</v>
      </c>
      <c r="AG157" s="20">
        <v>-0.22500000000000001</v>
      </c>
      <c r="AH157" s="20">
        <v>-9.6799999999999997E-2</v>
      </c>
      <c r="AI157" s="20">
        <v>-0.15329999999999999</v>
      </c>
      <c r="AJ157" s="20">
        <v>0.1918</v>
      </c>
      <c r="AK157" s="20">
        <v>0.19320000000000001</v>
      </c>
      <c r="AL157" s="21">
        <v>-0.2316</v>
      </c>
    </row>
    <row r="158" spans="1:38">
      <c r="A158" s="20">
        <v>-8.2299999999999998E-2</v>
      </c>
      <c r="B158" s="20">
        <v>0.32529999999999998</v>
      </c>
      <c r="C158" s="20">
        <v>0.35060000000000002</v>
      </c>
      <c r="D158" s="20">
        <v>-0.14960000000000001</v>
      </c>
      <c r="E158" s="20">
        <v>-0.2361</v>
      </c>
      <c r="F158" s="20">
        <v>0.20100000000000001</v>
      </c>
      <c r="G158" s="20">
        <v>6.1000000000000004E-3</v>
      </c>
      <c r="H158" s="20">
        <v>-0.2407</v>
      </c>
      <c r="I158" s="20">
        <v>-0.33360000000000001</v>
      </c>
      <c r="J158" s="20">
        <v>9.5100000000000004E-2</v>
      </c>
      <c r="K158" s="20">
        <v>0.11899999999999999</v>
      </c>
      <c r="L158" s="20">
        <v>-3.5200000000000002E-2</v>
      </c>
      <c r="M158" s="20">
        <v>-0.14940000000000001</v>
      </c>
      <c r="N158" s="20">
        <v>8.8000000000000005E-3</v>
      </c>
      <c r="O158" s="20">
        <v>0.16889999999999999</v>
      </c>
      <c r="P158" s="20">
        <v>6.6299999999999998E-2</v>
      </c>
      <c r="Q158" s="20">
        <v>-3.73E-2</v>
      </c>
      <c r="R158" s="20">
        <v>-0.21210000000000001</v>
      </c>
      <c r="S158" s="20">
        <v>-0.1673</v>
      </c>
      <c r="T158" s="20">
        <v>2.2100000000000002E-2</v>
      </c>
      <c r="U158" s="20">
        <v>0.13300000000000001</v>
      </c>
      <c r="V158" s="20">
        <v>-7.6499999999999999E-2</v>
      </c>
      <c r="W158" s="20">
        <v>0.14710000000000001</v>
      </c>
      <c r="X158" s="20">
        <v>0.1246</v>
      </c>
      <c r="Y158" s="20">
        <v>0.246</v>
      </c>
      <c r="Z158" s="20">
        <v>0.106</v>
      </c>
      <c r="AA158" s="20">
        <v>0.1643</v>
      </c>
      <c r="AB158" s="20">
        <v>4.8399999999999999E-2</v>
      </c>
      <c r="AC158" s="20">
        <v>-0.1124</v>
      </c>
      <c r="AD158" s="20">
        <v>1.1999999999999999E-3</v>
      </c>
      <c r="AE158" s="20">
        <v>0.1023</v>
      </c>
      <c r="AF158" s="20">
        <v>-0.15310000000000001</v>
      </c>
      <c r="AG158" s="20">
        <v>-0.1152</v>
      </c>
      <c r="AH158" s="20">
        <v>-0.192</v>
      </c>
      <c r="AI158" s="20">
        <v>-0.10539999999999999</v>
      </c>
      <c r="AJ158" s="20">
        <v>-0.12839999999999999</v>
      </c>
      <c r="AK158" s="20">
        <v>0.1729</v>
      </c>
      <c r="AL158" s="21">
        <v>-7.7899999999999997E-2</v>
      </c>
    </row>
    <row r="159" spans="1:38">
      <c r="A159" s="20">
        <v>-0.1169</v>
      </c>
      <c r="B159" s="20">
        <v>-9.8900000000000002E-2</v>
      </c>
      <c r="C159" s="20">
        <v>0.1237</v>
      </c>
      <c r="D159" s="20">
        <v>6.6600000000000006E-2</v>
      </c>
      <c r="E159" s="20">
        <v>-5.7999999999999996E-3</v>
      </c>
      <c r="F159" s="20">
        <v>-0.18909999999999999</v>
      </c>
      <c r="G159" s="20">
        <v>-0.25609999999999999</v>
      </c>
      <c r="H159" s="20">
        <v>-2.87E-2</v>
      </c>
      <c r="I159" s="20">
        <v>0.31380000000000002</v>
      </c>
      <c r="J159" s="20">
        <v>0.13100000000000001</v>
      </c>
      <c r="K159" s="20">
        <v>0.1532</v>
      </c>
      <c r="L159" s="20">
        <v>0.11260000000000001</v>
      </c>
      <c r="M159" s="20">
        <v>0.21190000000000001</v>
      </c>
      <c r="N159" s="20">
        <v>-0.15390000000000001</v>
      </c>
      <c r="O159" s="20">
        <v>-0.19339999999999999</v>
      </c>
      <c r="P159" s="20">
        <v>0.41670000000000001</v>
      </c>
      <c r="Q159" s="20">
        <v>-3.1600000000000003E-2</v>
      </c>
      <c r="R159" s="20">
        <v>-1.4E-3</v>
      </c>
      <c r="S159" s="20">
        <v>-0.23230000000000001</v>
      </c>
      <c r="T159" s="20">
        <v>9.9900000000000003E-2</v>
      </c>
      <c r="U159" s="20">
        <v>-0.13780000000000001</v>
      </c>
      <c r="V159" s="20">
        <v>6.0100000000000001E-2</v>
      </c>
      <c r="W159" s="20">
        <v>-4.02E-2</v>
      </c>
      <c r="X159" s="20">
        <v>-0.1019</v>
      </c>
      <c r="Y159" s="20">
        <v>0.15690000000000001</v>
      </c>
      <c r="Z159" s="20">
        <v>-0.28570000000000001</v>
      </c>
      <c r="AA159" s="20">
        <v>0.22969999999999999</v>
      </c>
      <c r="AB159" s="20">
        <v>7.1400000000000005E-2</v>
      </c>
      <c r="AC159" s="20">
        <v>-6.0600000000000001E-2</v>
      </c>
      <c r="AD159" s="20">
        <v>4.2500000000000003E-2</v>
      </c>
      <c r="AE159" s="20">
        <v>4.1399999999999999E-2</v>
      </c>
      <c r="AF159" s="20">
        <v>-9.3399999999999997E-2</v>
      </c>
      <c r="AG159" s="20">
        <v>0.17399999999999999</v>
      </c>
      <c r="AH159" s="20">
        <v>0.14419999999999999</v>
      </c>
      <c r="AI159" s="20">
        <v>-9.9000000000000008E-3</v>
      </c>
      <c r="AJ159" s="20">
        <v>-0.1036</v>
      </c>
      <c r="AK159" s="20">
        <v>-0.20219999999999999</v>
      </c>
      <c r="AL159" s="21">
        <v>-0.20219999999999999</v>
      </c>
    </row>
    <row r="160" spans="1:38">
      <c r="A160" s="20">
        <v>-0.55289999999999995</v>
      </c>
      <c r="B160" s="20">
        <v>-0.26590000000000003</v>
      </c>
      <c r="C160" s="20">
        <v>0.13969999999999999</v>
      </c>
      <c r="D160" s="20">
        <v>0.26140000000000002</v>
      </c>
      <c r="E160" s="20">
        <v>0.35539999999999999</v>
      </c>
      <c r="F160" s="20">
        <v>0.12809999999999999</v>
      </c>
      <c r="G160" s="20">
        <v>-0.19889999999999999</v>
      </c>
      <c r="H160" s="20">
        <v>2.52E-2</v>
      </c>
      <c r="I160" s="20">
        <v>0.24540000000000001</v>
      </c>
      <c r="J160" s="20">
        <v>-5.9900000000000002E-2</v>
      </c>
      <c r="K160" s="20">
        <v>0.1043</v>
      </c>
      <c r="L160" s="20">
        <v>0.15709999999999999</v>
      </c>
      <c r="M160" s="20">
        <v>-0.12790000000000001</v>
      </c>
      <c r="N160" s="20">
        <v>-0.10730000000000001</v>
      </c>
      <c r="O160" s="20">
        <v>0.1416</v>
      </c>
      <c r="P160" s="20">
        <v>-0.18609999999999999</v>
      </c>
      <c r="Q160" s="20">
        <v>-4.1200000000000001E-2</v>
      </c>
      <c r="R160" s="20">
        <v>-7.0000000000000001E-3</v>
      </c>
      <c r="S160" s="20">
        <v>0.12620000000000001</v>
      </c>
      <c r="T160" s="20">
        <v>-5.6500000000000002E-2</v>
      </c>
      <c r="U160" s="20">
        <v>9.8500000000000004E-2</v>
      </c>
      <c r="V160" s="20">
        <v>-1.49E-2</v>
      </c>
      <c r="W160" s="20">
        <v>0.2384</v>
      </c>
      <c r="X160" s="20">
        <v>0.1004</v>
      </c>
      <c r="Y160" s="20">
        <v>1.47E-2</v>
      </c>
      <c r="Z160" s="20">
        <v>-3.7999999999999999E-2</v>
      </c>
      <c r="AA160" s="20">
        <v>-0.11559999999999999</v>
      </c>
      <c r="AB160" s="20">
        <v>0.1128</v>
      </c>
      <c r="AC160" s="20">
        <v>-0.13730000000000001</v>
      </c>
      <c r="AD160" s="20">
        <v>-3.9E-2</v>
      </c>
      <c r="AE160" s="20">
        <v>-7.1900000000000006E-2</v>
      </c>
      <c r="AF160" s="20">
        <v>-3.6900000000000002E-2</v>
      </c>
      <c r="AG160" s="20">
        <v>-7.0099999999999996E-2</v>
      </c>
      <c r="AH160" s="20">
        <v>-2.9399999999999999E-2</v>
      </c>
      <c r="AI160" s="20">
        <v>-0.10920000000000001</v>
      </c>
      <c r="AJ160" s="20">
        <v>-8.3000000000000001E-3</v>
      </c>
      <c r="AK160" s="20">
        <v>3.5999999999999999E-3</v>
      </c>
      <c r="AL160" s="21">
        <v>2.7300000000000001E-2</v>
      </c>
    </row>
    <row r="161" spans="1:38">
      <c r="A161" s="20">
        <v>-0.2056</v>
      </c>
      <c r="B161" s="20">
        <v>4.3200000000000002E-2</v>
      </c>
      <c r="C161" s="20">
        <v>0.21340000000000001</v>
      </c>
      <c r="D161" s="20">
        <v>0.25409999999999999</v>
      </c>
      <c r="E161" s="20">
        <v>-0.188</v>
      </c>
      <c r="F161" s="20">
        <v>-0.20430000000000001</v>
      </c>
      <c r="G161" s="20">
        <v>-0.1021</v>
      </c>
      <c r="H161" s="20">
        <v>-0.50770000000000004</v>
      </c>
      <c r="I161" s="20">
        <v>-0.1133</v>
      </c>
      <c r="J161" s="20">
        <v>7.5999999999999998E-2</v>
      </c>
      <c r="K161" s="20">
        <v>-0.1235</v>
      </c>
      <c r="L161" s="20">
        <v>0.29930000000000001</v>
      </c>
      <c r="M161" s="20">
        <v>8.1299999999999997E-2</v>
      </c>
      <c r="N161" s="20">
        <v>-6.9099999999999995E-2</v>
      </c>
      <c r="O161" s="20">
        <v>-0.24929999999999999</v>
      </c>
      <c r="P161" s="20">
        <v>6.5299999999999997E-2</v>
      </c>
      <c r="Q161" s="20">
        <v>0.27139999999999997</v>
      </c>
      <c r="R161" s="20">
        <v>-0.11459999999999999</v>
      </c>
      <c r="S161" s="20">
        <v>0.1021</v>
      </c>
      <c r="T161" s="20">
        <v>0.19819999999999999</v>
      </c>
      <c r="U161" s="20">
        <v>-0.1024</v>
      </c>
      <c r="V161" s="20">
        <v>8.4900000000000003E-2</v>
      </c>
      <c r="W161" s="20">
        <v>0.14410000000000001</v>
      </c>
      <c r="X161" s="20">
        <v>-0.10290000000000001</v>
      </c>
      <c r="Y161" s="20">
        <v>-0.108</v>
      </c>
      <c r="Z161" s="20">
        <v>-7.0099999999999996E-2</v>
      </c>
      <c r="AA161" s="20">
        <v>1.5800000000000002E-2</v>
      </c>
      <c r="AB161" s="20">
        <v>0.1225</v>
      </c>
      <c r="AC161" s="20">
        <v>0.125</v>
      </c>
      <c r="AD161" s="20">
        <v>2.1600000000000001E-2</v>
      </c>
      <c r="AE161" s="20">
        <v>0.16059999999999999</v>
      </c>
      <c r="AF161" s="20">
        <v>-3.8600000000000002E-2</v>
      </c>
      <c r="AG161" s="20">
        <v>-0.11890000000000001</v>
      </c>
      <c r="AH161" s="20">
        <v>0.1164</v>
      </c>
      <c r="AI161" s="20">
        <v>9.2200000000000004E-2</v>
      </c>
      <c r="AJ161" s="20">
        <v>-3.1800000000000002E-2</v>
      </c>
      <c r="AK161" s="20">
        <v>-3.6799999999999999E-2</v>
      </c>
      <c r="AL161" s="21">
        <v>-8.0999999999999996E-3</v>
      </c>
    </row>
    <row r="162" spans="1:38">
      <c r="A162" s="20">
        <v>-2.7000000000000001E-3</v>
      </c>
      <c r="B162" s="20">
        <v>-0.35</v>
      </c>
      <c r="C162" s="20">
        <v>-3.9300000000000002E-2</v>
      </c>
      <c r="D162" s="20">
        <v>-0.22289999999999999</v>
      </c>
      <c r="E162" s="20">
        <v>0.64959999999999996</v>
      </c>
      <c r="F162" s="20">
        <v>-0.13020000000000001</v>
      </c>
      <c r="G162" s="20">
        <v>-0.15310000000000001</v>
      </c>
      <c r="H162" s="20">
        <v>5.7000000000000002E-3</v>
      </c>
      <c r="I162" s="20">
        <v>5.2600000000000001E-2</v>
      </c>
      <c r="J162" s="20">
        <v>-0.15040000000000001</v>
      </c>
      <c r="K162" s="20">
        <v>0.11749999999999999</v>
      </c>
      <c r="L162" s="20">
        <v>0.20230000000000001</v>
      </c>
      <c r="M162" s="20">
        <v>-0.1673</v>
      </c>
      <c r="N162" s="20">
        <v>0.2344</v>
      </c>
      <c r="O162" s="20">
        <v>-1.9E-2</v>
      </c>
      <c r="P162" s="20">
        <v>2.7000000000000001E-3</v>
      </c>
      <c r="Q162" s="20">
        <v>3.8399999999999997E-2</v>
      </c>
      <c r="R162" s="20">
        <v>-0.11169999999999999</v>
      </c>
      <c r="S162" s="20">
        <v>-0.1012</v>
      </c>
      <c r="T162" s="20">
        <v>0.13619999999999999</v>
      </c>
      <c r="U162" s="20">
        <v>-6.9800000000000001E-2</v>
      </c>
      <c r="V162" s="20">
        <v>9.9400000000000002E-2</v>
      </c>
      <c r="W162" s="20">
        <v>1.5E-3</v>
      </c>
      <c r="X162" s="20">
        <v>0.20269999999999999</v>
      </c>
      <c r="Y162" s="20">
        <v>-0.12870000000000001</v>
      </c>
      <c r="Z162" s="20">
        <v>-4.7699999999999999E-2</v>
      </c>
      <c r="AA162" s="20">
        <v>4.1099999999999998E-2</v>
      </c>
      <c r="AB162" s="20">
        <v>8.4000000000000005E-2</v>
      </c>
      <c r="AC162" s="20">
        <v>0.11749999999999999</v>
      </c>
      <c r="AD162" s="20">
        <v>-0.13769999999999999</v>
      </c>
      <c r="AE162" s="20">
        <v>-3.2300000000000002E-2</v>
      </c>
      <c r="AF162" s="20">
        <v>2.4799999999999999E-2</v>
      </c>
      <c r="AG162" s="20">
        <v>-2.5999999999999999E-2</v>
      </c>
      <c r="AH162" s="20">
        <v>-0.16400000000000001</v>
      </c>
      <c r="AI162" s="20">
        <v>5.62E-2</v>
      </c>
      <c r="AJ162" s="20">
        <v>2.3599999999999999E-2</v>
      </c>
      <c r="AK162" s="20">
        <v>4.5900000000000003E-2</v>
      </c>
      <c r="AL162" s="21">
        <v>-8.0299999999999996E-2</v>
      </c>
    </row>
    <row r="163" spans="1:38">
      <c r="A163" s="20">
        <v>0.42349999999999999</v>
      </c>
      <c r="B163" s="20">
        <v>-0.31490000000000001</v>
      </c>
      <c r="C163" s="20">
        <v>4.1999999999999997E-3</v>
      </c>
      <c r="D163" s="20">
        <v>4.8599999999999997E-2</v>
      </c>
      <c r="E163" s="20">
        <v>-3.5000000000000001E-3</v>
      </c>
      <c r="F163" s="20">
        <v>-5.6399999999999999E-2</v>
      </c>
      <c r="G163" s="20">
        <v>4.2799999999999998E-2</v>
      </c>
      <c r="H163" s="20">
        <v>0.2467</v>
      </c>
      <c r="I163" s="20">
        <v>-0.1159</v>
      </c>
      <c r="J163" s="20">
        <v>-0.13070000000000001</v>
      </c>
      <c r="K163" s="20">
        <v>-6.9199999999999998E-2</v>
      </c>
      <c r="L163" s="20">
        <v>0.33850000000000002</v>
      </c>
      <c r="M163" s="20">
        <v>-8.9499999999999996E-2</v>
      </c>
      <c r="N163" s="20">
        <v>-0.28110000000000002</v>
      </c>
      <c r="O163" s="20">
        <v>-5.8299999999999998E-2</v>
      </c>
      <c r="P163" s="20">
        <v>-0.26700000000000002</v>
      </c>
      <c r="Q163" s="20">
        <v>-3.4799999999999998E-2</v>
      </c>
      <c r="R163" s="20">
        <v>-0.1237</v>
      </c>
      <c r="S163" s="20">
        <v>0.19059999999999999</v>
      </c>
      <c r="T163" s="20">
        <v>-0.12820000000000001</v>
      </c>
      <c r="U163" s="20">
        <v>7.9500000000000001E-2</v>
      </c>
      <c r="V163" s="20">
        <v>8.7900000000000006E-2</v>
      </c>
      <c r="W163" s="20">
        <v>8.3999999999999995E-3</v>
      </c>
      <c r="X163" s="20">
        <v>0.2631</v>
      </c>
      <c r="Y163" s="20">
        <v>-1.84E-2</v>
      </c>
      <c r="Z163" s="20">
        <v>-0.25309999999999999</v>
      </c>
      <c r="AA163" s="20">
        <v>2.64E-2</v>
      </c>
      <c r="AB163" s="20">
        <v>8.0199999999999994E-2</v>
      </c>
      <c r="AC163" s="20">
        <v>-0.1948</v>
      </c>
      <c r="AD163" s="20">
        <v>0.1114</v>
      </c>
      <c r="AE163" s="20">
        <v>2.3199999999999998E-2</v>
      </c>
      <c r="AF163" s="20">
        <v>0.1111</v>
      </c>
      <c r="AG163" s="20">
        <v>8.1799999999999998E-2</v>
      </c>
      <c r="AH163" s="20">
        <v>-0.17580000000000001</v>
      </c>
      <c r="AI163" s="20">
        <v>0.02</v>
      </c>
      <c r="AJ163" s="20">
        <v>-2.8999999999999998E-3</v>
      </c>
      <c r="AK163" s="20">
        <v>3.2000000000000002E-3</v>
      </c>
      <c r="AL163" s="21">
        <v>0.12720000000000001</v>
      </c>
    </row>
    <row r="164" spans="1:38">
      <c r="A164" s="20">
        <v>2.6200000000000001E-2</v>
      </c>
      <c r="B164" s="20">
        <v>-0.40949999999999998</v>
      </c>
      <c r="C164" s="20">
        <v>-0.15690000000000001</v>
      </c>
      <c r="D164" s="20">
        <v>0.51970000000000005</v>
      </c>
      <c r="E164" s="20">
        <v>6.7199999999999996E-2</v>
      </c>
      <c r="F164" s="20">
        <v>3.1300000000000001E-2</v>
      </c>
      <c r="G164" s="20">
        <v>-7.7200000000000005E-2</v>
      </c>
      <c r="H164" s="20">
        <v>-0.22689999999999999</v>
      </c>
      <c r="I164" s="20">
        <v>-0.16589999999999999</v>
      </c>
      <c r="J164" s="20">
        <v>-0.30249999999999999</v>
      </c>
      <c r="K164" s="20">
        <v>-0.1128</v>
      </c>
      <c r="L164" s="20">
        <v>9.74E-2</v>
      </c>
      <c r="M164" s="20">
        <v>0.26179999999999998</v>
      </c>
      <c r="N164" s="20">
        <v>-0.15970000000000001</v>
      </c>
      <c r="O164" s="20">
        <v>0.15770000000000001</v>
      </c>
      <c r="P164" s="20">
        <v>-8.4900000000000003E-2</v>
      </c>
      <c r="Q164" s="20">
        <v>3.3E-3</v>
      </c>
      <c r="R164" s="20">
        <v>4.41E-2</v>
      </c>
      <c r="S164" s="20">
        <v>5.3600000000000002E-2</v>
      </c>
      <c r="T164" s="20">
        <v>0.13869999999999999</v>
      </c>
      <c r="U164" s="20">
        <v>-2.3300000000000001E-2</v>
      </c>
      <c r="V164" s="20">
        <v>8.9700000000000002E-2</v>
      </c>
      <c r="W164" s="20">
        <v>-7.6700000000000004E-2</v>
      </c>
      <c r="X164" s="20">
        <v>0</v>
      </c>
      <c r="Y164" s="20">
        <v>-1.26E-2</v>
      </c>
      <c r="Z164" s="20">
        <v>8.6099999999999996E-2</v>
      </c>
      <c r="AA164" s="20">
        <v>1.0500000000000001E-2</v>
      </c>
      <c r="AB164" s="20">
        <v>0.10100000000000001</v>
      </c>
      <c r="AC164" s="20">
        <v>-0.12770000000000001</v>
      </c>
      <c r="AD164" s="20">
        <v>9.7199999999999995E-2</v>
      </c>
      <c r="AE164" s="20">
        <v>2.0299999999999999E-2</v>
      </c>
      <c r="AF164" s="20">
        <v>9.6699999999999994E-2</v>
      </c>
      <c r="AG164" s="20">
        <v>0.2369</v>
      </c>
      <c r="AH164" s="20">
        <v>-0.19719999999999999</v>
      </c>
      <c r="AI164" s="20">
        <v>-3.85E-2</v>
      </c>
      <c r="AJ164" s="20">
        <v>-9.1800000000000007E-2</v>
      </c>
      <c r="AK164" s="20">
        <v>2.69E-2</v>
      </c>
      <c r="AL164" s="21">
        <v>9.5399999999999999E-2</v>
      </c>
    </row>
    <row r="165" spans="1:38">
      <c r="A165" s="20">
        <v>0.154</v>
      </c>
      <c r="B165" s="20">
        <v>-0.39460000000000001</v>
      </c>
      <c r="C165" s="20">
        <v>8.0699999999999994E-2</v>
      </c>
      <c r="D165" s="20">
        <v>-0.41589999999999999</v>
      </c>
      <c r="E165" s="20">
        <v>0.20749999999999999</v>
      </c>
      <c r="F165" s="20">
        <v>8.7099999999999997E-2</v>
      </c>
      <c r="G165" s="20">
        <v>-5.0000000000000001E-3</v>
      </c>
      <c r="H165" s="20">
        <v>-7.0000000000000007E-2</v>
      </c>
      <c r="I165" s="20">
        <v>-9.2999999999999999E-2</v>
      </c>
      <c r="J165" s="20">
        <v>-0.1386</v>
      </c>
      <c r="K165" s="20">
        <v>0.20449999999999999</v>
      </c>
      <c r="L165" s="20">
        <v>8.0100000000000005E-2</v>
      </c>
      <c r="M165" s="20">
        <v>4.9000000000000002E-2</v>
      </c>
      <c r="N165" s="20">
        <v>-8.6999999999999994E-3</v>
      </c>
      <c r="O165" s="20">
        <v>-0.3871</v>
      </c>
      <c r="P165" s="20">
        <v>6.4699999999999994E-2</v>
      </c>
      <c r="Q165" s="20">
        <v>-6.5000000000000002E-2</v>
      </c>
      <c r="R165" s="20">
        <v>-3.8600000000000002E-2</v>
      </c>
      <c r="S165" s="20">
        <v>5.57E-2</v>
      </c>
      <c r="T165" s="20">
        <v>-6.3899999999999998E-2</v>
      </c>
      <c r="U165" s="20">
        <v>0.2495</v>
      </c>
      <c r="V165" s="20">
        <v>-6.83E-2</v>
      </c>
      <c r="W165" s="20">
        <v>7.5899999999999995E-2</v>
      </c>
      <c r="X165" s="20">
        <v>0.1862</v>
      </c>
      <c r="Y165" s="20">
        <v>5.2699999999999997E-2</v>
      </c>
      <c r="Z165" s="20">
        <v>-0.1101</v>
      </c>
      <c r="AA165" s="20">
        <v>6.3600000000000004E-2</v>
      </c>
      <c r="AB165" s="20">
        <v>-3.0800000000000001E-2</v>
      </c>
      <c r="AC165" s="20">
        <v>-5.3199999999999997E-2</v>
      </c>
      <c r="AD165" s="20">
        <v>3.4200000000000001E-2</v>
      </c>
      <c r="AE165" s="20">
        <v>0.1535</v>
      </c>
      <c r="AF165" s="20">
        <v>0.24</v>
      </c>
      <c r="AG165" s="20">
        <v>0.16500000000000001</v>
      </c>
      <c r="AH165" s="20">
        <v>8.8800000000000004E-2</v>
      </c>
      <c r="AI165" s="20">
        <v>-0.25009999999999999</v>
      </c>
      <c r="AJ165" s="20">
        <v>-0.15679999999999999</v>
      </c>
      <c r="AK165" s="20">
        <v>-1.43E-2</v>
      </c>
      <c r="AL165" s="21">
        <v>7.17E-2</v>
      </c>
    </row>
    <row r="166" spans="1:38">
      <c r="A166" s="20">
        <v>0.26840000000000003</v>
      </c>
      <c r="B166" s="20">
        <v>-0.21840000000000001</v>
      </c>
      <c r="C166" s="20">
        <v>-0.20150000000000001</v>
      </c>
      <c r="D166" s="20">
        <v>-0.14019999999999999</v>
      </c>
      <c r="E166" s="20">
        <v>-6.2899999999999998E-2</v>
      </c>
      <c r="F166" s="20">
        <v>-0.2319</v>
      </c>
      <c r="G166" s="20">
        <v>-0.23</v>
      </c>
      <c r="H166" s="20">
        <v>-0.15690000000000001</v>
      </c>
      <c r="I166" s="20">
        <v>-9.1200000000000003E-2</v>
      </c>
      <c r="J166" s="20">
        <v>0.19919999999999999</v>
      </c>
      <c r="K166" s="20">
        <v>-1.61E-2</v>
      </c>
      <c r="L166" s="20">
        <v>-0.1928</v>
      </c>
      <c r="M166" s="20">
        <v>5.5100000000000003E-2</v>
      </c>
      <c r="N166" s="20">
        <v>1.35E-2</v>
      </c>
      <c r="O166" s="20">
        <v>6.1000000000000004E-3</v>
      </c>
      <c r="P166" s="20">
        <v>-4.48E-2</v>
      </c>
      <c r="Q166" s="20">
        <v>0.25319999999999998</v>
      </c>
      <c r="R166" s="20">
        <v>0.27100000000000002</v>
      </c>
      <c r="S166" s="20">
        <v>0.16500000000000001</v>
      </c>
      <c r="T166" s="20">
        <v>-7.3700000000000002E-2</v>
      </c>
      <c r="U166" s="20">
        <v>2.5000000000000001E-3</v>
      </c>
      <c r="V166" s="20">
        <v>-0.31640000000000001</v>
      </c>
      <c r="W166" s="20">
        <v>0.27789999999999998</v>
      </c>
      <c r="X166" s="20">
        <v>0.19259999999999999</v>
      </c>
      <c r="Y166" s="20">
        <v>5.0900000000000001E-2</v>
      </c>
      <c r="Z166" s="20">
        <v>2.53E-2</v>
      </c>
      <c r="AA166" s="20">
        <v>-0.15190000000000001</v>
      </c>
      <c r="AB166" s="20">
        <v>0.1115</v>
      </c>
      <c r="AC166" s="20">
        <v>9.1499999999999998E-2</v>
      </c>
      <c r="AD166" s="20">
        <v>0.1726</v>
      </c>
      <c r="AE166" s="20">
        <v>0.18479999999999999</v>
      </c>
      <c r="AF166" s="20">
        <v>0.1542</v>
      </c>
      <c r="AG166" s="20">
        <v>-0.11169999999999999</v>
      </c>
      <c r="AH166" s="20">
        <v>-0.10580000000000001</v>
      </c>
      <c r="AI166" s="20">
        <v>-4.2500000000000003E-2</v>
      </c>
      <c r="AJ166" s="20">
        <v>9.7199999999999995E-2</v>
      </c>
      <c r="AK166" s="20">
        <v>-0.19869999999999999</v>
      </c>
      <c r="AL166" s="21">
        <v>-1.2200000000000001E-2</v>
      </c>
    </row>
    <row r="167" spans="1:38">
      <c r="A167" s="20">
        <v>8.9300000000000004E-2</v>
      </c>
      <c r="B167" s="20">
        <v>-0.39429999999999998</v>
      </c>
      <c r="C167" s="20">
        <v>-0.14549999999999999</v>
      </c>
      <c r="D167" s="20">
        <v>0.19600000000000001</v>
      </c>
      <c r="E167" s="20">
        <v>0.1449</v>
      </c>
      <c r="F167" s="20">
        <v>-6.6699999999999995E-2</v>
      </c>
      <c r="G167" s="20">
        <v>0.17510000000000001</v>
      </c>
      <c r="H167" s="20">
        <v>0.17119999999999999</v>
      </c>
      <c r="I167" s="20">
        <v>-0.20810000000000001</v>
      </c>
      <c r="J167" s="20">
        <v>0.1201</v>
      </c>
      <c r="K167" s="20">
        <v>-7.6899999999999996E-2</v>
      </c>
      <c r="L167" s="20">
        <v>-3.0800000000000001E-2</v>
      </c>
      <c r="M167" s="20">
        <v>-0.15310000000000001</v>
      </c>
      <c r="N167" s="20">
        <v>-0.17</v>
      </c>
      <c r="O167" s="20">
        <v>-6.4199999999999993E-2</v>
      </c>
      <c r="P167" s="20">
        <v>0.1515</v>
      </c>
      <c r="Q167" s="20">
        <v>-0.1061</v>
      </c>
      <c r="R167" s="20">
        <v>0.2208</v>
      </c>
      <c r="S167" s="20">
        <v>-5.0200000000000002E-2</v>
      </c>
      <c r="T167" s="20">
        <v>0.14960000000000001</v>
      </c>
      <c r="U167" s="20">
        <v>-0.25580000000000003</v>
      </c>
      <c r="V167" s="20">
        <v>-4.6699999999999998E-2</v>
      </c>
      <c r="W167" s="20">
        <v>1.2999999999999999E-2</v>
      </c>
      <c r="X167" s="20">
        <v>-0.1023</v>
      </c>
      <c r="Y167" s="20">
        <v>0.2427</v>
      </c>
      <c r="Z167" s="20">
        <v>0.20519999999999999</v>
      </c>
      <c r="AA167" s="20">
        <v>-0.217</v>
      </c>
      <c r="AB167" s="20">
        <v>1.0200000000000001E-2</v>
      </c>
      <c r="AC167" s="20">
        <v>-0.21060000000000001</v>
      </c>
      <c r="AD167" s="20">
        <v>-8.3900000000000002E-2</v>
      </c>
      <c r="AE167" s="20">
        <v>3.6499999999999998E-2</v>
      </c>
      <c r="AF167" s="20">
        <v>0.1328</v>
      </c>
      <c r="AG167" s="20">
        <v>0.21290000000000001</v>
      </c>
      <c r="AH167" s="20">
        <v>-0.16009999999999999</v>
      </c>
      <c r="AI167" s="20">
        <v>6.0999999999999999E-2</v>
      </c>
      <c r="AJ167" s="20">
        <v>0.224</v>
      </c>
      <c r="AK167" s="20">
        <v>0.1404</v>
      </c>
      <c r="AL167" s="21">
        <v>-0.14580000000000001</v>
      </c>
    </row>
    <row r="168" spans="1:38">
      <c r="A168" s="20">
        <v>0.151</v>
      </c>
      <c r="B168" s="20">
        <v>-5.2900000000000003E-2</v>
      </c>
      <c r="C168" s="20">
        <v>0.24879999999999999</v>
      </c>
      <c r="D168" s="20">
        <v>-9.5399999999999999E-2</v>
      </c>
      <c r="E168" s="20">
        <v>0.16300000000000001</v>
      </c>
      <c r="F168" s="20">
        <v>-3.4500000000000003E-2</v>
      </c>
      <c r="G168" s="20">
        <v>9.5999999999999992E-3</v>
      </c>
      <c r="H168" s="20">
        <v>-0.15720000000000001</v>
      </c>
      <c r="I168" s="20">
        <v>6.6299999999999998E-2</v>
      </c>
      <c r="J168" s="20">
        <v>0.1346</v>
      </c>
      <c r="K168" s="20">
        <v>0.10100000000000001</v>
      </c>
      <c r="L168" s="20">
        <v>-0.26850000000000002</v>
      </c>
      <c r="M168" s="20">
        <v>-0.16980000000000001</v>
      </c>
      <c r="N168" s="20">
        <v>0.18479999999999999</v>
      </c>
      <c r="O168" s="20">
        <v>8.6900000000000005E-2</v>
      </c>
      <c r="P168" s="20">
        <v>0.15690000000000001</v>
      </c>
      <c r="Q168" s="20">
        <v>-4.3700000000000003E-2</v>
      </c>
      <c r="R168" s="20">
        <v>-7.8E-2</v>
      </c>
      <c r="S168" s="20">
        <v>5.0700000000000002E-2</v>
      </c>
      <c r="T168" s="20">
        <v>6.4399999999999999E-2</v>
      </c>
      <c r="U168" s="20">
        <v>0.1888</v>
      </c>
      <c r="V168" s="20">
        <v>-4.8999999999999998E-3</v>
      </c>
      <c r="W168" s="20">
        <v>-8.2900000000000001E-2</v>
      </c>
      <c r="X168" s="20">
        <v>4.1999999999999997E-3</v>
      </c>
      <c r="Y168" s="20">
        <v>-0.15790000000000001</v>
      </c>
      <c r="Z168" s="20">
        <v>-9.8199999999999996E-2</v>
      </c>
      <c r="AA168" s="20">
        <v>-5.7000000000000002E-3</v>
      </c>
      <c r="AB168" s="20">
        <v>-0.3201</v>
      </c>
      <c r="AC168" s="20">
        <v>4.3499999999999997E-2</v>
      </c>
      <c r="AD168" s="20">
        <v>0.14699999999999999</v>
      </c>
      <c r="AE168" s="20">
        <v>-5.0299999999999997E-2</v>
      </c>
      <c r="AF168" s="20">
        <v>0.21920000000000001</v>
      </c>
      <c r="AG168" s="20">
        <v>-0.48830000000000001</v>
      </c>
      <c r="AH168" s="20">
        <v>-0.26119999999999999</v>
      </c>
      <c r="AI168" s="20">
        <v>-4.7E-2</v>
      </c>
      <c r="AJ168" s="20">
        <v>1.4800000000000001E-2</v>
      </c>
      <c r="AK168" s="20">
        <v>0.22389999999999999</v>
      </c>
      <c r="AL168" s="21">
        <v>0.1522</v>
      </c>
    </row>
    <row r="169" spans="1:38">
      <c r="A169" s="20">
        <v>0.19550000000000001</v>
      </c>
      <c r="B169" s="20">
        <v>-0.38059999999999999</v>
      </c>
      <c r="C169" s="20">
        <v>0.31850000000000001</v>
      </c>
      <c r="D169" s="20">
        <v>0.39150000000000001</v>
      </c>
      <c r="E169" s="20">
        <v>1.06E-2</v>
      </c>
      <c r="F169" s="20">
        <v>-0.32800000000000001</v>
      </c>
      <c r="G169" s="20">
        <v>-0.16850000000000001</v>
      </c>
      <c r="H169" s="20">
        <v>3.7100000000000001E-2</v>
      </c>
      <c r="I169" s="20">
        <v>-0.2636</v>
      </c>
      <c r="J169" s="20">
        <v>0.16789999999999999</v>
      </c>
      <c r="K169" s="20">
        <v>-9.9699999999999997E-2</v>
      </c>
      <c r="L169" s="20">
        <v>0.13569999999999999</v>
      </c>
      <c r="M169" s="20">
        <v>9.6000000000000002E-2</v>
      </c>
      <c r="N169" s="20">
        <v>-0.28139999999999998</v>
      </c>
      <c r="O169" s="20">
        <v>-0.1138</v>
      </c>
      <c r="P169" s="20">
        <v>-9.5200000000000007E-2</v>
      </c>
      <c r="Q169" s="20">
        <v>0.161</v>
      </c>
      <c r="R169" s="20">
        <v>-1.32E-2</v>
      </c>
      <c r="S169" s="20">
        <v>6.3799999999999996E-2</v>
      </c>
      <c r="T169" s="20">
        <v>9.2299999999999993E-2</v>
      </c>
      <c r="U169" s="20">
        <v>6.0699999999999997E-2</v>
      </c>
      <c r="V169" s="20">
        <v>-0.1386</v>
      </c>
      <c r="W169" s="20">
        <v>-1.52E-2</v>
      </c>
      <c r="X169" s="20">
        <v>1.35E-2</v>
      </c>
      <c r="Y169" s="20">
        <v>-0.1457</v>
      </c>
      <c r="Z169" s="20">
        <v>-0.12790000000000001</v>
      </c>
      <c r="AA169" s="20">
        <v>2.8500000000000001E-2</v>
      </c>
      <c r="AB169" s="20">
        <v>-1.84E-2</v>
      </c>
      <c r="AC169" s="20">
        <v>-0.1153</v>
      </c>
      <c r="AD169" s="20">
        <v>0.2064</v>
      </c>
      <c r="AE169" s="20">
        <v>7.5300000000000006E-2</v>
      </c>
      <c r="AF169" s="20">
        <v>7.3599999999999999E-2</v>
      </c>
      <c r="AG169" s="20">
        <v>6.9599999999999995E-2</v>
      </c>
      <c r="AH169" s="20">
        <v>-1.38E-2</v>
      </c>
      <c r="AI169" s="20">
        <v>4.9200000000000001E-2</v>
      </c>
      <c r="AJ169" s="20">
        <v>-6.0699999999999997E-2</v>
      </c>
      <c r="AK169" s="20">
        <v>7.5600000000000001E-2</v>
      </c>
      <c r="AL169" s="21">
        <v>6.1199999999999997E-2</v>
      </c>
    </row>
    <row r="170" spans="1:38">
      <c r="A170" s="20">
        <v>0.2399</v>
      </c>
      <c r="B170" s="20">
        <v>-0.21010000000000001</v>
      </c>
      <c r="C170" s="20">
        <v>0.21210000000000001</v>
      </c>
      <c r="D170" s="20">
        <v>0.45889999999999997</v>
      </c>
      <c r="E170" s="20">
        <v>8.6E-3</v>
      </c>
      <c r="F170" s="20">
        <v>0.01</v>
      </c>
      <c r="G170" s="20">
        <v>-2.1399999999999999E-2</v>
      </c>
      <c r="H170" s="20">
        <v>-0.48559999999999998</v>
      </c>
      <c r="I170" s="20">
        <v>1.4E-3</v>
      </c>
      <c r="J170" s="20">
        <v>-0.26329999999999998</v>
      </c>
      <c r="K170" s="20">
        <v>-6.4000000000000001E-2</v>
      </c>
      <c r="L170" s="20">
        <v>-0.1113</v>
      </c>
      <c r="M170" s="20">
        <v>1.5599999999999999E-2</v>
      </c>
      <c r="N170" s="20">
        <v>0.16639999999999999</v>
      </c>
      <c r="O170" s="20">
        <v>-2.9499999999999998E-2</v>
      </c>
      <c r="P170" s="20">
        <v>0.1096</v>
      </c>
      <c r="Q170" s="20">
        <v>-7.5399999999999995E-2</v>
      </c>
      <c r="R170" s="20">
        <v>-2.2499999999999999E-2</v>
      </c>
      <c r="S170" s="20">
        <v>-0.11799999999999999</v>
      </c>
      <c r="T170" s="20">
        <v>2.81E-2</v>
      </c>
      <c r="U170" s="20">
        <v>0.19420000000000001</v>
      </c>
      <c r="V170" s="20">
        <v>4.4999999999999997E-3</v>
      </c>
      <c r="W170" s="20">
        <v>-0.1222</v>
      </c>
      <c r="X170" s="20">
        <v>-0.15110000000000001</v>
      </c>
      <c r="Y170" s="20">
        <v>4.6800000000000001E-2</v>
      </c>
      <c r="Z170" s="20">
        <v>6.3700000000000007E-2</v>
      </c>
      <c r="AA170" s="20">
        <v>-1.9E-3</v>
      </c>
      <c r="AB170" s="20">
        <v>-9.8799999999999999E-2</v>
      </c>
      <c r="AC170" s="20">
        <v>4.6199999999999998E-2</v>
      </c>
      <c r="AD170" s="20">
        <v>7.85E-2</v>
      </c>
      <c r="AE170" s="20">
        <v>-4.9500000000000002E-2</v>
      </c>
      <c r="AF170" s="20">
        <v>0.19339999999999999</v>
      </c>
      <c r="AG170" s="20">
        <v>-9.8000000000000004E-2</v>
      </c>
      <c r="AH170" s="20">
        <v>-0.1656</v>
      </c>
      <c r="AI170" s="20">
        <v>8.6800000000000002E-2</v>
      </c>
      <c r="AJ170" s="20">
        <v>0.10829999999999999</v>
      </c>
      <c r="AK170" s="20">
        <v>0.18060000000000001</v>
      </c>
      <c r="AL170" s="21">
        <v>-0.1739</v>
      </c>
    </row>
    <row r="171" spans="1:38">
      <c r="A171" s="20">
        <v>4.3799999999999999E-2</v>
      </c>
      <c r="B171" s="20">
        <v>0.1013</v>
      </c>
      <c r="C171" s="20">
        <v>-0.1736</v>
      </c>
      <c r="D171" s="20">
        <v>0.23380000000000001</v>
      </c>
      <c r="E171" s="20">
        <v>9.9500000000000005E-2</v>
      </c>
      <c r="F171" s="20">
        <v>8.2199999999999995E-2</v>
      </c>
      <c r="G171" s="20">
        <v>-0.2717</v>
      </c>
      <c r="H171" s="20">
        <v>-0.29239999999999999</v>
      </c>
      <c r="I171" s="20">
        <v>7.3400000000000007E-2</v>
      </c>
      <c r="J171" s="20">
        <v>-0.30170000000000002</v>
      </c>
      <c r="K171" s="20">
        <v>0.18809999999999999</v>
      </c>
      <c r="L171" s="20">
        <v>9.9699999999999997E-2</v>
      </c>
      <c r="M171" s="20">
        <v>0.16789999999999999</v>
      </c>
      <c r="N171" s="20">
        <v>0.17810000000000001</v>
      </c>
      <c r="O171" s="20">
        <v>4.8800000000000003E-2</v>
      </c>
      <c r="P171" s="20">
        <v>0.1047</v>
      </c>
      <c r="Q171" s="20">
        <v>7.7000000000000002E-3</v>
      </c>
      <c r="R171" s="20">
        <v>-0.18379999999999999</v>
      </c>
      <c r="S171" s="20">
        <v>0.12770000000000001</v>
      </c>
      <c r="T171" s="20">
        <v>9.6299999999999997E-2</v>
      </c>
      <c r="U171" s="20">
        <v>-0.13109999999999999</v>
      </c>
      <c r="V171" s="20">
        <v>4.1099999999999998E-2</v>
      </c>
      <c r="W171" s="20">
        <v>0.15379999999999999</v>
      </c>
      <c r="X171" s="20">
        <v>-0.2465</v>
      </c>
      <c r="Y171" s="20">
        <v>9.7000000000000003E-2</v>
      </c>
      <c r="Z171" s="20">
        <v>-0.26650000000000001</v>
      </c>
      <c r="AA171" s="20">
        <v>-7.0000000000000007E-2</v>
      </c>
      <c r="AB171" s="20">
        <v>0.19270000000000001</v>
      </c>
      <c r="AC171" s="20">
        <v>0.18990000000000001</v>
      </c>
      <c r="AD171" s="20">
        <v>-0.15720000000000001</v>
      </c>
      <c r="AE171" s="20">
        <v>4.9299999999999997E-2</v>
      </c>
      <c r="AF171" s="20">
        <v>0.2442</v>
      </c>
      <c r="AG171" s="20">
        <v>-0.2767</v>
      </c>
      <c r="AH171" s="20">
        <v>3.04E-2</v>
      </c>
      <c r="AI171" s="20">
        <v>-2.93E-2</v>
      </c>
      <c r="AJ171" s="20">
        <v>-3.2500000000000001E-2</v>
      </c>
      <c r="AK171" s="20">
        <v>-0.1336</v>
      </c>
      <c r="AL171" s="21">
        <v>-8.2000000000000003E-2</v>
      </c>
    </row>
    <row r="172" spans="1:38">
      <c r="A172" s="20">
        <v>0.37959999999999999</v>
      </c>
      <c r="B172" s="20">
        <v>-0.29799999999999999</v>
      </c>
      <c r="C172" s="20">
        <v>-0.13769999999999999</v>
      </c>
      <c r="D172" s="20">
        <v>0.1479</v>
      </c>
      <c r="E172" s="20">
        <v>0.19439999999999999</v>
      </c>
      <c r="F172" s="20">
        <v>0.11600000000000001</v>
      </c>
      <c r="G172" s="20">
        <v>-6.6400000000000001E-2</v>
      </c>
      <c r="H172" s="20">
        <v>-0.2112</v>
      </c>
      <c r="I172" s="20">
        <v>-0.19289999999999999</v>
      </c>
      <c r="J172" s="20">
        <v>-0.3886</v>
      </c>
      <c r="K172" s="20">
        <v>1.7999999999999999E-2</v>
      </c>
      <c r="L172" s="20">
        <v>1.2699999999999999E-2</v>
      </c>
      <c r="M172" s="20">
        <v>9.4600000000000004E-2</v>
      </c>
      <c r="N172" s="20">
        <v>1.18E-2</v>
      </c>
      <c r="O172" s="20">
        <v>0.1361</v>
      </c>
      <c r="P172" s="20">
        <v>6.2E-2</v>
      </c>
      <c r="Q172" s="20">
        <v>-4.3700000000000003E-2</v>
      </c>
      <c r="R172" s="20">
        <v>0.25800000000000001</v>
      </c>
      <c r="S172" s="20">
        <v>-0.13739999999999999</v>
      </c>
      <c r="T172" s="20">
        <v>7.4700000000000003E-2</v>
      </c>
      <c r="U172" s="20">
        <v>0.18390000000000001</v>
      </c>
      <c r="V172" s="20">
        <v>-0.13020000000000001</v>
      </c>
      <c r="W172" s="20">
        <v>0.11600000000000001</v>
      </c>
      <c r="X172" s="20">
        <v>-0.1845</v>
      </c>
      <c r="Y172" s="20">
        <v>0.1033</v>
      </c>
      <c r="Z172" s="20">
        <v>-0.14480000000000001</v>
      </c>
      <c r="AA172" s="20">
        <v>2.5000000000000001E-3</v>
      </c>
      <c r="AB172" s="20">
        <v>-5.7700000000000001E-2</v>
      </c>
      <c r="AC172" s="20">
        <v>-3.4099999999999998E-2</v>
      </c>
      <c r="AD172" s="20">
        <v>-0.31719999999999998</v>
      </c>
      <c r="AE172" s="20">
        <v>3.4099999999999998E-2</v>
      </c>
      <c r="AF172" s="20">
        <v>-1.7100000000000001E-2</v>
      </c>
      <c r="AG172" s="20">
        <v>-2.3599999999999999E-2</v>
      </c>
      <c r="AH172" s="20">
        <v>0.192</v>
      </c>
      <c r="AI172" s="20">
        <v>0.16189999999999999</v>
      </c>
      <c r="AJ172" s="20">
        <v>0.11070000000000001</v>
      </c>
      <c r="AK172" s="20">
        <v>6.7999999999999996E-3</v>
      </c>
      <c r="AL172" s="21">
        <v>-2.4199999999999999E-2</v>
      </c>
    </row>
    <row r="173" spans="1:38">
      <c r="A173" s="20">
        <v>0.44900000000000001</v>
      </c>
      <c r="B173" s="20">
        <v>-0.17510000000000001</v>
      </c>
      <c r="C173" s="20">
        <v>-0.25900000000000001</v>
      </c>
      <c r="D173" s="20">
        <v>-8.2699999999999996E-2</v>
      </c>
      <c r="E173" s="20">
        <v>0.16669999999999999</v>
      </c>
      <c r="F173" s="20">
        <v>0.14330000000000001</v>
      </c>
      <c r="G173" s="20">
        <v>4.5600000000000002E-2</v>
      </c>
      <c r="H173" s="20">
        <v>0.1343</v>
      </c>
      <c r="I173" s="20">
        <v>-0.15049999999999999</v>
      </c>
      <c r="J173" s="20">
        <v>5.04E-2</v>
      </c>
      <c r="K173" s="20">
        <v>-0.1019</v>
      </c>
      <c r="L173" s="20">
        <v>0.13969999999999999</v>
      </c>
      <c r="M173" s="20">
        <v>-5.28E-2</v>
      </c>
      <c r="N173" s="20">
        <v>-0.24399999999999999</v>
      </c>
      <c r="O173" s="20">
        <v>0.1139</v>
      </c>
      <c r="P173" s="20">
        <v>5.16E-2</v>
      </c>
      <c r="Q173" s="20">
        <v>-0.47720000000000001</v>
      </c>
      <c r="R173" s="20">
        <v>0.1145</v>
      </c>
      <c r="S173" s="20">
        <v>-0.1115</v>
      </c>
      <c r="T173" s="20">
        <v>3.4799999999999998E-2</v>
      </c>
      <c r="U173" s="20">
        <v>3.4200000000000001E-2</v>
      </c>
      <c r="V173" s="20">
        <v>9.5899999999999999E-2</v>
      </c>
      <c r="W173" s="20">
        <v>1.26E-2</v>
      </c>
      <c r="X173" s="20">
        <v>-3.9E-2</v>
      </c>
      <c r="Y173" s="20">
        <v>-4.6800000000000001E-2</v>
      </c>
      <c r="Z173" s="20">
        <v>-0.29620000000000002</v>
      </c>
      <c r="AA173" s="20">
        <v>-7.1300000000000002E-2</v>
      </c>
      <c r="AB173" s="20">
        <v>-4.4999999999999998E-2</v>
      </c>
      <c r="AC173" s="20">
        <v>0.1547</v>
      </c>
      <c r="AD173" s="20">
        <v>-3.4799999999999998E-2</v>
      </c>
      <c r="AE173" s="20">
        <v>6.4100000000000004E-2</v>
      </c>
      <c r="AF173" s="20">
        <v>-0.17150000000000001</v>
      </c>
      <c r="AG173" s="20">
        <v>2.52E-2</v>
      </c>
      <c r="AH173" s="20">
        <v>7.1900000000000006E-2</v>
      </c>
      <c r="AI173" s="20">
        <v>0.12470000000000001</v>
      </c>
      <c r="AJ173" s="20">
        <v>0.16850000000000001</v>
      </c>
      <c r="AK173" s="20">
        <v>4.3200000000000002E-2</v>
      </c>
      <c r="AL173" s="21">
        <v>0.1361</v>
      </c>
    </row>
    <row r="174" spans="1:38">
      <c r="A174" s="20">
        <v>5.6500000000000002E-2</v>
      </c>
      <c r="B174" s="20">
        <v>-0.45469999999999999</v>
      </c>
      <c r="C174" s="20">
        <v>0.2225</v>
      </c>
      <c r="D174" s="20">
        <v>4.3700000000000003E-2</v>
      </c>
      <c r="E174" s="20">
        <v>-2.3300000000000001E-2</v>
      </c>
      <c r="F174" s="20">
        <v>-0.41270000000000001</v>
      </c>
      <c r="G174" s="20">
        <v>-0.23480000000000001</v>
      </c>
      <c r="H174" s="20">
        <v>0.1145</v>
      </c>
      <c r="I174" s="20">
        <v>-5.9499999999999997E-2</v>
      </c>
      <c r="J174" s="20">
        <v>0.3024</v>
      </c>
      <c r="K174" s="20">
        <v>1.24E-2</v>
      </c>
      <c r="L174" s="20">
        <v>-0.25569999999999998</v>
      </c>
      <c r="M174" s="20">
        <v>9.3200000000000005E-2</v>
      </c>
      <c r="N174" s="20">
        <v>3.5999999999999997E-2</v>
      </c>
      <c r="O174" s="20">
        <v>-8.4400000000000003E-2</v>
      </c>
      <c r="P174" s="20">
        <v>-5.5E-2</v>
      </c>
      <c r="Q174" s="20">
        <v>-0.13420000000000001</v>
      </c>
      <c r="R174" s="20">
        <v>0.1522</v>
      </c>
      <c r="S174" s="20">
        <v>6.88E-2</v>
      </c>
      <c r="T174" s="20">
        <v>0.21460000000000001</v>
      </c>
      <c r="U174" s="20">
        <v>5.2900000000000003E-2</v>
      </c>
      <c r="V174" s="20">
        <v>1.9199999999999998E-2</v>
      </c>
      <c r="W174" s="20">
        <v>0.1414</v>
      </c>
      <c r="X174" s="20">
        <v>-0.1356</v>
      </c>
      <c r="Y174" s="20">
        <v>-7.6200000000000004E-2</v>
      </c>
      <c r="Z174" s="20">
        <v>0.1164</v>
      </c>
      <c r="AA174" s="20">
        <v>0.1444</v>
      </c>
      <c r="AB174" s="20">
        <v>-3.04E-2</v>
      </c>
      <c r="AC174" s="20">
        <v>1.6799999999999999E-2</v>
      </c>
      <c r="AD174" s="20">
        <v>-7.8E-2</v>
      </c>
      <c r="AE174" s="20">
        <v>-5.62E-2</v>
      </c>
      <c r="AF174" s="20">
        <v>0.14580000000000001</v>
      </c>
      <c r="AG174" s="20">
        <v>0.21129999999999999</v>
      </c>
      <c r="AH174" s="20">
        <v>8.7099999999999997E-2</v>
      </c>
      <c r="AI174" s="20">
        <v>2.8E-3</v>
      </c>
      <c r="AJ174" s="20">
        <v>-0.2334</v>
      </c>
      <c r="AK174" s="20">
        <v>-6.1000000000000004E-3</v>
      </c>
      <c r="AL174" s="21">
        <v>8.1799999999999998E-2</v>
      </c>
    </row>
    <row r="175" spans="1:38">
      <c r="A175" s="20">
        <v>-0.1045</v>
      </c>
      <c r="B175" s="20">
        <v>-0.432</v>
      </c>
      <c r="C175" s="20">
        <v>2.1299999999999999E-2</v>
      </c>
      <c r="D175" s="20">
        <v>0.31290000000000001</v>
      </c>
      <c r="E175" s="20">
        <v>-0.15939999999999999</v>
      </c>
      <c r="F175" s="20">
        <v>-0.2412</v>
      </c>
      <c r="G175" s="20">
        <v>-0.26790000000000003</v>
      </c>
      <c r="H175" s="20">
        <v>-0.21260000000000001</v>
      </c>
      <c r="I175" s="20">
        <v>-0.15659999999999999</v>
      </c>
      <c r="J175" s="20">
        <v>3.5200000000000002E-2</v>
      </c>
      <c r="K175" s="20">
        <v>0.1137</v>
      </c>
      <c r="L175" s="20">
        <v>-0.1807</v>
      </c>
      <c r="M175" s="20">
        <v>0.14649999999999999</v>
      </c>
      <c r="N175" s="20">
        <v>0.24379999999999999</v>
      </c>
      <c r="O175" s="20">
        <v>4.8300000000000003E-2</v>
      </c>
      <c r="P175" s="20">
        <v>-2.1999999999999999E-2</v>
      </c>
      <c r="Q175" s="20">
        <v>0.14280000000000001</v>
      </c>
      <c r="R175" s="20">
        <v>0.16270000000000001</v>
      </c>
      <c r="S175" s="20">
        <v>-9.0700000000000003E-2</v>
      </c>
      <c r="T175" s="20">
        <v>0.15</v>
      </c>
      <c r="U175" s="20">
        <v>-0.1212</v>
      </c>
      <c r="V175" s="20">
        <v>-0.248</v>
      </c>
      <c r="W175" s="20">
        <v>9.1200000000000003E-2</v>
      </c>
      <c r="X175" s="20">
        <v>8.0199999999999994E-2</v>
      </c>
      <c r="Y175" s="20">
        <v>0.19570000000000001</v>
      </c>
      <c r="Z175" s="20">
        <v>-1.43E-2</v>
      </c>
      <c r="AA175" s="20">
        <v>0.17960000000000001</v>
      </c>
      <c r="AB175" s="20">
        <v>-4.1300000000000003E-2</v>
      </c>
      <c r="AC175" s="20">
        <v>-6.1000000000000004E-3</v>
      </c>
      <c r="AD175" s="20">
        <v>-2.3699999999999999E-2</v>
      </c>
      <c r="AE175" s="20">
        <v>-6.2100000000000002E-2</v>
      </c>
      <c r="AF175" s="20">
        <v>0.1188</v>
      </c>
      <c r="AG175" s="20">
        <v>0.20419999999999999</v>
      </c>
      <c r="AH175" s="20">
        <v>0.1153</v>
      </c>
      <c r="AI175" s="20">
        <v>8.0399999999999999E-2</v>
      </c>
      <c r="AJ175" s="20">
        <v>-0.10920000000000001</v>
      </c>
      <c r="AK175" s="20">
        <v>0.1111</v>
      </c>
      <c r="AL175" s="21">
        <v>-5.6500000000000002E-2</v>
      </c>
    </row>
    <row r="176" spans="1:38">
      <c r="A176" s="20">
        <v>0.45529999999999998</v>
      </c>
      <c r="B176" s="20">
        <v>-0.30180000000000001</v>
      </c>
      <c r="C176" s="20">
        <v>-0.22470000000000001</v>
      </c>
      <c r="D176" s="20">
        <v>0.1459</v>
      </c>
      <c r="E176" s="20">
        <v>9.5399999999999999E-2</v>
      </c>
      <c r="F176" s="20">
        <v>-8.2299999999999998E-2</v>
      </c>
      <c r="G176" s="20">
        <v>-0.24440000000000001</v>
      </c>
      <c r="H176" s="20">
        <v>7.6E-3</v>
      </c>
      <c r="I176" s="20">
        <v>-0.19170000000000001</v>
      </c>
      <c r="J176" s="20">
        <v>0.122</v>
      </c>
      <c r="K176" s="20">
        <v>-0.22470000000000001</v>
      </c>
      <c r="L176" s="20">
        <v>-3.5999999999999997E-2</v>
      </c>
      <c r="M176" s="20">
        <v>0.2429</v>
      </c>
      <c r="N176" s="20">
        <v>-0.222</v>
      </c>
      <c r="O176" s="20">
        <v>-0.31709999999999999</v>
      </c>
      <c r="P176" s="20">
        <v>4.36E-2</v>
      </c>
      <c r="Q176" s="20">
        <v>-1.3599999999999999E-2</v>
      </c>
      <c r="R176" s="20">
        <v>-7.4200000000000002E-2</v>
      </c>
      <c r="S176" s="20">
        <v>3.3500000000000002E-2</v>
      </c>
      <c r="T176" s="20">
        <v>0.26979999999999998</v>
      </c>
      <c r="U176" s="20">
        <v>0.21260000000000001</v>
      </c>
      <c r="V176" s="20">
        <v>4.1099999999999998E-2</v>
      </c>
      <c r="W176" s="20">
        <v>-6.9199999999999998E-2</v>
      </c>
      <c r="X176" s="20">
        <v>-8.2000000000000003E-2</v>
      </c>
      <c r="Y176" s="20">
        <v>3.4200000000000001E-2</v>
      </c>
      <c r="Z176" s="20">
        <v>-8.3299999999999999E-2</v>
      </c>
      <c r="AA176" s="20">
        <v>0.122</v>
      </c>
      <c r="AB176" s="20">
        <v>6.1100000000000002E-2</v>
      </c>
      <c r="AC176" s="20">
        <v>-7.0699999999999999E-2</v>
      </c>
      <c r="AD176" s="20">
        <v>-4.2599999999999999E-2</v>
      </c>
      <c r="AE176" s="20">
        <v>5.5899999999999998E-2</v>
      </c>
      <c r="AF176" s="20">
        <v>-0.12659999999999999</v>
      </c>
      <c r="AG176" s="20">
        <v>0.1326</v>
      </c>
      <c r="AH176" s="20">
        <v>0.1249</v>
      </c>
      <c r="AI176" s="20">
        <v>-4.7000000000000002E-3</v>
      </c>
      <c r="AJ176" s="20">
        <v>6.2100000000000002E-2</v>
      </c>
      <c r="AK176" s="20">
        <v>4.9799999999999997E-2</v>
      </c>
      <c r="AL176" s="21">
        <v>9.8299999999999998E-2</v>
      </c>
    </row>
    <row r="177" spans="1:38">
      <c r="A177" s="20">
        <v>0.376</v>
      </c>
      <c r="B177" s="20">
        <v>-0.27089999999999997</v>
      </c>
      <c r="C177" s="20">
        <v>-8.5099999999999995E-2</v>
      </c>
      <c r="D177" s="20">
        <v>-0.32629999999999998</v>
      </c>
      <c r="E177" s="20">
        <v>-2.4400000000000002E-2</v>
      </c>
      <c r="F177" s="20">
        <v>-2.8199999999999999E-2</v>
      </c>
      <c r="G177" s="20">
        <v>-0.24840000000000001</v>
      </c>
      <c r="H177" s="20">
        <v>-3.3000000000000002E-2</v>
      </c>
      <c r="I177" s="20">
        <v>-0.2036</v>
      </c>
      <c r="J177" s="20">
        <v>0.10199999999999999</v>
      </c>
      <c r="K177" s="20">
        <v>4.3700000000000003E-2</v>
      </c>
      <c r="L177" s="20">
        <v>3.4700000000000002E-2</v>
      </c>
      <c r="M177" s="20">
        <v>6.4399999999999999E-2</v>
      </c>
      <c r="N177" s="20">
        <v>-0.16159999999999999</v>
      </c>
      <c r="O177" s="20">
        <v>7.3300000000000004E-2</v>
      </c>
      <c r="P177" s="20">
        <v>-0.14979999999999999</v>
      </c>
      <c r="Q177" s="20">
        <v>-0.1071</v>
      </c>
      <c r="R177" s="20">
        <v>-4.4400000000000002E-2</v>
      </c>
      <c r="S177" s="20">
        <v>4.8500000000000001E-2</v>
      </c>
      <c r="T177" s="20">
        <v>-5.67E-2</v>
      </c>
      <c r="U177" s="20">
        <v>0.27739999999999998</v>
      </c>
      <c r="V177" s="20">
        <v>0.12809999999999999</v>
      </c>
      <c r="W177" s="20">
        <v>-8.2000000000000003E-2</v>
      </c>
      <c r="X177" s="20">
        <v>-0.309</v>
      </c>
      <c r="Y177" s="20">
        <v>0.24840000000000001</v>
      </c>
      <c r="Z177" s="20">
        <v>-3.9600000000000003E-2</v>
      </c>
      <c r="AA177" s="20">
        <v>-6.9699999999999998E-2</v>
      </c>
      <c r="AB177" s="20">
        <v>5.6399999999999999E-2</v>
      </c>
      <c r="AC177" s="20">
        <v>0.12570000000000001</v>
      </c>
      <c r="AD177" s="20">
        <v>8.9499999999999996E-2</v>
      </c>
      <c r="AE177" s="20">
        <v>-0.1066</v>
      </c>
      <c r="AF177" s="20">
        <v>0.30099999999999999</v>
      </c>
      <c r="AG177" s="20">
        <v>-2.8899999999999999E-2</v>
      </c>
      <c r="AH177" s="20">
        <v>1.7100000000000001E-2</v>
      </c>
      <c r="AI177" s="20">
        <v>0.22670000000000001</v>
      </c>
      <c r="AJ177" s="20">
        <v>3.4500000000000003E-2</v>
      </c>
      <c r="AK177" s="20">
        <v>-3.5200000000000002E-2</v>
      </c>
      <c r="AL177" s="21">
        <v>0.16639999999999999</v>
      </c>
    </row>
    <row r="178" spans="1:38">
      <c r="A178" s="20">
        <v>0.23469999999999999</v>
      </c>
      <c r="B178" s="20">
        <v>-0.22720000000000001</v>
      </c>
      <c r="C178" s="20">
        <v>0.16470000000000001</v>
      </c>
      <c r="D178" s="20">
        <v>0.1772</v>
      </c>
      <c r="E178" s="20">
        <v>0.10489999999999999</v>
      </c>
      <c r="F178" s="20">
        <v>0.15310000000000001</v>
      </c>
      <c r="G178" s="20">
        <v>-0.13619999999999999</v>
      </c>
      <c r="H178" s="20">
        <v>-0.24979999999999999</v>
      </c>
      <c r="I178" s="20">
        <v>0.1429</v>
      </c>
      <c r="J178" s="20">
        <v>-0.217</v>
      </c>
      <c r="K178" s="20">
        <v>-1.1299999999999999E-2</v>
      </c>
      <c r="L178" s="20">
        <v>4.0599999999999997E-2</v>
      </c>
      <c r="M178" s="20">
        <v>1.84E-2</v>
      </c>
      <c r="N178" s="20">
        <v>0.24410000000000001</v>
      </c>
      <c r="O178" s="20">
        <v>5.5999999999999999E-3</v>
      </c>
      <c r="P178" s="20">
        <v>-0.3024</v>
      </c>
      <c r="Q178" s="20">
        <v>-2.3300000000000001E-2</v>
      </c>
      <c r="R178" s="20">
        <v>-7.7100000000000002E-2</v>
      </c>
      <c r="S178" s="20">
        <v>-0.13320000000000001</v>
      </c>
      <c r="T178" s="20">
        <v>-0.23019999999999999</v>
      </c>
      <c r="U178" s="20">
        <v>-2.63E-2</v>
      </c>
      <c r="V178" s="20">
        <v>8.7999999999999995E-2</v>
      </c>
      <c r="W178" s="20">
        <v>-5.9799999999999999E-2</v>
      </c>
      <c r="X178" s="20">
        <v>0.15609999999999999</v>
      </c>
      <c r="Y178" s="20">
        <v>0.22639999999999999</v>
      </c>
      <c r="Z178" s="20">
        <v>-0.1211</v>
      </c>
      <c r="AA178" s="20">
        <v>2.2200000000000001E-2</v>
      </c>
      <c r="AB178" s="20">
        <v>-9.5899999999999999E-2</v>
      </c>
      <c r="AC178" s="20">
        <v>0.38929999999999998</v>
      </c>
      <c r="AD178" s="20">
        <v>-3.7999999999999999E-2</v>
      </c>
      <c r="AE178" s="20">
        <v>-0.1113</v>
      </c>
      <c r="AF178" s="20">
        <v>-7.2599999999999998E-2</v>
      </c>
      <c r="AG178" s="20">
        <v>0.16289999999999999</v>
      </c>
      <c r="AH178" s="20">
        <v>2.86E-2</v>
      </c>
      <c r="AI178" s="20">
        <v>0.1444</v>
      </c>
      <c r="AJ178" s="20">
        <v>4.8899999999999999E-2</v>
      </c>
      <c r="AK178" s="20">
        <v>-0.2261</v>
      </c>
      <c r="AL178" s="21">
        <v>-0.19259999999999999</v>
      </c>
    </row>
    <row r="179" spans="1:38">
      <c r="A179" s="20">
        <v>-5.9200000000000003E-2</v>
      </c>
      <c r="B179" s="20">
        <v>0.11550000000000001</v>
      </c>
      <c r="C179" s="20">
        <v>0.3805</v>
      </c>
      <c r="D179" s="20">
        <v>-9.6799999999999997E-2</v>
      </c>
      <c r="E179" s="20">
        <v>-1.4999999999999999E-2</v>
      </c>
      <c r="F179" s="20">
        <v>-7.4399999999999994E-2</v>
      </c>
      <c r="G179" s="20">
        <v>6.6400000000000001E-2</v>
      </c>
      <c r="H179" s="20">
        <v>-8.2400000000000001E-2</v>
      </c>
      <c r="I179" s="20">
        <v>0.17449999999999999</v>
      </c>
      <c r="J179" s="20">
        <v>-0.1963</v>
      </c>
      <c r="K179" s="20">
        <v>-0.19339999999999999</v>
      </c>
      <c r="L179" s="20">
        <v>-0.27689999999999998</v>
      </c>
      <c r="M179" s="20">
        <v>-5.3E-3</v>
      </c>
      <c r="N179" s="20">
        <v>0.1043</v>
      </c>
      <c r="O179" s="20">
        <v>0.25440000000000002</v>
      </c>
      <c r="P179" s="20">
        <v>0.24379999999999999</v>
      </c>
      <c r="Q179" s="20">
        <v>-0.16839999999999999</v>
      </c>
      <c r="R179" s="20">
        <v>1.78E-2</v>
      </c>
      <c r="S179" s="20">
        <v>-2.86E-2</v>
      </c>
      <c r="T179" s="20">
        <v>-0.39269999999999999</v>
      </c>
      <c r="U179" s="20">
        <v>0.26790000000000003</v>
      </c>
      <c r="V179" s="20">
        <v>-5.2400000000000002E-2</v>
      </c>
      <c r="W179" s="20">
        <v>-2.2499999999999999E-2</v>
      </c>
      <c r="X179" s="20">
        <v>0.1671</v>
      </c>
      <c r="Y179" s="20">
        <v>0.16289999999999999</v>
      </c>
      <c r="Z179" s="20">
        <v>-4.8899999999999999E-2</v>
      </c>
      <c r="AA179" s="20">
        <v>2.3E-2</v>
      </c>
      <c r="AB179" s="20">
        <v>0.12659999999999999</v>
      </c>
      <c r="AC179" s="20">
        <v>0.1045</v>
      </c>
      <c r="AD179" s="20">
        <v>6.5600000000000006E-2</v>
      </c>
      <c r="AE179" s="20">
        <v>9.1999999999999998E-2</v>
      </c>
      <c r="AF179" s="20">
        <v>-4.0300000000000002E-2</v>
      </c>
      <c r="AG179" s="20">
        <v>4.3400000000000001E-2</v>
      </c>
      <c r="AH179" s="20">
        <v>-8.6999999999999994E-3</v>
      </c>
      <c r="AI179" s="20">
        <v>-4.0899999999999999E-2</v>
      </c>
      <c r="AJ179" s="20">
        <v>-0.23080000000000001</v>
      </c>
      <c r="AK179" s="20">
        <v>-0.2586</v>
      </c>
      <c r="AL179" s="21">
        <v>-0.11260000000000001</v>
      </c>
    </row>
    <row r="180" spans="1:38">
      <c r="A180" s="20">
        <v>5.6800000000000003E-2</v>
      </c>
      <c r="B180" s="20">
        <v>-9.8699999999999996E-2</v>
      </c>
      <c r="C180" s="20">
        <v>0.39179999999999998</v>
      </c>
      <c r="D180" s="20">
        <v>9.1200000000000003E-2</v>
      </c>
      <c r="E180" s="20">
        <v>0.15049999999999999</v>
      </c>
      <c r="F180" s="20">
        <v>-5.8500000000000003E-2</v>
      </c>
      <c r="G180" s="20">
        <v>6.83E-2</v>
      </c>
      <c r="H180" s="20">
        <v>-0.23619999999999999</v>
      </c>
      <c r="I180" s="20">
        <v>0.1171</v>
      </c>
      <c r="J180" s="20">
        <v>-7.22E-2</v>
      </c>
      <c r="K180" s="20">
        <v>-0.20380000000000001</v>
      </c>
      <c r="L180" s="20">
        <v>-0.2356</v>
      </c>
      <c r="M180" s="20">
        <v>0.08</v>
      </c>
      <c r="N180" s="20">
        <v>0.18690000000000001</v>
      </c>
      <c r="O180" s="20">
        <v>0.18310000000000001</v>
      </c>
      <c r="P180" s="20">
        <v>1.9900000000000001E-2</v>
      </c>
      <c r="Q180" s="20">
        <v>-0.2147</v>
      </c>
      <c r="R180" s="20">
        <v>1.47E-2</v>
      </c>
      <c r="S180" s="20">
        <v>-1.9699999999999999E-2</v>
      </c>
      <c r="T180" s="20">
        <v>-0.34720000000000001</v>
      </c>
      <c r="U180" s="20">
        <v>0.33660000000000001</v>
      </c>
      <c r="V180" s="20">
        <v>-0.1799</v>
      </c>
      <c r="W180" s="20">
        <v>-9.7000000000000003E-3</v>
      </c>
      <c r="X180" s="20">
        <v>9.1899999999999996E-2</v>
      </c>
      <c r="Y180" s="20">
        <v>0.13719999999999999</v>
      </c>
      <c r="Z180" s="20">
        <v>-5.4600000000000003E-2</v>
      </c>
      <c r="AA180" s="20">
        <v>8.8700000000000001E-2</v>
      </c>
      <c r="AB180" s="20">
        <v>2.9100000000000001E-2</v>
      </c>
      <c r="AC180" s="20">
        <v>0.20430000000000001</v>
      </c>
      <c r="AD180" s="20">
        <v>-3.49E-2</v>
      </c>
      <c r="AE180" s="20">
        <v>-0.1749</v>
      </c>
      <c r="AF180" s="20">
        <v>3.3599999999999998E-2</v>
      </c>
      <c r="AG180" s="20">
        <v>0.15790000000000001</v>
      </c>
      <c r="AH180" s="20">
        <v>-2.5700000000000001E-2</v>
      </c>
      <c r="AI180" s="20">
        <v>-6.5000000000000002E-2</v>
      </c>
      <c r="AJ180" s="20">
        <v>-4.36E-2</v>
      </c>
      <c r="AK180" s="20">
        <v>-6.9500000000000006E-2</v>
      </c>
      <c r="AL180" s="21">
        <v>-0.29039999999999999</v>
      </c>
    </row>
    <row r="181" spans="1:38">
      <c r="A181" s="20">
        <v>0.1072</v>
      </c>
      <c r="B181" s="20">
        <v>-0.56840000000000002</v>
      </c>
      <c r="C181" s="20">
        <v>0.318</v>
      </c>
      <c r="D181" s="20">
        <v>-0.19789999999999999</v>
      </c>
      <c r="E181" s="20">
        <v>9.4899999999999998E-2</v>
      </c>
      <c r="F181" s="20">
        <v>-4.6600000000000003E-2</v>
      </c>
      <c r="G181" s="20">
        <v>-0.32329999999999998</v>
      </c>
      <c r="H181" s="20">
        <v>4.24E-2</v>
      </c>
      <c r="I181" s="20">
        <v>-4.5499999999999999E-2</v>
      </c>
      <c r="J181" s="20">
        <v>-0.15160000000000001</v>
      </c>
      <c r="K181" s="20">
        <v>-9.9500000000000005E-2</v>
      </c>
      <c r="L181" s="20">
        <v>-0.23499999999999999</v>
      </c>
      <c r="M181" s="20">
        <v>0.13589999999999999</v>
      </c>
      <c r="N181" s="20">
        <v>0.20699999999999999</v>
      </c>
      <c r="O181" s="20">
        <v>0.13550000000000001</v>
      </c>
      <c r="P181" s="20">
        <v>0.14149999999999999</v>
      </c>
      <c r="Q181" s="20">
        <v>-0.1075</v>
      </c>
      <c r="R181" s="20">
        <v>2.7E-2</v>
      </c>
      <c r="S181" s="20">
        <v>-8.3999999999999995E-3</v>
      </c>
      <c r="T181" s="20">
        <v>-0.1009</v>
      </c>
      <c r="U181" s="20">
        <v>0.12429999999999999</v>
      </c>
      <c r="V181" s="20">
        <v>-0.1226</v>
      </c>
      <c r="W181" s="20">
        <v>-3.5000000000000003E-2</v>
      </c>
      <c r="X181" s="20">
        <v>9.4200000000000006E-2</v>
      </c>
      <c r="Y181" s="20">
        <v>0.16569999999999999</v>
      </c>
      <c r="Z181" s="20">
        <v>-0.15409999999999999</v>
      </c>
      <c r="AA181" s="20">
        <v>7.0699999999999999E-2</v>
      </c>
      <c r="AB181" s="20">
        <v>7.0699999999999999E-2</v>
      </c>
      <c r="AC181" s="20">
        <v>0.11799999999999999</v>
      </c>
      <c r="AD181" s="20">
        <v>-2.0999999999999999E-3</v>
      </c>
      <c r="AE181" s="20">
        <v>-4.1300000000000003E-2</v>
      </c>
      <c r="AF181" s="20">
        <v>0.22900000000000001</v>
      </c>
      <c r="AG181" s="20">
        <v>0.1114</v>
      </c>
      <c r="AH181" s="20">
        <v>-5.3600000000000002E-2</v>
      </c>
      <c r="AI181" s="20">
        <v>-7.7000000000000002E-3</v>
      </c>
      <c r="AJ181" s="20">
        <v>3.8199999999999998E-2</v>
      </c>
      <c r="AK181" s="20">
        <v>-2.7E-2</v>
      </c>
      <c r="AL181" s="21">
        <v>8.8599999999999998E-2</v>
      </c>
    </row>
    <row r="182" spans="1:38">
      <c r="A182" s="20">
        <v>0.1532</v>
      </c>
      <c r="B182" s="20">
        <v>3.1E-2</v>
      </c>
      <c r="C182" s="20">
        <v>0.4304</v>
      </c>
      <c r="D182" s="20">
        <v>-3.4299999999999997E-2</v>
      </c>
      <c r="E182" s="20">
        <v>5.67E-2</v>
      </c>
      <c r="F182" s="20">
        <v>5.9999999999999995E-4</v>
      </c>
      <c r="G182" s="20">
        <v>3.7000000000000002E-3</v>
      </c>
      <c r="H182" s="20">
        <v>-5.9299999999999999E-2</v>
      </c>
      <c r="I182" s="20">
        <v>0.20080000000000001</v>
      </c>
      <c r="J182" s="20">
        <v>-0.15890000000000001</v>
      </c>
      <c r="K182" s="20">
        <v>-0.37330000000000002</v>
      </c>
      <c r="L182" s="20">
        <v>-0.2281</v>
      </c>
      <c r="M182" s="20">
        <v>1.34E-2</v>
      </c>
      <c r="N182" s="20">
        <v>6.4699999999999994E-2</v>
      </c>
      <c r="O182" s="20">
        <v>0.18690000000000001</v>
      </c>
      <c r="P182" s="20">
        <v>-4.2500000000000003E-2</v>
      </c>
      <c r="Q182" s="20">
        <v>-0.18079999999999999</v>
      </c>
      <c r="R182" s="20">
        <v>1.54E-2</v>
      </c>
      <c r="S182" s="20">
        <v>-0.14199999999999999</v>
      </c>
      <c r="T182" s="20">
        <v>-0.31190000000000001</v>
      </c>
      <c r="U182" s="20">
        <v>0.30370000000000003</v>
      </c>
      <c r="V182" s="20">
        <v>2.5000000000000001E-2</v>
      </c>
      <c r="W182" s="20">
        <v>-0.1014</v>
      </c>
      <c r="X182" s="20">
        <v>0.16350000000000001</v>
      </c>
      <c r="Y182" s="20">
        <v>0.23849999999999999</v>
      </c>
      <c r="Z182" s="20">
        <v>-0.15409999999999999</v>
      </c>
      <c r="AA182" s="20">
        <v>6.1400000000000003E-2</v>
      </c>
      <c r="AB182" s="20">
        <v>-9.4799999999999995E-2</v>
      </c>
      <c r="AC182" s="20">
        <v>0.1037</v>
      </c>
      <c r="AD182" s="20">
        <v>4.8599999999999997E-2</v>
      </c>
      <c r="AE182" s="20">
        <v>0.13200000000000001</v>
      </c>
      <c r="AF182" s="20">
        <v>2.9499999999999998E-2</v>
      </c>
      <c r="AG182" s="20">
        <v>4.9299999999999997E-2</v>
      </c>
      <c r="AH182" s="20">
        <v>-0.10249999999999999</v>
      </c>
      <c r="AI182" s="20">
        <v>6.8199999999999997E-2</v>
      </c>
      <c r="AJ182" s="20">
        <v>-0.20599999999999999</v>
      </c>
      <c r="AK182" s="20">
        <v>-6.4199999999999993E-2</v>
      </c>
      <c r="AL182" s="21">
        <v>-0.1235</v>
      </c>
    </row>
    <row r="183" spans="1:38">
      <c r="A183" s="20">
        <v>0.29809999999999998</v>
      </c>
      <c r="B183" s="20">
        <v>0.25119999999999998</v>
      </c>
      <c r="C183" s="20">
        <v>-0.16020000000000001</v>
      </c>
      <c r="D183" s="20">
        <v>0.20860000000000001</v>
      </c>
      <c r="E183" s="20">
        <v>-4.3299999999999998E-2</v>
      </c>
      <c r="F183" s="20">
        <v>0.24970000000000001</v>
      </c>
      <c r="G183" s="20">
        <v>-7.8299999999999995E-2</v>
      </c>
      <c r="H183" s="20">
        <v>0.3165</v>
      </c>
      <c r="I183" s="20">
        <v>0.20979999999999999</v>
      </c>
      <c r="J183" s="20">
        <v>-7.6200000000000004E-2</v>
      </c>
      <c r="K183" s="20">
        <v>-0.29089999999999999</v>
      </c>
      <c r="L183" s="20">
        <v>-0.15590000000000001</v>
      </c>
      <c r="M183" s="20">
        <v>1.89E-2</v>
      </c>
      <c r="N183" s="20">
        <v>-0.1003</v>
      </c>
      <c r="O183" s="20">
        <v>-0.24909999999999999</v>
      </c>
      <c r="P183" s="20">
        <v>6.9800000000000001E-2</v>
      </c>
      <c r="Q183" s="20">
        <v>-0.1502</v>
      </c>
      <c r="R183" s="20">
        <v>-1.12E-2</v>
      </c>
      <c r="S183" s="20">
        <v>-9.5299999999999996E-2</v>
      </c>
      <c r="T183" s="20">
        <v>-1.9699999999999999E-2</v>
      </c>
      <c r="U183" s="20">
        <v>-0.2576</v>
      </c>
      <c r="V183" s="20">
        <v>-7.8100000000000003E-2</v>
      </c>
      <c r="W183" s="20">
        <v>0.1555</v>
      </c>
      <c r="X183" s="20">
        <v>-3.1E-2</v>
      </c>
      <c r="Y183" s="20">
        <v>2.35E-2</v>
      </c>
      <c r="Z183" s="20">
        <v>-0.18559999999999999</v>
      </c>
      <c r="AA183" s="20">
        <v>0.13339999999999999</v>
      </c>
      <c r="AB183" s="20">
        <v>-2.29E-2</v>
      </c>
      <c r="AC183" s="20">
        <v>-5.9200000000000003E-2</v>
      </c>
      <c r="AD183" s="20">
        <v>-0.22720000000000001</v>
      </c>
      <c r="AE183" s="20">
        <v>0.13830000000000001</v>
      </c>
      <c r="AF183" s="20">
        <v>-7.3800000000000004E-2</v>
      </c>
      <c r="AG183" s="20">
        <v>4.07E-2</v>
      </c>
      <c r="AH183" s="20">
        <v>8.4000000000000005E-2</v>
      </c>
      <c r="AI183" s="20">
        <v>0.1678</v>
      </c>
      <c r="AJ183" s="20">
        <v>-2.06E-2</v>
      </c>
      <c r="AK183" s="20">
        <v>-0.1812</v>
      </c>
      <c r="AL183" s="21">
        <v>0.19819999999999999</v>
      </c>
    </row>
    <row r="184" spans="1:38">
      <c r="A184" s="20">
        <v>0.2722</v>
      </c>
      <c r="B184" s="20">
        <v>-0.1973</v>
      </c>
      <c r="C184" s="20">
        <v>1.55E-2</v>
      </c>
      <c r="D184" s="20">
        <v>1.34E-2</v>
      </c>
      <c r="E184" s="20">
        <v>0.15440000000000001</v>
      </c>
      <c r="F184" s="20">
        <v>-0.47120000000000001</v>
      </c>
      <c r="G184" s="20">
        <v>-0.31469999999999998</v>
      </c>
      <c r="H184" s="20">
        <v>-0.2873</v>
      </c>
      <c r="I184" s="20">
        <v>0.109</v>
      </c>
      <c r="J184" s="20">
        <v>0.2286</v>
      </c>
      <c r="K184" s="20">
        <v>-7.9799999999999996E-2</v>
      </c>
      <c r="L184" s="20">
        <v>-4.8999999999999998E-3</v>
      </c>
      <c r="M184" s="20">
        <v>0.249</v>
      </c>
      <c r="N184" s="20">
        <v>5.9400000000000001E-2</v>
      </c>
      <c r="O184" s="20">
        <v>2.3900000000000001E-2</v>
      </c>
      <c r="P184" s="20">
        <v>1.7600000000000001E-2</v>
      </c>
      <c r="Q184" s="20">
        <v>2.7099999999999999E-2</v>
      </c>
      <c r="R184" s="20">
        <v>0.36990000000000001</v>
      </c>
      <c r="S184" s="20">
        <v>4.6800000000000001E-2</v>
      </c>
      <c r="T184" s="20">
        <v>-5.0599999999999999E-2</v>
      </c>
      <c r="U184" s="20">
        <v>2.5700000000000001E-2</v>
      </c>
      <c r="V184" s="20">
        <v>5.5599999999999997E-2</v>
      </c>
      <c r="W184" s="20">
        <v>-3.73E-2</v>
      </c>
      <c r="X184" s="20">
        <v>0.1048</v>
      </c>
      <c r="Y184" s="20">
        <v>0.20499999999999999</v>
      </c>
      <c r="Z184" s="20">
        <v>-7.0699999999999999E-2</v>
      </c>
      <c r="AA184" s="20">
        <v>-4.82E-2</v>
      </c>
      <c r="AB184" s="20">
        <v>-7.17E-2</v>
      </c>
      <c r="AC184" s="20">
        <v>2.7099999999999999E-2</v>
      </c>
      <c r="AD184" s="20">
        <v>4.7800000000000002E-2</v>
      </c>
      <c r="AE184" s="20">
        <v>-8.5099999999999995E-2</v>
      </c>
      <c r="AF184" s="20">
        <v>4.6100000000000002E-2</v>
      </c>
      <c r="AG184" s="20">
        <v>-0.16950000000000001</v>
      </c>
      <c r="AH184" s="20">
        <v>-0.1231</v>
      </c>
      <c r="AI184" s="20">
        <v>0.16139999999999999</v>
      </c>
      <c r="AJ184" s="20">
        <v>-0.12939999999999999</v>
      </c>
      <c r="AK184" s="20">
        <v>-2.8799999999999999E-2</v>
      </c>
      <c r="AL184" s="21">
        <v>-9.7100000000000006E-2</v>
      </c>
    </row>
    <row r="185" spans="1:38">
      <c r="A185" s="20">
        <v>0.2888</v>
      </c>
      <c r="B185" s="20">
        <v>-0.27639999999999998</v>
      </c>
      <c r="C185" s="20">
        <v>0.22109999999999999</v>
      </c>
      <c r="D185" s="20">
        <v>0.1201</v>
      </c>
      <c r="E185" s="20">
        <v>1.1299999999999999E-2</v>
      </c>
      <c r="F185" s="20">
        <v>-1.1599999999999999E-2</v>
      </c>
      <c r="G185" s="20">
        <v>3.3300000000000003E-2</v>
      </c>
      <c r="H185" s="20">
        <v>5.5599999999999997E-2</v>
      </c>
      <c r="I185" s="20">
        <v>-0.28070000000000001</v>
      </c>
      <c r="J185" s="20">
        <v>-4.8000000000000001E-2</v>
      </c>
      <c r="K185" s="20">
        <v>-0.1163</v>
      </c>
      <c r="L185" s="20">
        <v>5.8200000000000002E-2</v>
      </c>
      <c r="M185" s="20">
        <v>0.27379999999999999</v>
      </c>
      <c r="N185" s="20">
        <v>-0.26800000000000002</v>
      </c>
      <c r="O185" s="20">
        <v>-0.19739999999999999</v>
      </c>
      <c r="P185" s="20">
        <v>-4.3999999999999997E-2</v>
      </c>
      <c r="Q185" s="20">
        <v>0.1537</v>
      </c>
      <c r="R185" s="20">
        <v>-0.21299999999999999</v>
      </c>
      <c r="S185" s="20">
        <v>-2.98E-2</v>
      </c>
      <c r="T185" s="20">
        <v>-5.3800000000000001E-2</v>
      </c>
      <c r="U185" s="20">
        <v>0.27029999999999998</v>
      </c>
      <c r="V185" s="20">
        <v>0.10299999999999999</v>
      </c>
      <c r="W185" s="20">
        <v>-0.14119999999999999</v>
      </c>
      <c r="X185" s="20">
        <v>0.11169999999999999</v>
      </c>
      <c r="Y185" s="20">
        <v>0.02</v>
      </c>
      <c r="Z185" s="20">
        <v>-7.0300000000000001E-2</v>
      </c>
      <c r="AA185" s="20">
        <v>-0.16259999999999999</v>
      </c>
      <c r="AB185" s="20">
        <v>4.8999999999999998E-3</v>
      </c>
      <c r="AC185" s="20">
        <v>-0.17130000000000001</v>
      </c>
      <c r="AD185" s="20">
        <v>-0.1893</v>
      </c>
      <c r="AE185" s="20">
        <v>0.189</v>
      </c>
      <c r="AF185" s="20">
        <v>0.24660000000000001</v>
      </c>
      <c r="AG185" s="20">
        <v>-2.1399999999999999E-2</v>
      </c>
      <c r="AH185" s="20">
        <v>2.6599999999999999E-2</v>
      </c>
      <c r="AI185" s="20">
        <v>0.17249999999999999</v>
      </c>
      <c r="AJ185" s="20">
        <v>-0.1007</v>
      </c>
      <c r="AK185" s="20">
        <v>-0.15690000000000001</v>
      </c>
      <c r="AL185" s="21">
        <v>0.1968</v>
      </c>
    </row>
    <row r="186" spans="1:38">
      <c r="A186" s="20">
        <v>-0.43070000000000003</v>
      </c>
      <c r="B186" s="20">
        <v>0.25230000000000002</v>
      </c>
      <c r="C186" s="20">
        <v>-8.0299999999999996E-2</v>
      </c>
      <c r="D186" s="20">
        <v>-4.4999999999999997E-3</v>
      </c>
      <c r="E186" s="20">
        <v>0.15959999999999999</v>
      </c>
      <c r="F186" s="20">
        <v>8.2799999999999999E-2</v>
      </c>
      <c r="G186" s="20">
        <v>-0.32</v>
      </c>
      <c r="H186" s="20">
        <v>9.0999999999999998E-2</v>
      </c>
      <c r="I186" s="20">
        <v>-0.10199999999999999</v>
      </c>
      <c r="J186" s="20">
        <v>0.1207</v>
      </c>
      <c r="K186" s="20">
        <v>0.32779999999999998</v>
      </c>
      <c r="L186" s="20">
        <v>-0.1154</v>
      </c>
      <c r="M186" s="20">
        <v>-0.12859999999999999</v>
      </c>
      <c r="N186" s="20">
        <v>3.0200000000000001E-2</v>
      </c>
      <c r="O186" s="20">
        <v>3.9899999999999998E-2</v>
      </c>
      <c r="P186" s="20">
        <v>5.9999999999999995E-4</v>
      </c>
      <c r="Q186" s="20">
        <v>0.32079999999999997</v>
      </c>
      <c r="R186" s="20">
        <v>-0.15529999999999999</v>
      </c>
      <c r="S186" s="20">
        <v>-0.1356</v>
      </c>
      <c r="T186" s="20">
        <v>-9.8599999999999993E-2</v>
      </c>
      <c r="U186" s="20">
        <v>9.9400000000000002E-2</v>
      </c>
      <c r="V186" s="20">
        <v>-0.1103</v>
      </c>
      <c r="W186" s="20">
        <v>9.5200000000000007E-2</v>
      </c>
      <c r="X186" s="20">
        <v>-5.04E-2</v>
      </c>
      <c r="Y186" s="20">
        <v>6.4899999999999999E-2</v>
      </c>
      <c r="Z186" s="20">
        <v>-9.5899999999999999E-2</v>
      </c>
      <c r="AA186" s="20">
        <v>8.5699999999999998E-2</v>
      </c>
      <c r="AB186" s="20">
        <v>-0.17130000000000001</v>
      </c>
      <c r="AC186" s="20">
        <v>-0.27129999999999999</v>
      </c>
      <c r="AD186" s="20">
        <v>0.20569999999999999</v>
      </c>
      <c r="AE186" s="20">
        <v>-4.8899999999999999E-2</v>
      </c>
      <c r="AF186" s="20">
        <v>-6.1600000000000002E-2</v>
      </c>
      <c r="AG186" s="20">
        <v>0.15759999999999999</v>
      </c>
      <c r="AH186" s="20">
        <v>5.3E-3</v>
      </c>
      <c r="AI186" s="20">
        <v>0.1804</v>
      </c>
      <c r="AJ186" s="20">
        <v>5.8200000000000002E-2</v>
      </c>
      <c r="AK186" s="20">
        <v>8.5900000000000004E-2</v>
      </c>
      <c r="AL186" s="21">
        <v>-8.5900000000000004E-2</v>
      </c>
    </row>
    <row r="187" spans="1:38">
      <c r="A187" s="20">
        <v>-0.43130000000000002</v>
      </c>
      <c r="B187" s="20">
        <v>-0.1623</v>
      </c>
      <c r="C187" s="20">
        <v>9.8100000000000007E-2</v>
      </c>
      <c r="D187" s="20">
        <v>-9.2100000000000001E-2</v>
      </c>
      <c r="E187" s="20">
        <v>0.13089999999999999</v>
      </c>
      <c r="F187" s="20">
        <v>0.11799999999999999</v>
      </c>
      <c r="G187" s="20">
        <v>-0.43490000000000001</v>
      </c>
      <c r="H187" s="20">
        <v>0.18679999999999999</v>
      </c>
      <c r="I187" s="20">
        <v>0.2334</v>
      </c>
      <c r="J187" s="20">
        <v>0.18720000000000001</v>
      </c>
      <c r="K187" s="20">
        <v>-0.21920000000000001</v>
      </c>
      <c r="L187" s="20">
        <v>4.0000000000000001E-3</v>
      </c>
      <c r="M187" s="20">
        <v>-3.5999999999999999E-3</v>
      </c>
      <c r="N187" s="20">
        <v>-0.1133</v>
      </c>
      <c r="O187" s="20">
        <v>0.27410000000000001</v>
      </c>
      <c r="P187" s="20">
        <v>2.2700000000000001E-2</v>
      </c>
      <c r="Q187" s="20">
        <v>7.9200000000000007E-2</v>
      </c>
      <c r="R187" s="20">
        <v>6.6699999999999995E-2</v>
      </c>
      <c r="S187" s="20">
        <v>-0.1555</v>
      </c>
      <c r="T187" s="20">
        <v>-1.67E-2</v>
      </c>
      <c r="U187" s="20">
        <v>2.3099999999999999E-2</v>
      </c>
      <c r="V187" s="20">
        <v>0.1368</v>
      </c>
      <c r="W187" s="20">
        <v>-0.17960000000000001</v>
      </c>
      <c r="X187" s="20">
        <v>-0.26819999999999999</v>
      </c>
      <c r="Y187" s="20">
        <v>0.14910000000000001</v>
      </c>
      <c r="Z187" s="20">
        <v>-4.1099999999999998E-2</v>
      </c>
      <c r="AA187" s="20">
        <v>-0.12690000000000001</v>
      </c>
      <c r="AB187" s="20">
        <v>1.72E-2</v>
      </c>
      <c r="AC187" s="20">
        <v>8.9599999999999999E-2</v>
      </c>
      <c r="AD187" s="20">
        <v>7.8200000000000006E-2</v>
      </c>
      <c r="AE187" s="20">
        <v>2.9399999999999999E-2</v>
      </c>
      <c r="AF187" s="20">
        <v>2.01E-2</v>
      </c>
      <c r="AG187" s="20">
        <v>2.12E-2</v>
      </c>
      <c r="AH187" s="20">
        <v>-9.4299999999999995E-2</v>
      </c>
      <c r="AI187" s="20">
        <v>7.5600000000000001E-2</v>
      </c>
      <c r="AJ187" s="20">
        <v>0.17180000000000001</v>
      </c>
      <c r="AK187" s="20">
        <v>-4.53E-2</v>
      </c>
      <c r="AL187" s="21">
        <v>0.1656</v>
      </c>
    </row>
    <row r="188" spans="1:38">
      <c r="A188" s="20">
        <v>-5.4000000000000003E-3</v>
      </c>
      <c r="B188" s="20">
        <v>4.7500000000000001E-2</v>
      </c>
      <c r="C188" s="20">
        <v>0.3417</v>
      </c>
      <c r="D188" s="20">
        <v>5.5800000000000002E-2</v>
      </c>
      <c r="E188" s="20">
        <v>-0.1351</v>
      </c>
      <c r="F188" s="20">
        <v>0.20150000000000001</v>
      </c>
      <c r="G188" s="20">
        <v>-1.2E-2</v>
      </c>
      <c r="H188" s="20">
        <v>-0.41880000000000001</v>
      </c>
      <c r="I188" s="20">
        <v>-0.2034</v>
      </c>
      <c r="J188" s="20">
        <v>7.4200000000000002E-2</v>
      </c>
      <c r="K188" s="20">
        <v>-0.18629999999999999</v>
      </c>
      <c r="L188" s="20">
        <v>0.18410000000000001</v>
      </c>
      <c r="M188" s="20">
        <v>-5.2600000000000001E-2</v>
      </c>
      <c r="N188" s="20">
        <v>0.26069999999999999</v>
      </c>
      <c r="O188" s="20">
        <v>8.1500000000000003E-2</v>
      </c>
      <c r="P188" s="20">
        <v>-0.1956</v>
      </c>
      <c r="Q188" s="20">
        <v>-9.1000000000000004E-3</v>
      </c>
      <c r="R188" s="20">
        <v>-0.25380000000000003</v>
      </c>
      <c r="S188" s="20">
        <v>-0.20119999999999999</v>
      </c>
      <c r="T188" s="20">
        <v>0.1026</v>
      </c>
      <c r="U188" s="20">
        <v>4.65E-2</v>
      </c>
      <c r="V188" s="20">
        <v>-7.51E-2</v>
      </c>
      <c r="W188" s="20">
        <v>4.7E-2</v>
      </c>
      <c r="X188" s="20">
        <v>-2.7900000000000001E-2</v>
      </c>
      <c r="Y188" s="20">
        <v>-4.6300000000000001E-2</v>
      </c>
      <c r="Z188" s="20">
        <v>5.7500000000000002E-2</v>
      </c>
      <c r="AA188" s="20">
        <v>-0.14860000000000001</v>
      </c>
      <c r="AB188" s="20">
        <v>6.83E-2</v>
      </c>
      <c r="AC188" s="20">
        <v>0.24010000000000001</v>
      </c>
      <c r="AD188" s="20">
        <v>0.22520000000000001</v>
      </c>
      <c r="AE188" s="20">
        <v>-0.2404</v>
      </c>
      <c r="AF188" s="20">
        <v>0.1177</v>
      </c>
      <c r="AG188" s="20">
        <v>8.7599999999999997E-2</v>
      </c>
      <c r="AH188" s="20">
        <v>8.9599999999999999E-2</v>
      </c>
      <c r="AI188" s="20">
        <v>-2.3300000000000001E-2</v>
      </c>
      <c r="AJ188" s="20">
        <v>0.13850000000000001</v>
      </c>
      <c r="AK188" s="20">
        <v>-0.19259999999999999</v>
      </c>
      <c r="AL188" s="21">
        <v>-3.6200000000000003E-2</v>
      </c>
    </row>
    <row r="189" spans="1:38">
      <c r="A189" s="20">
        <v>0.26190000000000002</v>
      </c>
      <c r="B189" s="20">
        <v>0.36</v>
      </c>
      <c r="C189" s="20">
        <v>-9.9699999999999997E-2</v>
      </c>
      <c r="D189" s="20">
        <v>3.1300000000000001E-2</v>
      </c>
      <c r="E189" s="20">
        <v>5.0999999999999997E-2</v>
      </c>
      <c r="F189" s="20">
        <v>0.29110000000000003</v>
      </c>
      <c r="G189" s="20">
        <v>-0.21460000000000001</v>
      </c>
      <c r="H189" s="20">
        <v>-0.245</v>
      </c>
      <c r="I189" s="20">
        <v>-8.7900000000000006E-2</v>
      </c>
      <c r="J189" s="20">
        <v>0.23880000000000001</v>
      </c>
      <c r="K189" s="20">
        <v>-0.2296</v>
      </c>
      <c r="L189" s="20">
        <v>0.22439999999999999</v>
      </c>
      <c r="M189" s="20">
        <v>4.4699999999999997E-2</v>
      </c>
      <c r="N189" s="20">
        <v>5.33E-2</v>
      </c>
      <c r="O189" s="20">
        <v>0.1482</v>
      </c>
      <c r="P189" s="20">
        <v>-3.5000000000000001E-3</v>
      </c>
      <c r="Q189" s="20">
        <v>-1.4E-2</v>
      </c>
      <c r="R189" s="20">
        <v>-0.34129999999999999</v>
      </c>
      <c r="S189" s="20">
        <v>-5.5599999999999997E-2</v>
      </c>
      <c r="T189" s="20">
        <v>-5.8000000000000003E-2</v>
      </c>
      <c r="U189" s="20">
        <v>3.39E-2</v>
      </c>
      <c r="V189" s="20">
        <v>-0.14419999999999999</v>
      </c>
      <c r="W189" s="20">
        <v>0.19020000000000001</v>
      </c>
      <c r="X189" s="20">
        <v>-0.17199999999999999</v>
      </c>
      <c r="Y189" s="20">
        <v>-0.22869999999999999</v>
      </c>
      <c r="Z189" s="20">
        <v>0.13089999999999999</v>
      </c>
      <c r="AA189" s="20">
        <v>-0.16470000000000001</v>
      </c>
      <c r="AB189" s="20">
        <v>-2.8E-3</v>
      </c>
      <c r="AC189" s="20">
        <v>-4.1799999999999997E-2</v>
      </c>
      <c r="AD189" s="20">
        <v>-7.3599999999999999E-2</v>
      </c>
      <c r="AE189" s="20">
        <v>6.6600000000000006E-2</v>
      </c>
      <c r="AF189" s="20">
        <v>0.12740000000000001</v>
      </c>
      <c r="AG189" s="20">
        <v>1.6400000000000001E-2</v>
      </c>
      <c r="AH189" s="20">
        <v>0.16950000000000001</v>
      </c>
      <c r="AI189" s="20">
        <v>8.0000000000000002E-3</v>
      </c>
      <c r="AJ189" s="20">
        <v>4.0000000000000002E-4</v>
      </c>
      <c r="AK189" s="20">
        <v>-9.4799999999999995E-2</v>
      </c>
      <c r="AL189" s="21">
        <v>-0.1719</v>
      </c>
    </row>
    <row r="190" spans="1:38">
      <c r="A190" s="20">
        <v>-8.48E-2</v>
      </c>
      <c r="B190" s="20">
        <v>8.9700000000000002E-2</v>
      </c>
      <c r="C190" s="20">
        <v>0.3024</v>
      </c>
      <c r="D190" s="20">
        <v>0.33860000000000001</v>
      </c>
      <c r="E190" s="20">
        <v>-2.6100000000000002E-2</v>
      </c>
      <c r="F190" s="20">
        <v>-0.15040000000000001</v>
      </c>
      <c r="G190" s="20">
        <v>-2.1700000000000001E-2</v>
      </c>
      <c r="H190" s="20">
        <v>6.0000000000000001E-3</v>
      </c>
      <c r="I190" s="20">
        <v>-0.13389999999999999</v>
      </c>
      <c r="J190" s="20">
        <v>-0.1918</v>
      </c>
      <c r="K190" s="20">
        <v>-0.1817</v>
      </c>
      <c r="L190" s="20">
        <v>2E-3</v>
      </c>
      <c r="M190" s="20">
        <v>-6.6699999999999995E-2</v>
      </c>
      <c r="N190" s="20">
        <v>-3.8600000000000002E-2</v>
      </c>
      <c r="O190" s="20">
        <v>0.12379999999999999</v>
      </c>
      <c r="P190" s="20">
        <v>0.1769</v>
      </c>
      <c r="Q190" s="20">
        <v>0.33090000000000003</v>
      </c>
      <c r="R190" s="20">
        <v>-0.21709999999999999</v>
      </c>
      <c r="S190" s="20">
        <v>-0.1661</v>
      </c>
      <c r="T190" s="20">
        <v>0.1166</v>
      </c>
      <c r="U190" s="20">
        <v>8.5999999999999993E-2</v>
      </c>
      <c r="V190" s="20">
        <v>0.2477</v>
      </c>
      <c r="W190" s="20">
        <v>-2.6499999999999999E-2</v>
      </c>
      <c r="X190" s="20">
        <v>-0.2336</v>
      </c>
      <c r="Y190" s="20">
        <v>0.1439</v>
      </c>
      <c r="Z190" s="20">
        <v>0.185</v>
      </c>
      <c r="AA190" s="20">
        <v>7.1599999999999997E-2</v>
      </c>
      <c r="AB190" s="20">
        <v>-0.20710000000000001</v>
      </c>
      <c r="AC190" s="20">
        <v>0.16930000000000001</v>
      </c>
      <c r="AD190" s="20">
        <v>-0.17730000000000001</v>
      </c>
      <c r="AE190" s="20">
        <v>5.0299999999999997E-2</v>
      </c>
      <c r="AF190" s="20">
        <v>-0.1106</v>
      </c>
      <c r="AG190" s="20">
        <v>-0.20469999999999999</v>
      </c>
      <c r="AH190" s="20">
        <v>-0.18579999999999999</v>
      </c>
      <c r="AI190" s="20">
        <v>-3.5799999999999998E-2</v>
      </c>
      <c r="AJ190" s="20">
        <v>-0.12379999999999999</v>
      </c>
      <c r="AK190" s="20">
        <v>1.1999999999999999E-3</v>
      </c>
      <c r="AL190" s="21">
        <v>0.14799999999999999</v>
      </c>
    </row>
    <row r="191" spans="1:38">
      <c r="A191" s="20">
        <v>0.14560000000000001</v>
      </c>
      <c r="B191" s="20">
        <v>-0.18210000000000001</v>
      </c>
      <c r="C191" s="20">
        <v>0.29399999999999998</v>
      </c>
      <c r="D191" s="20">
        <v>-4.9599999999999998E-2</v>
      </c>
      <c r="E191" s="20">
        <v>0.1036</v>
      </c>
      <c r="F191" s="20">
        <v>-0.1348</v>
      </c>
      <c r="G191" s="20">
        <v>-0.2306</v>
      </c>
      <c r="H191" s="20">
        <v>-0.14219999999999999</v>
      </c>
      <c r="I191" s="20">
        <v>8.2900000000000001E-2</v>
      </c>
      <c r="J191" s="20">
        <v>-4.6600000000000003E-2</v>
      </c>
      <c r="K191" s="20">
        <v>3.0000000000000001E-3</v>
      </c>
      <c r="L191" s="20">
        <v>-8.1799999999999998E-2</v>
      </c>
      <c r="M191" s="20">
        <v>0.1532</v>
      </c>
      <c r="N191" s="20">
        <v>0.14860000000000001</v>
      </c>
      <c r="O191" s="20">
        <v>-8.8700000000000001E-2</v>
      </c>
      <c r="P191" s="20">
        <v>-2.2700000000000001E-2</v>
      </c>
      <c r="Q191" s="20">
        <v>0.16400000000000001</v>
      </c>
      <c r="R191" s="20">
        <v>0.1273</v>
      </c>
      <c r="S191" s="20">
        <v>-0.2097</v>
      </c>
      <c r="T191" s="20">
        <v>0.192</v>
      </c>
      <c r="U191" s="20">
        <v>-0.29470000000000002</v>
      </c>
      <c r="V191" s="20">
        <v>-0.1171</v>
      </c>
      <c r="W191" s="20">
        <v>-0.12330000000000001</v>
      </c>
      <c r="X191" s="20">
        <v>-0.16239999999999999</v>
      </c>
      <c r="Y191" s="20">
        <v>0.13619999999999999</v>
      </c>
      <c r="Z191" s="20">
        <v>-0.13250000000000001</v>
      </c>
      <c r="AA191" s="20">
        <v>0.13389999999999999</v>
      </c>
      <c r="AB191" s="20">
        <v>-1.8E-3</v>
      </c>
      <c r="AC191" s="20">
        <v>0.13300000000000001</v>
      </c>
      <c r="AD191" s="20">
        <v>-0.20169999999999999</v>
      </c>
      <c r="AE191" s="20">
        <v>-0.24349999999999999</v>
      </c>
      <c r="AF191" s="20">
        <v>-5.1900000000000002E-2</v>
      </c>
      <c r="AG191" s="20">
        <v>0.39350000000000002</v>
      </c>
      <c r="AH191" s="20">
        <v>2.3699999999999999E-2</v>
      </c>
      <c r="AI191" s="20">
        <v>-0.1086</v>
      </c>
      <c r="AJ191" s="20">
        <v>0.19589999999999999</v>
      </c>
      <c r="AK191" s="20">
        <v>-8.9999999999999998E-4</v>
      </c>
      <c r="AL191" s="21">
        <v>0.1966</v>
      </c>
    </row>
    <row r="192" spans="1:38">
      <c r="A192" s="20">
        <v>8.1299999999999997E-2</v>
      </c>
      <c r="B192" s="20">
        <v>-0.22320000000000001</v>
      </c>
      <c r="C192" s="20">
        <v>5.0000000000000001E-3</v>
      </c>
      <c r="D192" s="20">
        <v>0.22500000000000001</v>
      </c>
      <c r="E192" s="20">
        <v>0.24440000000000001</v>
      </c>
      <c r="F192" s="20">
        <v>-8.3000000000000004E-2</v>
      </c>
      <c r="G192" s="20">
        <v>-9.0700000000000003E-2</v>
      </c>
      <c r="H192" s="20">
        <v>-0.24110000000000001</v>
      </c>
      <c r="I192" s="20">
        <v>-0.1145</v>
      </c>
      <c r="J192" s="20">
        <v>4.4000000000000003E-3</v>
      </c>
      <c r="K192" s="20">
        <v>-3.8300000000000001E-2</v>
      </c>
      <c r="L192" s="20">
        <v>0.14960000000000001</v>
      </c>
      <c r="M192" s="20">
        <v>0.27739999999999998</v>
      </c>
      <c r="N192" s="20">
        <v>-0.1036</v>
      </c>
      <c r="O192" s="20">
        <v>-0.34100000000000003</v>
      </c>
      <c r="P192" s="20">
        <v>5.9499999999999997E-2</v>
      </c>
      <c r="Q192" s="20">
        <v>2.9700000000000001E-2</v>
      </c>
      <c r="R192" s="20">
        <v>-0.1784</v>
      </c>
      <c r="S192" s="20">
        <v>6.4199999999999993E-2</v>
      </c>
      <c r="T192" s="20">
        <v>-6.6799999999999998E-2</v>
      </c>
      <c r="U192" s="20">
        <v>0.45700000000000002</v>
      </c>
      <c r="V192" s="20">
        <v>-2.4400000000000002E-2</v>
      </c>
      <c r="W192" s="20">
        <v>5.0000000000000001E-3</v>
      </c>
      <c r="X192" s="20">
        <v>-0.217</v>
      </c>
      <c r="Y192" s="20">
        <v>-0.12429999999999999</v>
      </c>
      <c r="Z192" s="20">
        <v>-0.1207</v>
      </c>
      <c r="AA192" s="20">
        <v>4.36E-2</v>
      </c>
      <c r="AB192" s="20">
        <v>7.3599999999999999E-2</v>
      </c>
      <c r="AC192" s="20">
        <v>0.01</v>
      </c>
      <c r="AD192" s="20">
        <v>-6.8000000000000005E-2</v>
      </c>
      <c r="AE192" s="20">
        <v>-3.1199999999999999E-2</v>
      </c>
      <c r="AF192" s="20">
        <v>0.16139999999999999</v>
      </c>
      <c r="AG192" s="20">
        <v>0.1484</v>
      </c>
      <c r="AH192" s="20">
        <v>0.13159999999999999</v>
      </c>
      <c r="AI192" s="20">
        <v>-0.1101</v>
      </c>
      <c r="AJ192" s="20">
        <v>-2.9999999999999997E-4</v>
      </c>
      <c r="AK192" s="20">
        <v>0.22140000000000001</v>
      </c>
      <c r="AL192" s="21">
        <v>-0.21940000000000001</v>
      </c>
    </row>
    <row r="193" spans="1:38">
      <c r="A193" s="20">
        <v>0.35770000000000002</v>
      </c>
      <c r="B193" s="20">
        <v>-0.50780000000000003</v>
      </c>
      <c r="C193" s="20">
        <v>-0.1237</v>
      </c>
      <c r="D193" s="20">
        <v>-9.0700000000000003E-2</v>
      </c>
      <c r="E193" s="20">
        <v>0.17199999999999999</v>
      </c>
      <c r="F193" s="20">
        <v>-0.13</v>
      </c>
      <c r="G193" s="20">
        <v>-0.33410000000000001</v>
      </c>
      <c r="H193" s="20">
        <v>7.0999999999999994E-2</v>
      </c>
      <c r="I193" s="20">
        <v>-0.20039999999999999</v>
      </c>
      <c r="J193" s="20">
        <v>-2.2700000000000001E-2</v>
      </c>
      <c r="K193" s="20">
        <v>-6.0699999999999997E-2</v>
      </c>
      <c r="L193" s="20">
        <v>0.13600000000000001</v>
      </c>
      <c r="M193" s="20">
        <v>-9.8000000000000004E-2</v>
      </c>
      <c r="N193" s="20">
        <v>0.12839999999999999</v>
      </c>
      <c r="O193" s="20">
        <v>0.17069999999999999</v>
      </c>
      <c r="P193" s="20">
        <v>0.153</v>
      </c>
      <c r="Q193" s="20">
        <v>6.4699999999999994E-2</v>
      </c>
      <c r="R193" s="20">
        <v>-3.8699999999999998E-2</v>
      </c>
      <c r="S193" s="20">
        <v>-9.2999999999999992E-3</v>
      </c>
      <c r="T193" s="20">
        <v>0.16539999999999999</v>
      </c>
      <c r="U193" s="20">
        <v>-4.8300000000000003E-2</v>
      </c>
      <c r="V193" s="20">
        <v>0.1047</v>
      </c>
      <c r="W193" s="20">
        <v>-0.2281</v>
      </c>
      <c r="X193" s="20">
        <v>0.2591</v>
      </c>
      <c r="Y193" s="20">
        <v>8.8700000000000001E-2</v>
      </c>
      <c r="Z193" s="20">
        <v>-8.3699999999999997E-2</v>
      </c>
      <c r="AA193" s="20">
        <v>1.23E-2</v>
      </c>
      <c r="AB193" s="20">
        <v>0.13869999999999999</v>
      </c>
      <c r="AC193" s="20">
        <v>-3.6700000000000003E-2</v>
      </c>
      <c r="AD193" s="20">
        <v>-3.1300000000000001E-2</v>
      </c>
      <c r="AE193" s="20">
        <v>-0.20399999999999999</v>
      </c>
      <c r="AF193" s="20">
        <v>8.1699999999999995E-2</v>
      </c>
      <c r="AG193" s="20">
        <v>9.8699999999999996E-2</v>
      </c>
      <c r="AH193" s="20">
        <v>-9.1999999999999998E-2</v>
      </c>
      <c r="AI193" s="20">
        <v>0.12770000000000001</v>
      </c>
      <c r="AJ193" s="20">
        <v>1.0999999999999999E-2</v>
      </c>
      <c r="AK193" s="20">
        <v>2.4299999999999999E-2</v>
      </c>
      <c r="AL193" s="21">
        <v>-1.9E-2</v>
      </c>
    </row>
    <row r="194" spans="1:38">
      <c r="A194" s="20">
        <v>-0.34350000000000003</v>
      </c>
      <c r="B194" s="20">
        <v>0.2402</v>
      </c>
      <c r="C194" s="20">
        <v>-0.22750000000000001</v>
      </c>
      <c r="D194" s="20">
        <v>3.1199999999999999E-2</v>
      </c>
      <c r="E194" s="20">
        <v>-0.14979999999999999</v>
      </c>
      <c r="F194" s="20">
        <v>-0.1489</v>
      </c>
      <c r="G194" s="20">
        <v>-0.1056</v>
      </c>
      <c r="H194" s="20">
        <v>0.26</v>
      </c>
      <c r="I194" s="20">
        <v>-3.09E-2</v>
      </c>
      <c r="J194" s="20">
        <v>-0.1497</v>
      </c>
      <c r="K194" s="20">
        <v>-7.1800000000000003E-2</v>
      </c>
      <c r="L194" s="20">
        <v>0.2026</v>
      </c>
      <c r="M194" s="20">
        <v>8.2000000000000003E-2</v>
      </c>
      <c r="N194" s="20">
        <v>0.1305</v>
      </c>
      <c r="O194" s="20">
        <v>-0.2379</v>
      </c>
      <c r="P194" s="20">
        <v>-1.7999999999999999E-2</v>
      </c>
      <c r="Q194" s="20">
        <v>-7.0699999999999999E-2</v>
      </c>
      <c r="R194" s="20">
        <v>0.246</v>
      </c>
      <c r="S194" s="20">
        <v>-2.5700000000000001E-2</v>
      </c>
      <c r="T194" s="20">
        <v>0.31280000000000002</v>
      </c>
      <c r="U194" s="20">
        <v>-1.46E-2</v>
      </c>
      <c r="V194" s="20">
        <v>-0.1003</v>
      </c>
      <c r="W194" s="20">
        <v>0.3256</v>
      </c>
      <c r="X194" s="20">
        <v>0.13789999999999999</v>
      </c>
      <c r="Y194" s="20">
        <v>7.7299999999999994E-2</v>
      </c>
      <c r="Z194" s="20">
        <v>0.13189999999999999</v>
      </c>
      <c r="AA194" s="20">
        <v>-0.1633</v>
      </c>
      <c r="AB194" s="20">
        <v>0.10589999999999999</v>
      </c>
      <c r="AC194" s="20">
        <v>-6.9099999999999995E-2</v>
      </c>
      <c r="AD194" s="20">
        <v>1.11E-2</v>
      </c>
      <c r="AE194" s="20">
        <v>-5.8000000000000003E-2</v>
      </c>
      <c r="AF194" s="20">
        <v>0.15110000000000001</v>
      </c>
      <c r="AG194" s="20">
        <v>-0.1298</v>
      </c>
      <c r="AH194" s="20">
        <v>-0.22889999999999999</v>
      </c>
      <c r="AI194" s="20">
        <v>-6.3600000000000004E-2</v>
      </c>
      <c r="AJ194" s="20">
        <v>0.1164</v>
      </c>
      <c r="AK194" s="20">
        <v>-1.2200000000000001E-2</v>
      </c>
      <c r="AL194" s="21">
        <v>-0.13880000000000001</v>
      </c>
    </row>
    <row r="195" spans="1:38">
      <c r="A195" s="20">
        <v>0.1668</v>
      </c>
      <c r="B195" s="20">
        <v>-0.13170000000000001</v>
      </c>
      <c r="C195" s="20">
        <v>0.22939999999999999</v>
      </c>
      <c r="D195" s="20">
        <v>0.28589999999999999</v>
      </c>
      <c r="E195" s="20">
        <v>-1.9199999999999998E-2</v>
      </c>
      <c r="F195" s="20">
        <v>7.3599999999999999E-2</v>
      </c>
      <c r="G195" s="20">
        <v>-0.3296</v>
      </c>
      <c r="H195" s="20">
        <v>-0.27050000000000002</v>
      </c>
      <c r="I195" s="20">
        <v>1.1599999999999999E-2</v>
      </c>
      <c r="J195" s="20">
        <v>8.1000000000000003E-2</v>
      </c>
      <c r="K195" s="20">
        <v>-0.1474</v>
      </c>
      <c r="L195" s="20">
        <v>-4.4900000000000002E-2</v>
      </c>
      <c r="M195" s="20">
        <v>-6.8199999999999997E-2</v>
      </c>
      <c r="N195" s="20">
        <v>0.18379999999999999</v>
      </c>
      <c r="O195" s="20">
        <v>-0.22309999999999999</v>
      </c>
      <c r="P195" s="20">
        <v>0.25040000000000001</v>
      </c>
      <c r="Q195" s="20">
        <v>-0.17960000000000001</v>
      </c>
      <c r="R195" s="20">
        <v>-0.16200000000000001</v>
      </c>
      <c r="S195" s="20">
        <v>0.1321</v>
      </c>
      <c r="T195" s="20">
        <v>4.1300000000000003E-2</v>
      </c>
      <c r="U195" s="20">
        <v>0.14069999999999999</v>
      </c>
      <c r="V195" s="20">
        <v>6.5199999999999994E-2</v>
      </c>
      <c r="W195" s="20">
        <v>4.5900000000000003E-2</v>
      </c>
      <c r="X195" s="20">
        <v>-0.18990000000000001</v>
      </c>
      <c r="Y195" s="20">
        <v>6.8599999999999994E-2</v>
      </c>
      <c r="Z195" s="20">
        <v>6.4000000000000001E-2</v>
      </c>
      <c r="AA195" s="20">
        <v>-0.2051</v>
      </c>
      <c r="AB195" s="20">
        <v>-0.1041</v>
      </c>
      <c r="AC195" s="20">
        <v>0.1822</v>
      </c>
      <c r="AD195" s="20">
        <v>4.99E-2</v>
      </c>
      <c r="AE195" s="20">
        <v>-0.1353</v>
      </c>
      <c r="AF195" s="20">
        <v>0.13850000000000001</v>
      </c>
      <c r="AG195" s="20">
        <v>-9.8799999999999999E-2</v>
      </c>
      <c r="AH195" s="20">
        <v>-5.2299999999999999E-2</v>
      </c>
      <c r="AI195" s="20">
        <v>0.15620000000000001</v>
      </c>
      <c r="AJ195" s="20">
        <v>-2.8500000000000001E-2</v>
      </c>
      <c r="AK195" s="20">
        <v>0.27329999999999999</v>
      </c>
      <c r="AL195" s="21">
        <v>-0.25380000000000003</v>
      </c>
    </row>
    <row r="196" spans="1:38">
      <c r="A196" s="20">
        <v>0.2281</v>
      </c>
      <c r="B196" s="20">
        <v>-0.12470000000000001</v>
      </c>
      <c r="C196" s="20">
        <v>0.22450000000000001</v>
      </c>
      <c r="D196" s="20">
        <v>-0.35060000000000002</v>
      </c>
      <c r="E196" s="20">
        <v>-0.1711</v>
      </c>
      <c r="F196" s="20">
        <v>0.3049</v>
      </c>
      <c r="G196" s="20">
        <v>-9.0700000000000003E-2</v>
      </c>
      <c r="H196" s="20">
        <v>-0.25469999999999998</v>
      </c>
      <c r="I196" s="20">
        <v>0.18790000000000001</v>
      </c>
      <c r="J196" s="20">
        <v>0.17560000000000001</v>
      </c>
      <c r="K196" s="20">
        <v>2.5600000000000001E-2</v>
      </c>
      <c r="L196" s="20">
        <v>6.8400000000000002E-2</v>
      </c>
      <c r="M196" s="20">
        <v>-2.92E-2</v>
      </c>
      <c r="N196" s="20">
        <v>-7.6799999999999993E-2</v>
      </c>
      <c r="O196" s="20">
        <v>-0.21609999999999999</v>
      </c>
      <c r="P196" s="20">
        <v>-0.1915</v>
      </c>
      <c r="Q196" s="20">
        <v>0.1578</v>
      </c>
      <c r="R196" s="20">
        <v>-9.7000000000000003E-3</v>
      </c>
      <c r="S196" s="20">
        <v>-6.6400000000000001E-2</v>
      </c>
      <c r="T196" s="20">
        <v>-0.28810000000000002</v>
      </c>
      <c r="U196" s="20">
        <v>5.2499999999999998E-2</v>
      </c>
      <c r="V196" s="20">
        <v>-3.1399999999999997E-2</v>
      </c>
      <c r="W196" s="20">
        <v>6.9000000000000006E-2</v>
      </c>
      <c r="X196" s="20">
        <v>0.18310000000000001</v>
      </c>
      <c r="Y196" s="20">
        <v>0.1406</v>
      </c>
      <c r="Z196" s="20">
        <v>-0.1066</v>
      </c>
      <c r="AA196" s="20">
        <v>-0.1053</v>
      </c>
      <c r="AB196" s="20">
        <v>7.2900000000000006E-2</v>
      </c>
      <c r="AC196" s="20">
        <v>5.96E-2</v>
      </c>
      <c r="AD196" s="20">
        <v>7.2599999999999998E-2</v>
      </c>
      <c r="AE196" s="20">
        <v>0.15160000000000001</v>
      </c>
      <c r="AF196" s="20">
        <v>8.8800000000000004E-2</v>
      </c>
      <c r="AG196" s="20">
        <v>0.2281</v>
      </c>
      <c r="AH196" s="20">
        <v>0.14610000000000001</v>
      </c>
      <c r="AI196" s="20">
        <v>-8.6199999999999999E-2</v>
      </c>
      <c r="AJ196" s="20">
        <v>-0.24460000000000001</v>
      </c>
      <c r="AK196" s="20">
        <v>-7.3599999999999999E-2</v>
      </c>
      <c r="AL196" s="21">
        <v>-0.11990000000000001</v>
      </c>
    </row>
    <row r="197" spans="1:38">
      <c r="A197" s="20">
        <v>0.49120000000000003</v>
      </c>
      <c r="B197" s="20">
        <v>-0.13239999999999999</v>
      </c>
      <c r="C197" s="20">
        <v>-0.1076</v>
      </c>
      <c r="D197" s="20">
        <v>2.7300000000000001E-2</v>
      </c>
      <c r="E197" s="20">
        <v>0.1416</v>
      </c>
      <c r="F197" s="20">
        <v>-7.0199999999999999E-2</v>
      </c>
      <c r="G197" s="20">
        <v>-0.2437</v>
      </c>
      <c r="H197" s="20">
        <v>-0.15970000000000001</v>
      </c>
      <c r="I197" s="20">
        <v>8.1100000000000005E-2</v>
      </c>
      <c r="J197" s="20">
        <v>0.2223</v>
      </c>
      <c r="K197" s="20">
        <v>-9.7500000000000003E-2</v>
      </c>
      <c r="L197" s="20">
        <v>-6.7199999999999996E-2</v>
      </c>
      <c r="M197" s="20">
        <v>-0.2021</v>
      </c>
      <c r="N197" s="20">
        <v>-0.1244</v>
      </c>
      <c r="O197" s="20">
        <v>-0.1908</v>
      </c>
      <c r="P197" s="20">
        <v>0.13070000000000001</v>
      </c>
      <c r="Q197" s="20">
        <v>-0.26219999999999999</v>
      </c>
      <c r="R197" s="20">
        <v>0.18490000000000001</v>
      </c>
      <c r="S197" s="20">
        <v>-3.1899999999999998E-2</v>
      </c>
      <c r="T197" s="20">
        <v>-4.2000000000000003E-2</v>
      </c>
      <c r="U197" s="20">
        <v>0.2114</v>
      </c>
      <c r="V197" s="20">
        <v>0.18190000000000001</v>
      </c>
      <c r="W197" s="20">
        <v>0.13489999999999999</v>
      </c>
      <c r="X197" s="20">
        <v>-3.9100000000000003E-2</v>
      </c>
      <c r="Y197" s="20">
        <v>0.1118</v>
      </c>
      <c r="Z197" s="20">
        <v>-0.2782</v>
      </c>
      <c r="AA197" s="20">
        <v>-5.3400000000000003E-2</v>
      </c>
      <c r="AB197" s="20">
        <v>-1.6E-2</v>
      </c>
      <c r="AC197" s="20">
        <v>7.5600000000000001E-2</v>
      </c>
      <c r="AD197" s="20">
        <v>-0.21640000000000001</v>
      </c>
      <c r="AE197" s="20">
        <v>-0.1235</v>
      </c>
      <c r="AF197" s="20">
        <v>-2.1899999999999999E-2</v>
      </c>
      <c r="AG197" s="20">
        <v>8.4000000000000005E-2</v>
      </c>
      <c r="AH197" s="20">
        <v>9.1999999999999998E-2</v>
      </c>
      <c r="AI197" s="20">
        <v>3.2399999999999998E-2</v>
      </c>
      <c r="AJ197" s="20">
        <v>6.3500000000000001E-2</v>
      </c>
      <c r="AK197" s="20">
        <v>0.2311</v>
      </c>
      <c r="AL197" s="21">
        <v>-2.6499999999999999E-2</v>
      </c>
    </row>
    <row r="198" spans="1:38">
      <c r="A198" s="20">
        <v>-0.43030000000000002</v>
      </c>
      <c r="B198" s="20">
        <v>6.7299999999999999E-2</v>
      </c>
      <c r="C198" s="20">
        <v>-0.19339999999999999</v>
      </c>
      <c r="D198" s="20">
        <v>0.4</v>
      </c>
      <c r="E198" s="20">
        <v>0.29520000000000002</v>
      </c>
      <c r="F198" s="20">
        <v>2.6499999999999999E-2</v>
      </c>
      <c r="G198" s="20">
        <v>-0.2767</v>
      </c>
      <c r="H198" s="20">
        <v>7.0499999999999993E-2</v>
      </c>
      <c r="I198" s="20">
        <v>-9.8900000000000002E-2</v>
      </c>
      <c r="J198" s="20">
        <v>1.0800000000000001E-2</v>
      </c>
      <c r="K198" s="20">
        <v>0.18279999999999999</v>
      </c>
      <c r="L198" s="20">
        <v>-0.17530000000000001</v>
      </c>
      <c r="M198" s="20">
        <v>-0.22770000000000001</v>
      </c>
      <c r="N198" s="20">
        <v>-2.75E-2</v>
      </c>
      <c r="O198" s="20">
        <v>5.67E-2</v>
      </c>
      <c r="P198" s="20">
        <v>-1.4200000000000001E-2</v>
      </c>
      <c r="Q198" s="20">
        <v>0.1484</v>
      </c>
      <c r="R198" s="20">
        <v>-0.1056</v>
      </c>
      <c r="S198" s="20">
        <v>0.12740000000000001</v>
      </c>
      <c r="T198" s="20">
        <v>3.3099999999999997E-2</v>
      </c>
      <c r="U198" s="20">
        <v>5.1400000000000001E-2</v>
      </c>
      <c r="V198" s="20">
        <v>-8.7999999999999995E-2</v>
      </c>
      <c r="W198" s="20">
        <v>9.98E-2</v>
      </c>
      <c r="X198" s="20">
        <v>3.3000000000000002E-2</v>
      </c>
      <c r="Y198" s="20">
        <v>4.8000000000000001E-2</v>
      </c>
      <c r="Z198" s="20">
        <v>0.32369999999999999</v>
      </c>
      <c r="AA198" s="20">
        <v>-4.6600000000000003E-2</v>
      </c>
      <c r="AB198" s="20">
        <v>-8.8700000000000001E-2</v>
      </c>
      <c r="AC198" s="20">
        <v>1.4500000000000001E-2</v>
      </c>
      <c r="AD198" s="20">
        <v>-0.2082</v>
      </c>
      <c r="AE198" s="20">
        <v>-0.15890000000000001</v>
      </c>
      <c r="AF198" s="20">
        <v>-0.1401</v>
      </c>
      <c r="AG198" s="20">
        <v>-2.1000000000000001E-2</v>
      </c>
      <c r="AH198" s="20">
        <v>9.1399999999999995E-2</v>
      </c>
      <c r="AI198" s="20">
        <v>5.4999999999999997E-3</v>
      </c>
      <c r="AJ198" s="20">
        <v>0.15579999999999999</v>
      </c>
      <c r="AK198" s="20">
        <v>5.4999999999999997E-3</v>
      </c>
      <c r="AL198" s="21">
        <v>5.4300000000000001E-2</v>
      </c>
    </row>
    <row r="199" spans="1:38">
      <c r="A199" s="20">
        <v>-4.7600000000000003E-2</v>
      </c>
      <c r="B199" s="20">
        <v>0.249</v>
      </c>
      <c r="C199" s="20">
        <v>0.2021</v>
      </c>
      <c r="D199" s="20">
        <v>0.28599999999999998</v>
      </c>
      <c r="E199" s="20">
        <v>-0.25719999999999998</v>
      </c>
      <c r="F199" s="20">
        <v>1.32E-2</v>
      </c>
      <c r="G199" s="20">
        <v>8.2400000000000001E-2</v>
      </c>
      <c r="H199" s="20">
        <v>-0.36059999999999998</v>
      </c>
      <c r="I199" s="20">
        <v>0.1124</v>
      </c>
      <c r="J199" s="20">
        <v>-0.14369999999999999</v>
      </c>
      <c r="K199" s="20">
        <v>2.0999999999999999E-3</v>
      </c>
      <c r="L199" s="20">
        <v>4.2900000000000001E-2</v>
      </c>
      <c r="M199" s="20">
        <v>-0.14019999999999999</v>
      </c>
      <c r="N199" s="20">
        <v>0.47460000000000002</v>
      </c>
      <c r="O199" s="20">
        <v>-3.0200000000000001E-2</v>
      </c>
      <c r="P199" s="20">
        <v>-8.0100000000000005E-2</v>
      </c>
      <c r="Q199" s="20">
        <v>-9.1999999999999998E-3</v>
      </c>
      <c r="R199" s="20">
        <v>-0.3856</v>
      </c>
      <c r="S199" s="20">
        <v>5.8200000000000002E-2</v>
      </c>
      <c r="T199" s="20">
        <v>-5.16E-2</v>
      </c>
      <c r="U199" s="20">
        <v>6.3799999999999996E-2</v>
      </c>
      <c r="V199" s="20">
        <v>-2.92E-2</v>
      </c>
      <c r="W199" s="20">
        <v>9.3299999999999994E-2</v>
      </c>
      <c r="X199" s="20">
        <v>-3.0599999999999999E-2</v>
      </c>
      <c r="Y199" s="20">
        <v>3.3399999999999999E-2</v>
      </c>
      <c r="Z199" s="20">
        <v>6.7400000000000002E-2</v>
      </c>
      <c r="AA199" s="20">
        <v>0.18609999999999999</v>
      </c>
      <c r="AB199" s="20">
        <v>0.1036</v>
      </c>
      <c r="AC199" s="20">
        <v>1.2200000000000001E-2</v>
      </c>
      <c r="AD199" s="20">
        <v>-2.9899999999999999E-2</v>
      </c>
      <c r="AE199" s="20">
        <v>-0.15479999999999999</v>
      </c>
      <c r="AF199" s="20">
        <v>-0.19789999999999999</v>
      </c>
      <c r="AG199" s="20">
        <v>-9.8699999999999996E-2</v>
      </c>
      <c r="AH199" s="20">
        <v>8.1299999999999997E-2</v>
      </c>
      <c r="AI199" s="20">
        <v>-2.24E-2</v>
      </c>
      <c r="AJ199" s="20">
        <v>4.36E-2</v>
      </c>
      <c r="AK199" s="20">
        <v>-0.13850000000000001</v>
      </c>
      <c r="AL199" s="21">
        <v>6.6E-3</v>
      </c>
    </row>
    <row r="200" spans="1:38">
      <c r="A200" s="20">
        <v>0.45660000000000001</v>
      </c>
      <c r="B200" s="20">
        <v>-3.9199999999999999E-2</v>
      </c>
      <c r="C200" s="20">
        <v>-0.2167</v>
      </c>
      <c r="D200" s="20">
        <v>-0.35239999999999999</v>
      </c>
      <c r="E200" s="20">
        <v>-9.3700000000000006E-2</v>
      </c>
      <c r="F200" s="20">
        <v>-0.1014</v>
      </c>
      <c r="G200" s="20">
        <v>0.1145</v>
      </c>
      <c r="H200" s="20">
        <v>-2.3099999999999999E-2</v>
      </c>
      <c r="I200" s="20">
        <v>-2.12E-2</v>
      </c>
      <c r="J200" s="20">
        <v>-0.1018</v>
      </c>
      <c r="K200" s="20">
        <v>7.4200000000000002E-2</v>
      </c>
      <c r="L200" s="20">
        <v>0.20699999999999999</v>
      </c>
      <c r="M200" s="20">
        <v>-3.3799999999999997E-2</v>
      </c>
      <c r="N200" s="20">
        <v>-0.106</v>
      </c>
      <c r="O200" s="20">
        <v>0.3901</v>
      </c>
      <c r="P200" s="20">
        <v>3.3599999999999998E-2</v>
      </c>
      <c r="Q200" s="20">
        <v>-0.19769999999999999</v>
      </c>
      <c r="R200" s="20">
        <v>7.85E-2</v>
      </c>
      <c r="S200" s="20">
        <v>0.10920000000000001</v>
      </c>
      <c r="T200" s="20">
        <v>-0.246</v>
      </c>
      <c r="U200" s="20">
        <v>-4.7699999999999999E-2</v>
      </c>
      <c r="V200" s="20">
        <v>2.1000000000000001E-2</v>
      </c>
      <c r="W200" s="20">
        <v>-3.5999999999999999E-3</v>
      </c>
      <c r="X200" s="20">
        <v>7.0599999999999996E-2</v>
      </c>
      <c r="Y200" s="20">
        <v>-0.11609999999999999</v>
      </c>
      <c r="Z200" s="20">
        <v>0.22359999999999999</v>
      </c>
      <c r="AA200" s="20">
        <v>5.2400000000000002E-2</v>
      </c>
      <c r="AB200" s="20">
        <v>7.0199999999999999E-2</v>
      </c>
      <c r="AC200" s="20">
        <v>2.0199999999999999E-2</v>
      </c>
      <c r="AD200" s="20">
        <v>9.7699999999999995E-2</v>
      </c>
      <c r="AE200" s="20">
        <v>-0.12</v>
      </c>
      <c r="AF200" s="20">
        <v>-2.23E-2</v>
      </c>
      <c r="AG200" s="20">
        <v>-8.8599999999999998E-2</v>
      </c>
      <c r="AH200" s="20">
        <v>0.2223</v>
      </c>
      <c r="AI200" s="20">
        <v>-0.25430000000000003</v>
      </c>
      <c r="AJ200" s="20">
        <v>-9.8299999999999998E-2</v>
      </c>
      <c r="AK200" s="20">
        <v>-4.0500000000000001E-2</v>
      </c>
      <c r="AL200" s="21">
        <v>8.1299999999999997E-2</v>
      </c>
    </row>
    <row r="201" spans="1:38">
      <c r="A201" s="20">
        <v>-0.159</v>
      </c>
      <c r="B201" s="20">
        <v>0.24709999999999999</v>
      </c>
      <c r="C201" s="20">
        <v>3.6499999999999998E-2</v>
      </c>
      <c r="D201" s="20">
        <v>0.16930000000000001</v>
      </c>
      <c r="E201" s="20">
        <v>0.25309999999999999</v>
      </c>
      <c r="F201" s="20">
        <v>3.2500000000000001E-2</v>
      </c>
      <c r="G201" s="20">
        <v>-5.3400000000000003E-2</v>
      </c>
      <c r="H201" s="20">
        <v>6.3500000000000001E-2</v>
      </c>
      <c r="I201" s="20">
        <v>3.1899999999999998E-2</v>
      </c>
      <c r="J201" s="20">
        <v>-0.2195</v>
      </c>
      <c r="K201" s="20">
        <v>0.1173</v>
      </c>
      <c r="L201" s="20">
        <v>-0.13850000000000001</v>
      </c>
      <c r="M201" s="20">
        <v>-0.12189999999999999</v>
      </c>
      <c r="N201" s="20">
        <v>0.2893</v>
      </c>
      <c r="O201" s="20">
        <v>-3.5700000000000003E-2</v>
      </c>
      <c r="P201" s="20">
        <v>0.19120000000000001</v>
      </c>
      <c r="Q201" s="20">
        <v>0.10059999999999999</v>
      </c>
      <c r="R201" s="20">
        <v>-0.41799999999999998</v>
      </c>
      <c r="S201" s="20">
        <v>0.1734</v>
      </c>
      <c r="T201" s="20">
        <v>-3.1399999999999997E-2</v>
      </c>
      <c r="U201" s="20">
        <v>-0.1366</v>
      </c>
      <c r="V201" s="20">
        <v>3.49E-2</v>
      </c>
      <c r="W201" s="20">
        <v>0.15429999999999999</v>
      </c>
      <c r="X201" s="20">
        <v>-0.21299999999999999</v>
      </c>
      <c r="Y201" s="20">
        <v>1.12E-2</v>
      </c>
      <c r="Z201" s="20">
        <v>-0.11020000000000001</v>
      </c>
      <c r="AA201" s="20">
        <v>-1.77E-2</v>
      </c>
      <c r="AB201" s="20">
        <v>0.28770000000000001</v>
      </c>
      <c r="AC201" s="20">
        <v>0.1069</v>
      </c>
      <c r="AD201" s="20">
        <v>3.3E-3</v>
      </c>
      <c r="AE201" s="20">
        <v>-0.14099999999999999</v>
      </c>
      <c r="AF201" s="20">
        <v>2.24E-2</v>
      </c>
      <c r="AG201" s="20">
        <v>-0.24129999999999999</v>
      </c>
      <c r="AH201" s="20">
        <v>-8.2900000000000001E-2</v>
      </c>
      <c r="AI201" s="20">
        <v>-0.12790000000000001</v>
      </c>
      <c r="AJ201" s="20">
        <v>-0.12820000000000001</v>
      </c>
      <c r="AK201" s="20">
        <v>-0.1489</v>
      </c>
      <c r="AL201" s="21">
        <v>0.20230000000000001</v>
      </c>
    </row>
    <row r="202" spans="1:38">
      <c r="A202" s="20">
        <v>-3.6200000000000003E-2</v>
      </c>
      <c r="B202" s="20">
        <v>-0.15240000000000001</v>
      </c>
      <c r="C202" s="20">
        <v>-0.26050000000000001</v>
      </c>
      <c r="D202" s="20">
        <v>0</v>
      </c>
      <c r="E202" s="20">
        <v>-0.28620000000000001</v>
      </c>
      <c r="F202" s="20">
        <v>0.3725</v>
      </c>
      <c r="G202" s="20">
        <v>-6.4000000000000001E-2</v>
      </c>
      <c r="H202" s="20">
        <v>-0.19570000000000001</v>
      </c>
      <c r="I202" s="20">
        <v>0.13589999999999999</v>
      </c>
      <c r="J202" s="20">
        <v>1.4999999999999999E-2</v>
      </c>
      <c r="K202" s="20">
        <v>8.6599999999999996E-2</v>
      </c>
      <c r="L202" s="20">
        <v>0.23089999999999999</v>
      </c>
      <c r="M202" s="20">
        <v>-1.6799999999999999E-2</v>
      </c>
      <c r="N202" s="20">
        <v>-0.21640000000000001</v>
      </c>
      <c r="O202" s="20">
        <v>-0.13719999999999999</v>
      </c>
      <c r="P202" s="20">
        <v>-2.86E-2</v>
      </c>
      <c r="Q202" s="20">
        <v>0.2923</v>
      </c>
      <c r="R202" s="20">
        <v>-0.29120000000000001</v>
      </c>
      <c r="S202" s="20">
        <v>-3.44E-2</v>
      </c>
      <c r="T202" s="20">
        <v>-0.1094</v>
      </c>
      <c r="U202" s="20">
        <v>0.19070000000000001</v>
      </c>
      <c r="V202" s="20">
        <v>-7.0599999999999996E-2</v>
      </c>
      <c r="W202" s="20">
        <v>3.0700000000000002E-2</v>
      </c>
      <c r="X202" s="20">
        <v>-0.1094</v>
      </c>
      <c r="Y202" s="20">
        <v>-2.5999999999999999E-2</v>
      </c>
      <c r="Z202" s="20">
        <v>8.9499999999999996E-2</v>
      </c>
      <c r="AA202" s="20">
        <v>0.20699999999999999</v>
      </c>
      <c r="AB202" s="20">
        <v>-0.14899999999999999</v>
      </c>
      <c r="AC202" s="20">
        <v>-0.20830000000000001</v>
      </c>
      <c r="AD202" s="20">
        <v>0.1333</v>
      </c>
      <c r="AE202" s="20">
        <v>0.10340000000000001</v>
      </c>
      <c r="AF202" s="20">
        <v>0.19700000000000001</v>
      </c>
      <c r="AG202" s="20">
        <v>0.127</v>
      </c>
      <c r="AH202" s="20">
        <v>6.59E-2</v>
      </c>
      <c r="AI202" s="20">
        <v>-8.1600000000000006E-2</v>
      </c>
      <c r="AJ202" s="20">
        <v>0.21640000000000001</v>
      </c>
      <c r="AK202" s="20">
        <v>1.6799999999999999E-2</v>
      </c>
      <c r="AL202" s="21">
        <v>-4.41E-2</v>
      </c>
    </row>
    <row r="203" spans="1:38">
      <c r="A203" s="20">
        <v>0.53849999999999998</v>
      </c>
      <c r="B203" s="20">
        <v>-2.7000000000000001E-3</v>
      </c>
      <c r="C203" s="20">
        <v>0.182</v>
      </c>
      <c r="D203" s="20">
        <v>9.0700000000000003E-2</v>
      </c>
      <c r="E203" s="20">
        <v>0.1222</v>
      </c>
      <c r="F203" s="20">
        <v>-0.10340000000000001</v>
      </c>
      <c r="G203" s="20">
        <v>1.72E-2</v>
      </c>
      <c r="H203" s="20">
        <v>0.12939999999999999</v>
      </c>
      <c r="I203" s="20">
        <v>0.1003</v>
      </c>
      <c r="J203" s="20">
        <v>-0.20610000000000001</v>
      </c>
      <c r="K203" s="20">
        <v>0.20549999999999999</v>
      </c>
      <c r="L203" s="20">
        <v>0.42099999999999999</v>
      </c>
      <c r="M203" s="20">
        <v>7.6E-3</v>
      </c>
      <c r="N203" s="20">
        <v>4.6699999999999998E-2</v>
      </c>
      <c r="O203" s="20">
        <v>7.6600000000000001E-2</v>
      </c>
      <c r="P203" s="20">
        <v>-0.25359999999999999</v>
      </c>
      <c r="Q203" s="20">
        <v>-9.0300000000000005E-2</v>
      </c>
      <c r="R203" s="20">
        <v>-5.7700000000000001E-2</v>
      </c>
      <c r="S203" s="20">
        <v>-0.11990000000000001</v>
      </c>
      <c r="T203" s="20">
        <v>-0.17419999999999999</v>
      </c>
      <c r="U203" s="20">
        <v>-7.8799999999999995E-2</v>
      </c>
      <c r="V203" s="20">
        <v>-3.4799999999999998E-2</v>
      </c>
      <c r="W203" s="20">
        <v>2.29E-2</v>
      </c>
      <c r="X203" s="20">
        <v>-0.20549999999999999</v>
      </c>
      <c r="Y203" s="20">
        <v>-0.14230000000000001</v>
      </c>
      <c r="Z203" s="20">
        <v>4.9299999999999997E-2</v>
      </c>
      <c r="AA203" s="20">
        <v>-0.12590000000000001</v>
      </c>
      <c r="AB203" s="20">
        <v>-0.16800000000000001</v>
      </c>
      <c r="AC203" s="20">
        <v>4.3E-3</v>
      </c>
      <c r="AD203" s="20">
        <v>6.6500000000000004E-2</v>
      </c>
      <c r="AE203" s="20">
        <v>-0.14369999999999999</v>
      </c>
      <c r="AF203" s="20">
        <v>-0.27060000000000001</v>
      </c>
      <c r="AG203" s="20">
        <v>5.6300000000000003E-2</v>
      </c>
      <c r="AH203" s="20">
        <v>6.9199999999999998E-2</v>
      </c>
      <c r="AI203" s="20">
        <v>-4.0300000000000002E-2</v>
      </c>
      <c r="AJ203" s="20">
        <v>1.15E-2</v>
      </c>
      <c r="AK203" s="20">
        <v>-9.7999999999999997E-3</v>
      </c>
      <c r="AL203" s="21">
        <v>1.7600000000000001E-2</v>
      </c>
    </row>
    <row r="204" spans="1:38">
      <c r="A204" s="20">
        <v>0.56689999999999996</v>
      </c>
      <c r="B204" s="20">
        <v>-6.9400000000000003E-2</v>
      </c>
      <c r="C204" s="20">
        <v>-0.1135</v>
      </c>
      <c r="D204" s="20">
        <v>0.20319999999999999</v>
      </c>
      <c r="E204" s="20">
        <v>-7.1300000000000002E-2</v>
      </c>
      <c r="F204" s="20">
        <v>0.28000000000000003</v>
      </c>
      <c r="G204" s="20">
        <v>0.183</v>
      </c>
      <c r="H204" s="20">
        <v>-0.1371</v>
      </c>
      <c r="I204" s="20">
        <v>4.0000000000000001E-3</v>
      </c>
      <c r="J204" s="20">
        <v>6.7199999999999996E-2</v>
      </c>
      <c r="K204" s="20">
        <v>-0.28260000000000002</v>
      </c>
      <c r="L204" s="20">
        <v>0.17449999999999999</v>
      </c>
      <c r="M204" s="20">
        <v>5.62E-2</v>
      </c>
      <c r="N204" s="20">
        <v>5.4699999999999999E-2</v>
      </c>
      <c r="O204" s="20">
        <v>5.2900000000000003E-2</v>
      </c>
      <c r="P204" s="20">
        <v>-0.2462</v>
      </c>
      <c r="Q204" s="20">
        <v>-0.27589999999999998</v>
      </c>
      <c r="R204" s="20">
        <v>-0.30349999999999999</v>
      </c>
      <c r="S204" s="20">
        <v>-1.3599999999999999E-2</v>
      </c>
      <c r="T204" s="20">
        <v>-0.19289999999999999</v>
      </c>
      <c r="U204" s="20">
        <v>8.6699999999999999E-2</v>
      </c>
      <c r="V204" s="20">
        <v>1.84E-2</v>
      </c>
      <c r="W204" s="20">
        <v>0.1242</v>
      </c>
      <c r="X204" s="20">
        <v>-4.7800000000000002E-2</v>
      </c>
      <c r="Y204" s="20">
        <v>2.1299999999999999E-2</v>
      </c>
      <c r="Z204" s="20">
        <v>-7.0499999999999993E-2</v>
      </c>
      <c r="AA204" s="20">
        <v>-2.06E-2</v>
      </c>
      <c r="AB204" s="20">
        <v>7.1300000000000002E-2</v>
      </c>
      <c r="AC204" s="20">
        <v>-0.1014</v>
      </c>
      <c r="AD204" s="20">
        <v>5.1400000000000001E-2</v>
      </c>
      <c r="AE204" s="20">
        <v>1.5100000000000001E-2</v>
      </c>
      <c r="AF204" s="20">
        <v>-0.05</v>
      </c>
      <c r="AG204" s="20">
        <v>1.84E-2</v>
      </c>
      <c r="AH204" s="20">
        <v>-7.0900000000000005E-2</v>
      </c>
      <c r="AI204" s="20">
        <v>0.13780000000000001</v>
      </c>
      <c r="AJ204" s="20">
        <v>5.1400000000000001E-2</v>
      </c>
      <c r="AK204" s="20">
        <v>-8.3799999999999999E-2</v>
      </c>
      <c r="AL204" s="21">
        <v>-8.7400000000000005E-2</v>
      </c>
    </row>
    <row r="205" spans="1:38">
      <c r="A205" s="20">
        <v>-0.54049999999999998</v>
      </c>
      <c r="B205" s="20">
        <v>-0.29520000000000002</v>
      </c>
      <c r="C205" s="20">
        <v>2.87E-2</v>
      </c>
      <c r="D205" s="20">
        <v>2.0999999999999999E-3</v>
      </c>
      <c r="E205" s="20">
        <v>0.43859999999999999</v>
      </c>
      <c r="F205" s="20">
        <v>0.193</v>
      </c>
      <c r="G205" s="20">
        <v>0.10059999999999999</v>
      </c>
      <c r="H205" s="20">
        <v>-0.12479999999999999</v>
      </c>
      <c r="I205" s="20">
        <v>3.3999999999999998E-3</v>
      </c>
      <c r="J205" s="20">
        <v>2.0999999999999999E-3</v>
      </c>
      <c r="K205" s="20">
        <v>-0.18459999999999999</v>
      </c>
      <c r="L205" s="20">
        <v>0.29089999999999999</v>
      </c>
      <c r="M205" s="20">
        <v>1.95E-2</v>
      </c>
      <c r="N205" s="20">
        <v>-0.3281</v>
      </c>
      <c r="O205" s="20">
        <v>-6.3500000000000001E-2</v>
      </c>
      <c r="P205" s="20">
        <v>-8.8999999999999996E-2</v>
      </c>
      <c r="Q205" s="20">
        <v>-4.1099999999999998E-2</v>
      </c>
      <c r="R205" s="20">
        <v>0.1651</v>
      </c>
      <c r="S205" s="20">
        <v>5.9200000000000003E-2</v>
      </c>
      <c r="T205" s="20">
        <v>2.47E-2</v>
      </c>
      <c r="U205" s="20">
        <v>7.7899999999999997E-2</v>
      </c>
      <c r="V205" s="20">
        <v>9.7000000000000003E-3</v>
      </c>
      <c r="W205" s="20">
        <v>3.5000000000000003E-2</v>
      </c>
      <c r="X205" s="20">
        <v>7.2700000000000001E-2</v>
      </c>
      <c r="Y205" s="20">
        <v>-3.3999999999999998E-3</v>
      </c>
      <c r="Z205" s="20">
        <v>2.7900000000000001E-2</v>
      </c>
      <c r="AA205" s="20">
        <v>-7.2099999999999997E-2</v>
      </c>
      <c r="AB205" s="20">
        <v>0.16769999999999999</v>
      </c>
      <c r="AC205" s="20">
        <v>-5.7999999999999996E-3</v>
      </c>
      <c r="AD205" s="20">
        <v>-2.53E-2</v>
      </c>
      <c r="AE205" s="20">
        <v>-3.32E-2</v>
      </c>
      <c r="AF205" s="20">
        <v>-8.5300000000000001E-2</v>
      </c>
      <c r="AG205" s="20">
        <v>-0.1143</v>
      </c>
      <c r="AH205" s="20">
        <v>4.5600000000000002E-2</v>
      </c>
      <c r="AI205" s="20">
        <v>0.02</v>
      </c>
      <c r="AJ205" s="20">
        <v>3.4799999999999998E-2</v>
      </c>
      <c r="AK205" s="20">
        <v>4.6300000000000001E-2</v>
      </c>
      <c r="AL205" s="21">
        <v>0.1343</v>
      </c>
    </row>
    <row r="206" spans="1:38">
      <c r="A206" s="20">
        <v>-0.42420000000000002</v>
      </c>
      <c r="B206" s="20">
        <v>0.14360000000000001</v>
      </c>
      <c r="C206" s="20">
        <v>-0.29360000000000003</v>
      </c>
      <c r="D206" s="20">
        <v>9.5999999999999992E-3</v>
      </c>
      <c r="E206" s="20">
        <v>-0.32729999999999998</v>
      </c>
      <c r="F206" s="20">
        <v>0.1225</v>
      </c>
      <c r="G206" s="20">
        <v>0.16900000000000001</v>
      </c>
      <c r="H206" s="20">
        <v>7.5600000000000001E-2</v>
      </c>
      <c r="I206" s="20">
        <v>0.1363</v>
      </c>
      <c r="J206" s="20">
        <v>-0.16289999999999999</v>
      </c>
      <c r="K206" s="20">
        <v>-3.2899999999999999E-2</v>
      </c>
      <c r="L206" s="20">
        <v>-2.0000000000000001E-4</v>
      </c>
      <c r="M206" s="20">
        <v>-4.6100000000000002E-2</v>
      </c>
      <c r="N206" s="20">
        <v>0.19259999999999999</v>
      </c>
      <c r="O206" s="20">
        <v>4.6899999999999997E-2</v>
      </c>
      <c r="P206" s="20">
        <v>-0.1328</v>
      </c>
      <c r="Q206" s="20">
        <v>-0.1265</v>
      </c>
      <c r="R206" s="20">
        <v>0.1053</v>
      </c>
      <c r="S206" s="20">
        <v>0.34110000000000001</v>
      </c>
      <c r="T206" s="20">
        <v>5.7000000000000002E-2</v>
      </c>
      <c r="U206" s="20">
        <v>0.18490000000000001</v>
      </c>
      <c r="V206" s="20">
        <v>2.4500000000000001E-2</v>
      </c>
      <c r="W206" s="20">
        <v>-0.15770000000000001</v>
      </c>
      <c r="X206" s="20">
        <v>-0.12139999999999999</v>
      </c>
      <c r="Y206" s="20">
        <v>0.1663</v>
      </c>
      <c r="Z206" s="20">
        <v>5.6300000000000003E-2</v>
      </c>
      <c r="AA206" s="20">
        <v>-4.6899999999999997E-2</v>
      </c>
      <c r="AB206" s="20">
        <v>9.5100000000000004E-2</v>
      </c>
      <c r="AC206" s="20">
        <v>4.7100000000000003E-2</v>
      </c>
      <c r="AD206" s="20">
        <v>-8.3299999999999999E-2</v>
      </c>
      <c r="AE206" s="20">
        <v>-5.4699999999999999E-2</v>
      </c>
      <c r="AF206" s="20">
        <v>0.18740000000000001</v>
      </c>
      <c r="AG206" s="20">
        <v>-0.27450000000000002</v>
      </c>
      <c r="AH206" s="20">
        <v>0.1918</v>
      </c>
      <c r="AI206" s="20">
        <v>0.1171</v>
      </c>
      <c r="AJ206" s="20">
        <v>-9.4200000000000006E-2</v>
      </c>
      <c r="AK206" s="20">
        <v>-7.7499999999999999E-2</v>
      </c>
      <c r="AL206" s="21">
        <v>-1.8599999999999998E-2</v>
      </c>
    </row>
    <row r="207" spans="1:38">
      <c r="A207" s="20">
        <v>-0.52310000000000001</v>
      </c>
      <c r="B207" s="20">
        <v>0.26490000000000002</v>
      </c>
      <c r="C207" s="20">
        <v>-0.36649999999999999</v>
      </c>
      <c r="D207" s="20">
        <v>-7.3099999999999998E-2</v>
      </c>
      <c r="E207" s="20">
        <v>-4.6699999999999998E-2</v>
      </c>
      <c r="F207" s="20">
        <v>8.9899999999999994E-2</v>
      </c>
      <c r="G207" s="20">
        <v>0.17399999999999999</v>
      </c>
      <c r="H207" s="20">
        <v>0.21479999999999999</v>
      </c>
      <c r="I207" s="20">
        <v>-0.1673</v>
      </c>
      <c r="J207" s="20">
        <v>-6.5600000000000006E-2</v>
      </c>
      <c r="K207" s="20">
        <v>0.20549999999999999</v>
      </c>
      <c r="L207" s="20">
        <v>-5.7500000000000002E-2</v>
      </c>
      <c r="M207" s="20">
        <v>-1.6899999999999998E-2</v>
      </c>
      <c r="N207" s="20">
        <v>7.6399999999999996E-2</v>
      </c>
      <c r="O207" s="20">
        <v>-3.9899999999999998E-2</v>
      </c>
      <c r="P207" s="20">
        <v>2.8400000000000002E-2</v>
      </c>
      <c r="Q207" s="20">
        <v>-7.4800000000000005E-2</v>
      </c>
      <c r="R207" s="20">
        <v>8.1000000000000003E-2</v>
      </c>
      <c r="S207" s="20">
        <v>0.1326</v>
      </c>
      <c r="T207" s="20">
        <v>2.58E-2</v>
      </c>
      <c r="U207" s="20">
        <v>4.8899999999999999E-2</v>
      </c>
      <c r="V207" s="20">
        <v>-0.17380000000000001</v>
      </c>
      <c r="W207" s="20">
        <v>-0.24260000000000001</v>
      </c>
      <c r="X207" s="20">
        <v>0.25209999999999999</v>
      </c>
      <c r="Y207" s="20">
        <v>-0.11210000000000001</v>
      </c>
      <c r="Z207" s="20">
        <v>4.5900000000000003E-2</v>
      </c>
      <c r="AA207" s="20">
        <v>-0.04</v>
      </c>
      <c r="AB207" s="20">
        <v>-0.12790000000000001</v>
      </c>
      <c r="AC207" s="20">
        <v>8.4000000000000005E-2</v>
      </c>
      <c r="AD207" s="20">
        <v>6.4100000000000004E-2</v>
      </c>
      <c r="AE207" s="20">
        <v>0.20610000000000001</v>
      </c>
      <c r="AF207" s="20">
        <v>0.1298</v>
      </c>
      <c r="AG207" s="20">
        <v>8.2299999999999998E-2</v>
      </c>
      <c r="AH207" s="20">
        <v>0.15640000000000001</v>
      </c>
      <c r="AI207" s="20">
        <v>-0.12820000000000001</v>
      </c>
      <c r="AJ207" s="20">
        <v>-5.2400000000000002E-2</v>
      </c>
      <c r="AK207" s="20">
        <v>-6.6500000000000004E-2</v>
      </c>
      <c r="AL207" s="21">
        <v>1.1900000000000001E-2</v>
      </c>
    </row>
    <row r="208" spans="1:38">
      <c r="A208" s="20">
        <v>0.23749999999999999</v>
      </c>
      <c r="B208" s="20">
        <v>-0.1389</v>
      </c>
      <c r="C208" s="20">
        <v>1.21E-2</v>
      </c>
      <c r="D208" s="20">
        <v>8.5199999999999998E-2</v>
      </c>
      <c r="E208" s="20">
        <v>0.1681</v>
      </c>
      <c r="F208" s="20">
        <v>-8.6300000000000002E-2</v>
      </c>
      <c r="G208" s="20">
        <v>-0.1812</v>
      </c>
      <c r="H208" s="20">
        <v>-0.16120000000000001</v>
      </c>
      <c r="I208" s="20">
        <v>8.3699999999999997E-2</v>
      </c>
      <c r="J208" s="20">
        <v>0.27339999999999998</v>
      </c>
      <c r="K208" s="20">
        <v>2.9999999999999997E-4</v>
      </c>
      <c r="L208" s="20">
        <v>-0.18509999999999999</v>
      </c>
      <c r="M208" s="20">
        <v>1.6199999999999999E-2</v>
      </c>
      <c r="N208" s="20">
        <v>-4.9500000000000002E-2</v>
      </c>
      <c r="O208" s="20">
        <v>-0.14680000000000001</v>
      </c>
      <c r="P208" s="20">
        <v>0.20180000000000001</v>
      </c>
      <c r="Q208" s="20">
        <v>-0.23949999999999999</v>
      </c>
      <c r="R208" s="20">
        <v>0.1004</v>
      </c>
      <c r="S208" s="20">
        <v>0.1946</v>
      </c>
      <c r="T208" s="20">
        <v>-4.65E-2</v>
      </c>
      <c r="U208" s="20">
        <v>0.2064</v>
      </c>
      <c r="V208" s="20">
        <v>0.1196</v>
      </c>
      <c r="W208" s="20">
        <v>9.7799999999999998E-2</v>
      </c>
      <c r="X208" s="20">
        <v>-0.2336</v>
      </c>
      <c r="Y208" s="20">
        <v>0.1502</v>
      </c>
      <c r="Z208" s="20">
        <v>-3.6499999999999998E-2</v>
      </c>
      <c r="AA208" s="20">
        <v>-0.21329999999999999</v>
      </c>
      <c r="AB208" s="20">
        <v>-0.1389</v>
      </c>
      <c r="AC208" s="20">
        <v>0.11990000000000001</v>
      </c>
      <c r="AD208" s="20">
        <v>-1.0800000000000001E-2</v>
      </c>
      <c r="AE208" s="20">
        <v>-0.34599999999999997</v>
      </c>
      <c r="AF208" s="20">
        <v>-3.5700000000000003E-2</v>
      </c>
      <c r="AG208" s="20">
        <v>-0.161</v>
      </c>
      <c r="AH208" s="20">
        <v>1.8E-3</v>
      </c>
      <c r="AI208" s="20">
        <v>0.15040000000000001</v>
      </c>
      <c r="AJ208" s="20">
        <v>8.3699999999999997E-2</v>
      </c>
      <c r="AK208" s="20">
        <v>0.30370000000000003</v>
      </c>
      <c r="AL208" s="21">
        <v>-0.20230000000000001</v>
      </c>
    </row>
    <row r="209" spans="1:38">
      <c r="A209" s="20">
        <v>-0.28120000000000001</v>
      </c>
      <c r="B209" s="20">
        <v>-0.33119999999999999</v>
      </c>
      <c r="C209" s="20">
        <v>0.31809999999999999</v>
      </c>
      <c r="D209" s="20">
        <v>4.8399999999999999E-2</v>
      </c>
      <c r="E209" s="20">
        <v>0.27610000000000001</v>
      </c>
      <c r="F209" s="20">
        <v>0.11849999999999999</v>
      </c>
      <c r="G209" s="20">
        <v>-0.1258</v>
      </c>
      <c r="H209" s="20">
        <v>-1.15E-2</v>
      </c>
      <c r="I209" s="20">
        <v>0.39929999999999999</v>
      </c>
      <c r="J209" s="20">
        <v>5.3499999999999999E-2</v>
      </c>
      <c r="K209" s="20">
        <v>4.4600000000000001E-2</v>
      </c>
      <c r="L209" s="20">
        <v>0.24709999999999999</v>
      </c>
      <c r="M209" s="20">
        <v>-4.7399999999999998E-2</v>
      </c>
      <c r="N209" s="20">
        <v>-0.34329999999999999</v>
      </c>
      <c r="O209" s="20">
        <v>0.16139999999999999</v>
      </c>
      <c r="P209" s="20">
        <v>-7.8E-2</v>
      </c>
      <c r="Q209" s="20">
        <v>0.1009</v>
      </c>
      <c r="R209" s="20">
        <v>-5.7000000000000002E-3</v>
      </c>
      <c r="S209" s="20">
        <v>-1.11E-2</v>
      </c>
      <c r="T209" s="20">
        <v>3.4099999999999998E-2</v>
      </c>
      <c r="U209" s="20">
        <v>-3.5000000000000001E-3</v>
      </c>
      <c r="V209" s="20">
        <v>0.2009</v>
      </c>
      <c r="W209" s="20">
        <v>4.7399999999999998E-2</v>
      </c>
      <c r="X209" s="20">
        <v>-3.3399999999999999E-2</v>
      </c>
      <c r="Y209" s="20">
        <v>-0.1003</v>
      </c>
      <c r="Z209" s="20">
        <v>-9.5200000000000007E-2</v>
      </c>
      <c r="AA209" s="20">
        <v>-2.1299999999999999E-2</v>
      </c>
      <c r="AB209" s="20">
        <v>0.1356</v>
      </c>
      <c r="AC209" s="20">
        <v>-0.21079999999999999</v>
      </c>
      <c r="AD209" s="20">
        <v>0.114</v>
      </c>
      <c r="AE209" s="20">
        <v>-0.127</v>
      </c>
      <c r="AF209" s="20">
        <v>-0.16270000000000001</v>
      </c>
      <c r="AG209" s="20">
        <v>-9.7799999999999998E-2</v>
      </c>
      <c r="AH209" s="20">
        <v>-0.10730000000000001</v>
      </c>
      <c r="AI209" s="20">
        <v>-1.9699999999999999E-2</v>
      </c>
      <c r="AJ209" s="20">
        <v>-6.8500000000000005E-2</v>
      </c>
      <c r="AK209" s="20">
        <v>-5.4100000000000002E-2</v>
      </c>
      <c r="AL209" s="21">
        <v>4.0800000000000003E-2</v>
      </c>
    </row>
    <row r="210" spans="1:38">
      <c r="A210" s="20">
        <v>-0.34260000000000002</v>
      </c>
      <c r="B210" s="20">
        <v>0.42280000000000001</v>
      </c>
      <c r="C210" s="20">
        <v>-0.14030000000000001</v>
      </c>
      <c r="D210" s="20">
        <v>-0.13869999999999999</v>
      </c>
      <c r="E210" s="20">
        <v>-0.1178</v>
      </c>
      <c r="F210" s="20">
        <v>4.3299999999999998E-2</v>
      </c>
      <c r="G210" s="20">
        <v>8.0500000000000002E-2</v>
      </c>
      <c r="H210" s="20">
        <v>2.9600000000000001E-2</v>
      </c>
      <c r="I210" s="20">
        <v>7.9100000000000004E-2</v>
      </c>
      <c r="J210" s="20">
        <v>-4.2900000000000001E-2</v>
      </c>
      <c r="K210" s="20">
        <v>0.24840000000000001</v>
      </c>
      <c r="L210" s="20">
        <v>-0.20069999999999999</v>
      </c>
      <c r="M210" s="20">
        <v>-0.21029999999999999</v>
      </c>
      <c r="N210" s="20">
        <v>-0.21579999999999999</v>
      </c>
      <c r="O210" s="20">
        <v>0.15060000000000001</v>
      </c>
      <c r="P210" s="20">
        <v>8.0399999999999999E-2</v>
      </c>
      <c r="Q210" s="20">
        <v>-3.3300000000000003E-2</v>
      </c>
      <c r="R210" s="20">
        <v>-0.26640000000000003</v>
      </c>
      <c r="S210" s="20">
        <v>1.17E-2</v>
      </c>
      <c r="T210" s="20">
        <v>0.1065</v>
      </c>
      <c r="U210" s="20">
        <v>0.1142</v>
      </c>
      <c r="V210" s="20">
        <v>-0.1221</v>
      </c>
      <c r="W210" s="20">
        <v>-7.9799999999999996E-2</v>
      </c>
      <c r="X210" s="20">
        <v>3.2000000000000002E-3</v>
      </c>
      <c r="Y210" s="20">
        <v>-0.1236</v>
      </c>
      <c r="Z210" s="20">
        <v>-5.7999999999999996E-3</v>
      </c>
      <c r="AA210" s="20">
        <v>8.4400000000000003E-2</v>
      </c>
      <c r="AB210" s="20">
        <v>-0.12770000000000001</v>
      </c>
      <c r="AC210" s="20">
        <v>-1.5299999999999999E-2</v>
      </c>
      <c r="AD210" s="20">
        <v>-1.03E-2</v>
      </c>
      <c r="AE210" s="20">
        <v>7.5399999999999995E-2</v>
      </c>
      <c r="AF210" s="20">
        <v>-0.16159999999999999</v>
      </c>
      <c r="AG210" s="20">
        <v>0.21429999999999999</v>
      </c>
      <c r="AH210" s="20">
        <v>1.5699999999999999E-2</v>
      </c>
      <c r="AI210" s="20">
        <v>0.38800000000000001</v>
      </c>
      <c r="AJ210" s="20">
        <v>9.7000000000000003E-3</v>
      </c>
      <c r="AK210" s="20">
        <v>0.15720000000000001</v>
      </c>
      <c r="AL210" s="21">
        <v>3.9699999999999999E-2</v>
      </c>
    </row>
    <row r="211" spans="1:38">
      <c r="A211" s="20">
        <v>-0.11459999999999999</v>
      </c>
      <c r="B211" s="20">
        <v>0.2596</v>
      </c>
      <c r="C211" s="20">
        <v>-2.1399999999999999E-2</v>
      </c>
      <c r="D211" s="20">
        <v>-0.26169999999999999</v>
      </c>
      <c r="E211" s="20">
        <v>-0.13450000000000001</v>
      </c>
      <c r="F211" s="20">
        <v>5.0200000000000002E-2</v>
      </c>
      <c r="G211" s="20">
        <v>1.5E-3</v>
      </c>
      <c r="H211" s="20">
        <v>-7.8100000000000003E-2</v>
      </c>
      <c r="I211" s="20">
        <v>-0.26769999999999999</v>
      </c>
      <c r="J211" s="20">
        <v>0.1118</v>
      </c>
      <c r="K211" s="20">
        <v>9.9299999999999999E-2</v>
      </c>
      <c r="L211" s="20">
        <v>9.9500000000000005E-2</v>
      </c>
      <c r="M211" s="20">
        <v>3.39E-2</v>
      </c>
      <c r="N211" s="20">
        <v>-0.1575</v>
      </c>
      <c r="O211" s="20">
        <v>-6.8000000000000005E-2</v>
      </c>
      <c r="P211" s="20">
        <v>-0.1116</v>
      </c>
      <c r="Q211" s="20">
        <v>9.1000000000000004E-3</v>
      </c>
      <c r="R211" s="20">
        <v>8.0299999999999996E-2</v>
      </c>
      <c r="S211" s="20">
        <v>0.3579</v>
      </c>
      <c r="T211" s="20">
        <v>-0.2918</v>
      </c>
      <c r="U211" s="20">
        <v>3.9399999999999998E-2</v>
      </c>
      <c r="V211" s="20">
        <v>9.3200000000000005E-2</v>
      </c>
      <c r="W211" s="20">
        <v>-4.6800000000000001E-2</v>
      </c>
      <c r="X211" s="20">
        <v>4.2599999999999999E-2</v>
      </c>
      <c r="Y211" s="20">
        <v>3.32E-2</v>
      </c>
      <c r="Z211" s="20">
        <v>8.8700000000000001E-2</v>
      </c>
      <c r="AA211" s="20">
        <v>0.30580000000000002</v>
      </c>
      <c r="AB211" s="20">
        <v>0.27889999999999998</v>
      </c>
      <c r="AC211" s="20">
        <v>-4.1999999999999997E-3</v>
      </c>
      <c r="AD211" s="20">
        <v>-0.18679999999999999</v>
      </c>
      <c r="AE211" s="20">
        <v>-0.13550000000000001</v>
      </c>
      <c r="AF211" s="20">
        <v>-0.1154</v>
      </c>
      <c r="AG211" s="20">
        <v>-0.17319999999999999</v>
      </c>
      <c r="AH211" s="20">
        <v>3.5200000000000002E-2</v>
      </c>
      <c r="AI211" s="20">
        <v>0.28270000000000001</v>
      </c>
      <c r="AJ211" s="20">
        <v>-3.6400000000000002E-2</v>
      </c>
      <c r="AK211" s="20">
        <v>0.1457</v>
      </c>
      <c r="AL211" s="21">
        <v>-0.24970000000000001</v>
      </c>
    </row>
    <row r="212" spans="1:38">
      <c r="A212" s="20">
        <v>0.13189999999999999</v>
      </c>
      <c r="B212" s="20">
        <v>0.30599999999999999</v>
      </c>
      <c r="C212" s="20">
        <v>2.87E-2</v>
      </c>
      <c r="D212" s="20">
        <v>0.24410000000000001</v>
      </c>
      <c r="E212" s="20">
        <v>0.37119999999999997</v>
      </c>
      <c r="F212" s="20">
        <v>-1.4200000000000001E-2</v>
      </c>
      <c r="G212" s="20">
        <v>-0.13600000000000001</v>
      </c>
      <c r="H212" s="20">
        <v>-0.06</v>
      </c>
      <c r="I212" s="20">
        <v>0.12859999999999999</v>
      </c>
      <c r="J212" s="20">
        <v>-5.8900000000000001E-2</v>
      </c>
      <c r="K212" s="20">
        <v>8.2699999999999996E-2</v>
      </c>
      <c r="L212" s="20">
        <v>-1.6400000000000001E-2</v>
      </c>
      <c r="M212" s="20">
        <v>-6.1899999999999997E-2</v>
      </c>
      <c r="N212" s="20">
        <v>0.2419</v>
      </c>
      <c r="O212" s="20">
        <v>-0.16880000000000001</v>
      </c>
      <c r="P212" s="20">
        <v>0.1517</v>
      </c>
      <c r="Q212" s="20">
        <v>-3.6499999999999998E-2</v>
      </c>
      <c r="R212" s="20">
        <v>-0.29780000000000001</v>
      </c>
      <c r="S212" s="20">
        <v>3.9100000000000003E-2</v>
      </c>
      <c r="T212" s="20">
        <v>-4.1000000000000002E-2</v>
      </c>
      <c r="U212" s="20">
        <v>-0.19639999999999999</v>
      </c>
      <c r="V212" s="20">
        <v>2.8299999999999999E-2</v>
      </c>
      <c r="W212" s="20">
        <v>5.7000000000000002E-2</v>
      </c>
      <c r="X212" s="20">
        <v>-0.21879999999999999</v>
      </c>
      <c r="Y212" s="20">
        <v>-4.0000000000000002E-4</v>
      </c>
      <c r="Z212" s="20">
        <v>-0.38650000000000001</v>
      </c>
      <c r="AA212" s="20">
        <v>1.38E-2</v>
      </c>
      <c r="AB212" s="20">
        <v>9.7600000000000006E-2</v>
      </c>
      <c r="AC212" s="20">
        <v>7.5300000000000006E-2</v>
      </c>
      <c r="AD212" s="20">
        <v>-9.6500000000000002E-2</v>
      </c>
      <c r="AE212" s="20">
        <v>4.99E-2</v>
      </c>
      <c r="AF212" s="20">
        <v>-5.9299999999999999E-2</v>
      </c>
      <c r="AG212" s="20">
        <v>-0.15909999999999999</v>
      </c>
      <c r="AH212" s="20">
        <v>-0.1237</v>
      </c>
      <c r="AI212" s="20">
        <v>-9.1700000000000004E-2</v>
      </c>
      <c r="AJ212" s="20">
        <v>-0.1953</v>
      </c>
      <c r="AK212" s="20">
        <v>0.14050000000000001</v>
      </c>
      <c r="AL212" s="21">
        <v>0.23849999999999999</v>
      </c>
    </row>
    <row r="213" spans="1:38">
      <c r="A213" s="20">
        <v>0.28179999999999999</v>
      </c>
      <c r="B213" s="20">
        <v>-0.46389999999999998</v>
      </c>
      <c r="C213" s="20">
        <v>0.1933</v>
      </c>
      <c r="D213" s="20">
        <v>-2.69E-2</v>
      </c>
      <c r="E213" s="20">
        <v>0.56930000000000003</v>
      </c>
      <c r="F213" s="20">
        <v>-0.1429</v>
      </c>
      <c r="G213" s="20">
        <v>-8.6300000000000002E-2</v>
      </c>
      <c r="H213" s="20">
        <v>-9.4999999999999998E-3</v>
      </c>
      <c r="I213" s="20">
        <v>-0.16139999999999999</v>
      </c>
      <c r="J213" s="20">
        <v>-3.9800000000000002E-2</v>
      </c>
      <c r="K213" s="20">
        <v>0.11650000000000001</v>
      </c>
      <c r="L213" s="20">
        <v>-0.13669999999999999</v>
      </c>
      <c r="M213" s="20">
        <v>-4.7600000000000003E-2</v>
      </c>
      <c r="N213" s="20">
        <v>-1.12E-2</v>
      </c>
      <c r="O213" s="20">
        <v>-5.04E-2</v>
      </c>
      <c r="P213" s="20">
        <v>0.1434</v>
      </c>
      <c r="Q213" s="20">
        <v>1.9099999999999999E-2</v>
      </c>
      <c r="R213" s="20">
        <v>-7.7899999999999997E-2</v>
      </c>
      <c r="S213" s="20">
        <v>-8.7400000000000005E-2</v>
      </c>
      <c r="T213" s="20">
        <v>1.6199999999999999E-2</v>
      </c>
      <c r="U213" s="20">
        <v>0.1149</v>
      </c>
      <c r="V213" s="20">
        <v>-6.7000000000000002E-3</v>
      </c>
      <c r="W213" s="20">
        <v>0.13</v>
      </c>
      <c r="X213" s="20">
        <v>0.1053</v>
      </c>
      <c r="Y213" s="20">
        <v>-4.87E-2</v>
      </c>
      <c r="Z213" s="20">
        <v>-7.7999999999999996E-3</v>
      </c>
      <c r="AA213" s="20">
        <v>-0.18210000000000001</v>
      </c>
      <c r="AB213" s="20">
        <v>2.47E-2</v>
      </c>
      <c r="AC213" s="20">
        <v>-4.4299999999999999E-2</v>
      </c>
      <c r="AD213" s="20">
        <v>-8.3500000000000005E-2</v>
      </c>
      <c r="AE213" s="20">
        <v>-0.22520000000000001</v>
      </c>
      <c r="AF213" s="20">
        <v>6.2799999999999995E-2</v>
      </c>
      <c r="AG213" s="20">
        <v>8.7999999999999995E-2</v>
      </c>
      <c r="AH213" s="20">
        <v>-9.64E-2</v>
      </c>
      <c r="AI213" s="20">
        <v>-7.9600000000000004E-2</v>
      </c>
      <c r="AJ213" s="20">
        <v>-2.1899999999999999E-2</v>
      </c>
      <c r="AK213" s="20">
        <v>0.21629999999999999</v>
      </c>
      <c r="AL213" s="21">
        <v>6.2199999999999998E-2</v>
      </c>
    </row>
    <row r="214" spans="1:38">
      <c r="A214" s="20">
        <v>0.1895</v>
      </c>
      <c r="B214" s="20">
        <v>2.0999999999999999E-3</v>
      </c>
      <c r="C214" s="20">
        <v>0.34429999999999999</v>
      </c>
      <c r="D214" s="20">
        <v>-0.14199999999999999</v>
      </c>
      <c r="E214" s="20">
        <v>-0.125</v>
      </c>
      <c r="F214" s="20">
        <v>-0.09</v>
      </c>
      <c r="G214" s="20">
        <v>0.25840000000000002</v>
      </c>
      <c r="H214" s="20">
        <v>-0.49409999999999998</v>
      </c>
      <c r="I214" s="20">
        <v>-9.4899999999999998E-2</v>
      </c>
      <c r="J214" s="20">
        <v>-0.13389999999999999</v>
      </c>
      <c r="K214" s="20">
        <v>-5.4100000000000002E-2</v>
      </c>
      <c r="L214" s="20">
        <v>6.9800000000000001E-2</v>
      </c>
      <c r="M214" s="20">
        <v>1.4E-3</v>
      </c>
      <c r="N214" s="20">
        <v>0.38900000000000001</v>
      </c>
      <c r="O214" s="20">
        <v>5.3100000000000001E-2</v>
      </c>
      <c r="P214" s="20">
        <v>-0.1076</v>
      </c>
      <c r="Q214" s="20">
        <v>-0.19350000000000001</v>
      </c>
      <c r="R214" s="20">
        <v>-8.4400000000000003E-2</v>
      </c>
      <c r="S214" s="20">
        <v>-9.6500000000000002E-2</v>
      </c>
      <c r="T214" s="20">
        <v>1.8800000000000001E-2</v>
      </c>
      <c r="U214" s="20">
        <v>0.1153</v>
      </c>
      <c r="V214" s="20">
        <v>-0.17580000000000001</v>
      </c>
      <c r="W214" s="20">
        <v>4.2000000000000003E-2</v>
      </c>
      <c r="X214" s="20">
        <v>-0.10050000000000001</v>
      </c>
      <c r="Y214" s="20">
        <v>6.0299999999999999E-2</v>
      </c>
      <c r="Z214" s="20">
        <v>-0.11269999999999999</v>
      </c>
      <c r="AA214" s="20">
        <v>7.5600000000000001E-2</v>
      </c>
      <c r="AB214" s="20">
        <v>-2.2499999999999999E-2</v>
      </c>
      <c r="AC214" s="20">
        <v>-5.5999999999999999E-3</v>
      </c>
      <c r="AD214" s="20">
        <v>0.21110000000000001</v>
      </c>
      <c r="AE214" s="20">
        <v>-0.1406</v>
      </c>
      <c r="AF214" s="20">
        <v>-7.8600000000000003E-2</v>
      </c>
      <c r="AG214" s="20">
        <v>-7.9799999999999996E-2</v>
      </c>
      <c r="AH214" s="20">
        <v>9.8100000000000007E-2</v>
      </c>
      <c r="AI214" s="20">
        <v>9.6500000000000002E-2</v>
      </c>
      <c r="AJ214" s="20">
        <v>9.3299999999999994E-2</v>
      </c>
      <c r="AK214" s="20">
        <v>-1.23E-2</v>
      </c>
      <c r="AL214" s="21">
        <v>0.22939999999999999</v>
      </c>
    </row>
    <row r="215" spans="1:38">
      <c r="A215" s="20">
        <v>-0.1774</v>
      </c>
      <c r="B215" s="20">
        <v>-0.27850000000000003</v>
      </c>
      <c r="C215" s="20">
        <v>-5.0700000000000002E-2</v>
      </c>
      <c r="D215" s="20">
        <v>0.19339999999999999</v>
      </c>
      <c r="E215" s="20">
        <v>0.31530000000000002</v>
      </c>
      <c r="F215" s="20">
        <v>0.25650000000000001</v>
      </c>
      <c r="G215" s="20">
        <v>-0.1138</v>
      </c>
      <c r="H215" s="20">
        <v>0.3402</v>
      </c>
      <c r="I215" s="20">
        <v>1.6E-2</v>
      </c>
      <c r="J215" s="20">
        <v>-5.3900000000000003E-2</v>
      </c>
      <c r="K215" s="20">
        <v>-0.25619999999999998</v>
      </c>
      <c r="L215" s="20">
        <v>-7.5800000000000006E-2</v>
      </c>
      <c r="M215" s="20">
        <v>5.6099999999999997E-2</v>
      </c>
      <c r="N215" s="20">
        <v>3.7900000000000003E-2</v>
      </c>
      <c r="O215" s="20">
        <v>-0.13159999999999999</v>
      </c>
      <c r="P215" s="20">
        <v>-7.9600000000000004E-2</v>
      </c>
      <c r="Q215" s="20">
        <v>0.33429999999999999</v>
      </c>
      <c r="R215" s="20">
        <v>9.8100000000000007E-2</v>
      </c>
      <c r="S215" s="20">
        <v>-0.16980000000000001</v>
      </c>
      <c r="T215" s="20">
        <v>-2.3E-2</v>
      </c>
      <c r="U215" s="20">
        <v>3.1399999999999997E-2</v>
      </c>
      <c r="V215" s="20">
        <v>-0.14380000000000001</v>
      </c>
      <c r="W215" s="20">
        <v>0.12239999999999999</v>
      </c>
      <c r="X215" s="20">
        <v>-6.2799999999999995E-2</v>
      </c>
      <c r="Y215" s="20">
        <v>0.107</v>
      </c>
      <c r="Z215" s="20">
        <v>-9.5899999999999999E-2</v>
      </c>
      <c r="AA215" s="20">
        <v>1.44E-2</v>
      </c>
      <c r="AB215" s="20">
        <v>-0.16439999999999999</v>
      </c>
      <c r="AC215" s="20">
        <v>9.4999999999999998E-3</v>
      </c>
      <c r="AD215" s="20">
        <v>0.1368</v>
      </c>
      <c r="AE215" s="20">
        <v>0.16120000000000001</v>
      </c>
      <c r="AF215" s="20">
        <v>-0.14249999999999999</v>
      </c>
      <c r="AG215" s="20">
        <v>-4.4200000000000003E-2</v>
      </c>
      <c r="AH215" s="20">
        <v>6.2300000000000001E-2</v>
      </c>
      <c r="AI215" s="20">
        <v>3.6600000000000001E-2</v>
      </c>
      <c r="AJ215" s="20">
        <v>-0.17499999999999999</v>
      </c>
      <c r="AK215" s="20">
        <v>-0.27950000000000003</v>
      </c>
      <c r="AL215" s="21">
        <v>0.1845</v>
      </c>
    </row>
    <row r="216" spans="1:38">
      <c r="A216" s="20">
        <v>8.7599999999999997E-2</v>
      </c>
      <c r="B216" s="20">
        <v>2.01E-2</v>
      </c>
      <c r="C216" s="20">
        <v>0.12859999999999999</v>
      </c>
      <c r="D216" s="20">
        <v>-0.14230000000000001</v>
      </c>
      <c r="E216" s="20">
        <v>-0.11550000000000001</v>
      </c>
      <c r="F216" s="20">
        <v>0.30890000000000001</v>
      </c>
      <c r="G216" s="20">
        <v>0.11890000000000001</v>
      </c>
      <c r="H216" s="20">
        <v>0.21890000000000001</v>
      </c>
      <c r="I216" s="20">
        <v>0.30840000000000001</v>
      </c>
      <c r="J216" s="20">
        <v>-0.2016</v>
      </c>
      <c r="K216" s="20">
        <v>-0.2482</v>
      </c>
      <c r="L216" s="20">
        <v>-4.1399999999999999E-2</v>
      </c>
      <c r="M216" s="20">
        <v>-8.0699999999999994E-2</v>
      </c>
      <c r="N216" s="20">
        <v>7.8100000000000003E-2</v>
      </c>
      <c r="O216" s="20">
        <v>-0.2266</v>
      </c>
      <c r="P216" s="20">
        <v>-0.36959999999999998</v>
      </c>
      <c r="Q216" s="20">
        <v>0.26629999999999998</v>
      </c>
      <c r="R216" s="20">
        <v>4.3799999999999999E-2</v>
      </c>
      <c r="S216" s="20">
        <v>-8.8099999999999998E-2</v>
      </c>
      <c r="T216" s="20">
        <v>-0.16539999999999999</v>
      </c>
      <c r="U216" s="20">
        <v>-0.1016</v>
      </c>
      <c r="V216" s="20">
        <v>1.6299999999999999E-2</v>
      </c>
      <c r="W216" s="20">
        <v>0.11609999999999999</v>
      </c>
      <c r="X216" s="20">
        <v>1.77E-2</v>
      </c>
      <c r="Y216" s="20">
        <v>0.1232</v>
      </c>
      <c r="Z216" s="20">
        <v>-4.82E-2</v>
      </c>
      <c r="AA216" s="20">
        <v>0.14199999999999999</v>
      </c>
      <c r="AB216" s="20">
        <v>-0.2147</v>
      </c>
      <c r="AC216" s="20">
        <v>0.1933</v>
      </c>
      <c r="AD216" s="20">
        <v>3.0700000000000002E-2</v>
      </c>
      <c r="AE216" s="20">
        <v>0.13139999999999999</v>
      </c>
      <c r="AF216" s="20">
        <v>-0.10290000000000001</v>
      </c>
      <c r="AG216" s="20">
        <v>0.13289999999999999</v>
      </c>
      <c r="AH216" s="20">
        <v>9.9400000000000002E-2</v>
      </c>
      <c r="AI216" s="20">
        <v>-4.24E-2</v>
      </c>
      <c r="AJ216" s="20">
        <v>-0.2298</v>
      </c>
      <c r="AK216" s="20">
        <v>-2.63E-2</v>
      </c>
      <c r="AL216" s="21">
        <v>-0.1396</v>
      </c>
    </row>
    <row r="217" spans="1:38">
      <c r="A217" s="20">
        <v>8.14E-2</v>
      </c>
      <c r="B217" s="20">
        <v>-0.17899999999999999</v>
      </c>
      <c r="C217" s="20">
        <v>0.56640000000000001</v>
      </c>
      <c r="D217" s="20">
        <v>-0.21920000000000001</v>
      </c>
      <c r="E217" s="20">
        <v>0.2208</v>
      </c>
      <c r="F217" s="20">
        <v>8.4699999999999998E-2</v>
      </c>
      <c r="G217" s="20">
        <v>5.74E-2</v>
      </c>
      <c r="H217" s="20">
        <v>-0.18110000000000001</v>
      </c>
      <c r="I217" s="20">
        <v>-0.36430000000000001</v>
      </c>
      <c r="J217" s="20">
        <v>-8.1100000000000005E-2</v>
      </c>
      <c r="K217" s="20">
        <v>2.9700000000000001E-2</v>
      </c>
      <c r="L217" s="20">
        <v>-7.0900000000000005E-2</v>
      </c>
      <c r="M217" s="20">
        <v>-2.2800000000000001E-2</v>
      </c>
      <c r="N217" s="20">
        <v>-0.1057</v>
      </c>
      <c r="O217" s="20">
        <v>0.152</v>
      </c>
      <c r="P217" s="20">
        <v>8.3500000000000005E-2</v>
      </c>
      <c r="Q217" s="20">
        <v>0.1288</v>
      </c>
      <c r="R217" s="20">
        <v>-5.4000000000000003E-3</v>
      </c>
      <c r="S217" s="20">
        <v>-0.1207</v>
      </c>
      <c r="T217" s="20">
        <v>0.1027</v>
      </c>
      <c r="U217" s="20">
        <v>0.25319999999999998</v>
      </c>
      <c r="V217" s="20">
        <v>-0.11799999999999999</v>
      </c>
      <c r="W217" s="20">
        <v>0.14749999999999999</v>
      </c>
      <c r="X217" s="20">
        <v>-9.4299999999999995E-2</v>
      </c>
      <c r="Y217" s="20">
        <v>6.7000000000000004E-2</v>
      </c>
      <c r="Z217" s="20">
        <v>5.9999999999999995E-4</v>
      </c>
      <c r="AA217" s="20">
        <v>-1.1999999999999999E-3</v>
      </c>
      <c r="AB217" s="20">
        <v>0.10150000000000001</v>
      </c>
      <c r="AC217" s="20">
        <v>2.4E-2</v>
      </c>
      <c r="AD217" s="20">
        <v>0.11890000000000001</v>
      </c>
      <c r="AE217" s="20">
        <v>-3.6299999999999999E-2</v>
      </c>
      <c r="AF217" s="20">
        <v>4.4200000000000003E-2</v>
      </c>
      <c r="AG217" s="20">
        <v>-0.1249</v>
      </c>
      <c r="AH217" s="20">
        <v>-0.15740000000000001</v>
      </c>
      <c r="AI217" s="20">
        <v>-1.35E-2</v>
      </c>
      <c r="AJ217" s="20">
        <v>3.78E-2</v>
      </c>
      <c r="AK217" s="20">
        <v>-0.18260000000000001</v>
      </c>
      <c r="AL217" s="21">
        <v>-0.23430000000000001</v>
      </c>
    </row>
    <row r="218" spans="1:38">
      <c r="A218" s="20">
        <v>0.29630000000000001</v>
      </c>
      <c r="B218" s="20">
        <v>-0.1996</v>
      </c>
      <c r="C218" s="20">
        <v>0.16420000000000001</v>
      </c>
      <c r="D218" s="20">
        <v>8.5900000000000004E-2</v>
      </c>
      <c r="E218" s="20">
        <v>-0.16239999999999999</v>
      </c>
      <c r="F218" s="20">
        <v>-0.17749999999999999</v>
      </c>
      <c r="G218" s="20">
        <v>-2.4199999999999999E-2</v>
      </c>
      <c r="H218" s="20">
        <v>-6.1100000000000002E-2</v>
      </c>
      <c r="I218" s="20">
        <v>-0.12670000000000001</v>
      </c>
      <c r="J218" s="20">
        <v>0.23649999999999999</v>
      </c>
      <c r="K218" s="20">
        <v>-0.215</v>
      </c>
      <c r="L218" s="20">
        <v>0.15</v>
      </c>
      <c r="M218" s="20">
        <v>0.22500000000000001</v>
      </c>
      <c r="N218" s="20">
        <v>-8.7099999999999997E-2</v>
      </c>
      <c r="O218" s="20">
        <v>0.1004</v>
      </c>
      <c r="P218" s="20">
        <v>-0.11459999999999999</v>
      </c>
      <c r="Q218" s="20">
        <v>9.6799999999999997E-2</v>
      </c>
      <c r="R218" s="20">
        <v>-0.15870000000000001</v>
      </c>
      <c r="S218" s="20">
        <v>-0.25580000000000003</v>
      </c>
      <c r="T218" s="20">
        <v>0.32690000000000002</v>
      </c>
      <c r="U218" s="20">
        <v>0.15479999999999999</v>
      </c>
      <c r="V218" s="20">
        <v>-4.9299999999999997E-2</v>
      </c>
      <c r="W218" s="20">
        <v>-0.15970000000000001</v>
      </c>
      <c r="X218" s="20">
        <v>-7.6799999999999993E-2</v>
      </c>
      <c r="Y218" s="20">
        <v>0.1633</v>
      </c>
      <c r="Z218" s="20">
        <v>-0.2331</v>
      </c>
      <c r="AA218" s="20">
        <v>0.30059999999999998</v>
      </c>
      <c r="AB218" s="20">
        <v>-0.1358</v>
      </c>
      <c r="AC218" s="20">
        <v>-0.10489999999999999</v>
      </c>
      <c r="AD218" s="20">
        <v>-0.121</v>
      </c>
      <c r="AE218" s="20">
        <v>0.10979999999999999</v>
      </c>
      <c r="AF218" s="20">
        <v>-9.5899999999999999E-2</v>
      </c>
      <c r="AG218" s="20">
        <v>9.01E-2</v>
      </c>
      <c r="AH218" s="20">
        <v>-0.10009999999999999</v>
      </c>
      <c r="AI218" s="20">
        <v>2.3999999999999998E-3</v>
      </c>
      <c r="AJ218" s="20">
        <v>0.15840000000000001</v>
      </c>
      <c r="AK218" s="20">
        <v>6.8599999999999994E-2</v>
      </c>
      <c r="AL218" s="21">
        <v>-6.7100000000000007E-2</v>
      </c>
    </row>
    <row r="219" spans="1:38">
      <c r="A219" s="20">
        <v>0.1734</v>
      </c>
      <c r="B219" s="20">
        <v>-0.3609</v>
      </c>
      <c r="C219" s="20">
        <v>6.0400000000000002E-2</v>
      </c>
      <c r="D219" s="20">
        <v>2.1700000000000001E-2</v>
      </c>
      <c r="E219" s="20">
        <v>0.2087</v>
      </c>
      <c r="F219" s="20">
        <v>-1.4999999999999999E-2</v>
      </c>
      <c r="G219" s="20">
        <v>-0.14249999999999999</v>
      </c>
      <c r="H219" s="20">
        <v>-6.1800000000000001E-2</v>
      </c>
      <c r="I219" s="20">
        <v>-0.1913</v>
      </c>
      <c r="J219" s="20">
        <v>3.09E-2</v>
      </c>
      <c r="K219" s="20">
        <v>-0.23</v>
      </c>
      <c r="L219" s="20">
        <v>0.158</v>
      </c>
      <c r="M219" s="20">
        <v>-0.1749</v>
      </c>
      <c r="N219" s="20">
        <v>-4.8300000000000003E-2</v>
      </c>
      <c r="O219" s="20">
        <v>0.12559999999999999</v>
      </c>
      <c r="P219" s="20">
        <v>-0.1908</v>
      </c>
      <c r="Q219" s="20">
        <v>-0.1275</v>
      </c>
      <c r="R219" s="20">
        <v>5.4600000000000003E-2</v>
      </c>
      <c r="S219" s="20">
        <v>-0.22850000000000001</v>
      </c>
      <c r="T219" s="20">
        <v>0.1527</v>
      </c>
      <c r="U219" s="20">
        <v>0.36620000000000003</v>
      </c>
      <c r="V219" s="20">
        <v>0.19950000000000001</v>
      </c>
      <c r="W219" s="20">
        <v>0.1469</v>
      </c>
      <c r="X219" s="20">
        <v>3.04E-2</v>
      </c>
      <c r="Y219" s="20">
        <v>0.25119999999999998</v>
      </c>
      <c r="Z219" s="20">
        <v>-0.2024</v>
      </c>
      <c r="AA219" s="20">
        <v>5.7999999999999996E-3</v>
      </c>
      <c r="AB219" s="20">
        <v>0.20050000000000001</v>
      </c>
      <c r="AC219" s="20">
        <v>0.13869999999999999</v>
      </c>
      <c r="AD219" s="20">
        <v>-0.25850000000000001</v>
      </c>
      <c r="AE219" s="20">
        <v>2.2200000000000001E-2</v>
      </c>
      <c r="AF219" s="20">
        <v>0.1203</v>
      </c>
      <c r="AG219" s="20">
        <v>-4.4400000000000002E-2</v>
      </c>
      <c r="AH219" s="20">
        <v>-0.1522</v>
      </c>
      <c r="AI219" s="20">
        <v>-3.3999999999999998E-3</v>
      </c>
      <c r="AJ219" s="20">
        <v>-2.46E-2</v>
      </c>
      <c r="AK219" s="20">
        <v>4.8300000000000003E-2</v>
      </c>
      <c r="AL219" s="21">
        <v>-4.9799999999999997E-2</v>
      </c>
    </row>
    <row r="220" spans="1:38">
      <c r="A220" s="20">
        <v>0.59540000000000004</v>
      </c>
      <c r="B220" s="20">
        <v>-0.25030000000000002</v>
      </c>
      <c r="C220" s="20">
        <v>-6.8900000000000003E-2</v>
      </c>
      <c r="D220" s="20">
        <v>-4.0800000000000003E-2</v>
      </c>
      <c r="E220" s="20">
        <v>0.16700000000000001</v>
      </c>
      <c r="F220" s="20">
        <v>4.5199999999999997E-2</v>
      </c>
      <c r="G220" s="20">
        <v>-0.13339999999999999</v>
      </c>
      <c r="H220" s="20">
        <v>-0.1351</v>
      </c>
      <c r="I220" s="20">
        <v>-6.2899999999999998E-2</v>
      </c>
      <c r="J220" s="20">
        <v>0.13950000000000001</v>
      </c>
      <c r="K220" s="20">
        <v>4.6899999999999997E-2</v>
      </c>
      <c r="L220" s="20">
        <v>0.1704</v>
      </c>
      <c r="M220" s="20">
        <v>-6.5600000000000006E-2</v>
      </c>
      <c r="N220" s="20">
        <v>-0.1384</v>
      </c>
      <c r="O220" s="20">
        <v>3.2000000000000001E-2</v>
      </c>
      <c r="P220" s="20">
        <v>-0.14829999999999999</v>
      </c>
      <c r="Q220" s="20">
        <v>-0.29110000000000003</v>
      </c>
      <c r="R220" s="20">
        <v>0.29270000000000002</v>
      </c>
      <c r="S220" s="20">
        <v>2.2000000000000001E-3</v>
      </c>
      <c r="T220" s="20">
        <v>1.8200000000000001E-2</v>
      </c>
      <c r="U220" s="20">
        <v>-1.7100000000000001E-2</v>
      </c>
      <c r="V220" s="20">
        <v>0.2349</v>
      </c>
      <c r="W220" s="20">
        <v>1.2699999999999999E-2</v>
      </c>
      <c r="X220" s="20">
        <v>1.54E-2</v>
      </c>
      <c r="Y220" s="20">
        <v>6.2300000000000001E-2</v>
      </c>
      <c r="Z220" s="20">
        <v>-0.2271</v>
      </c>
      <c r="AA220" s="20">
        <v>6.8400000000000002E-2</v>
      </c>
      <c r="AB220" s="20">
        <v>-1.54E-2</v>
      </c>
      <c r="AC220" s="20">
        <v>4.58E-2</v>
      </c>
      <c r="AD220" s="20">
        <v>-0.22989999999999999</v>
      </c>
      <c r="AE220" s="20">
        <v>4.4699999999999997E-2</v>
      </c>
      <c r="AF220" s="20">
        <v>-0.15379999999999999</v>
      </c>
      <c r="AG220" s="20">
        <v>-4.8500000000000001E-2</v>
      </c>
      <c r="AH220" s="20">
        <v>-9.98E-2</v>
      </c>
      <c r="AI220" s="20">
        <v>-2.92E-2</v>
      </c>
      <c r="AJ220" s="20">
        <v>0.14280000000000001</v>
      </c>
      <c r="AK220" s="20">
        <v>-4.2999999999999997E-2</v>
      </c>
      <c r="AL220" s="21">
        <v>7.9399999999999998E-2</v>
      </c>
    </row>
    <row r="221" spans="1:38">
      <c r="A221" s="20">
        <v>4.7899999999999998E-2</v>
      </c>
      <c r="B221" s="20">
        <v>-0.23300000000000001</v>
      </c>
      <c r="C221" s="20">
        <v>0.19400000000000001</v>
      </c>
      <c r="D221" s="20">
        <v>9.7699999999999995E-2</v>
      </c>
      <c r="E221" s="20">
        <v>0.20019999999999999</v>
      </c>
      <c r="F221" s="20">
        <v>-0.2301</v>
      </c>
      <c r="G221" s="20">
        <v>0.2485</v>
      </c>
      <c r="H221" s="20">
        <v>-0.18140000000000001</v>
      </c>
      <c r="I221" s="20">
        <v>-0.37169999999999997</v>
      </c>
      <c r="J221" s="20">
        <v>-0.01</v>
      </c>
      <c r="K221" s="20">
        <v>-0.2482</v>
      </c>
      <c r="L221" s="20">
        <v>0.1055</v>
      </c>
      <c r="M221" s="20">
        <v>6.7100000000000007E-2</v>
      </c>
      <c r="N221" s="20">
        <v>-0.27839999999999998</v>
      </c>
      <c r="O221" s="20">
        <v>-4.7999999999999996E-3</v>
      </c>
      <c r="P221" s="20">
        <v>-0.1527</v>
      </c>
      <c r="Q221" s="20">
        <v>0.125</v>
      </c>
      <c r="R221" s="20">
        <v>0.1578</v>
      </c>
      <c r="S221" s="20">
        <v>-1.55E-2</v>
      </c>
      <c r="T221" s="20">
        <v>0.1409</v>
      </c>
      <c r="U221" s="20">
        <v>6.0499999999999998E-2</v>
      </c>
      <c r="V221" s="20">
        <v>0.1173</v>
      </c>
      <c r="W221" s="20">
        <v>3.2800000000000003E-2</v>
      </c>
      <c r="X221" s="20">
        <v>-4.1000000000000003E-3</v>
      </c>
      <c r="Y221" s="20">
        <v>-8.6699999999999999E-2</v>
      </c>
      <c r="Z221" s="20">
        <v>-2.18E-2</v>
      </c>
      <c r="AA221" s="20">
        <v>-0.13020000000000001</v>
      </c>
      <c r="AB221" s="20">
        <v>-5.3100000000000001E-2</v>
      </c>
      <c r="AC221" s="20">
        <v>0.22339999999999999</v>
      </c>
      <c r="AD221" s="20">
        <v>-0.37169999999999997</v>
      </c>
      <c r="AE221" s="20">
        <v>5.3800000000000001E-2</v>
      </c>
      <c r="AF221" s="20">
        <v>0.18840000000000001</v>
      </c>
      <c r="AG221" s="20">
        <v>4.0599999999999997E-2</v>
      </c>
      <c r="AH221" s="20">
        <v>-5.7500000000000002E-2</v>
      </c>
      <c r="AI221" s="20">
        <v>0.17369999999999999</v>
      </c>
      <c r="AJ221" s="20">
        <v>7.0800000000000002E-2</v>
      </c>
      <c r="AK221" s="20">
        <v>0.13569999999999999</v>
      </c>
      <c r="AL221" s="21">
        <v>-1.9900000000000001E-2</v>
      </c>
    </row>
    <row r="222" spans="1:38">
      <c r="A222" s="20">
        <v>0.499</v>
      </c>
      <c r="B222" s="20">
        <v>-1.2200000000000001E-2</v>
      </c>
      <c r="C222" s="20">
        <v>9.8400000000000001E-2</v>
      </c>
      <c r="D222" s="20">
        <v>0.11119999999999999</v>
      </c>
      <c r="E222" s="20">
        <v>4.0599999999999997E-2</v>
      </c>
      <c r="F222" s="20">
        <v>0.19120000000000001</v>
      </c>
      <c r="G222" s="20">
        <v>-2.9700000000000001E-2</v>
      </c>
      <c r="H222" s="20">
        <v>7.1499999999999994E-2</v>
      </c>
      <c r="I222" s="20">
        <v>-0.21410000000000001</v>
      </c>
      <c r="J222" s="20">
        <v>0.1646</v>
      </c>
      <c r="K222" s="20">
        <v>-0.15359999999999999</v>
      </c>
      <c r="L222" s="20">
        <v>0.17230000000000001</v>
      </c>
      <c r="M222" s="20">
        <v>-7.1000000000000004E-3</v>
      </c>
      <c r="N222" s="20">
        <v>-0.34570000000000001</v>
      </c>
      <c r="O222" s="20">
        <v>0.121</v>
      </c>
      <c r="P222" s="20">
        <v>-2.6100000000000002E-2</v>
      </c>
      <c r="Q222" s="20">
        <v>-0.21909999999999999</v>
      </c>
      <c r="R222" s="20">
        <v>-4.0899999999999999E-2</v>
      </c>
      <c r="S222" s="20">
        <v>6.1100000000000002E-2</v>
      </c>
      <c r="T222" s="20">
        <v>0.17349999999999999</v>
      </c>
      <c r="U222" s="20">
        <v>4.4499999999999998E-2</v>
      </c>
      <c r="V222" s="20">
        <v>-9.7299999999999998E-2</v>
      </c>
      <c r="W222" s="20">
        <v>-5.28E-2</v>
      </c>
      <c r="X222" s="20">
        <v>-7.7100000000000002E-2</v>
      </c>
      <c r="Y222" s="20">
        <v>4.3900000000000002E-2</v>
      </c>
      <c r="Z222" s="20">
        <v>-0.22739999999999999</v>
      </c>
      <c r="AA222" s="20">
        <v>0.1038</v>
      </c>
      <c r="AB222" s="20">
        <v>5.16E-2</v>
      </c>
      <c r="AC222" s="20">
        <v>-0.22359999999999999</v>
      </c>
      <c r="AD222" s="20">
        <v>0.1079</v>
      </c>
      <c r="AE222" s="20">
        <v>0.28170000000000001</v>
      </c>
      <c r="AF222" s="20">
        <v>-0.15329999999999999</v>
      </c>
      <c r="AG222" s="20">
        <v>-9.9000000000000005E-2</v>
      </c>
      <c r="AH222" s="20">
        <v>-0.18590000000000001</v>
      </c>
      <c r="AI222" s="20">
        <v>-0.20669999999999999</v>
      </c>
      <c r="AJ222" s="20">
        <v>-6.1999999999999998E-3</v>
      </c>
      <c r="AK222" s="20">
        <v>1.84E-2</v>
      </c>
      <c r="AL222" s="21">
        <v>2.8799999999999999E-2</v>
      </c>
    </row>
    <row r="223" spans="1:38">
      <c r="A223" s="20">
        <v>0.50849999999999995</v>
      </c>
      <c r="B223" s="20">
        <v>0.06</v>
      </c>
      <c r="C223" s="20">
        <v>-5.79E-2</v>
      </c>
      <c r="D223" s="20">
        <v>-9.6199999999999994E-2</v>
      </c>
      <c r="E223" s="20">
        <v>0.22439999999999999</v>
      </c>
      <c r="F223" s="20">
        <v>5.6500000000000002E-2</v>
      </c>
      <c r="G223" s="20">
        <v>0.35680000000000001</v>
      </c>
      <c r="H223" s="20">
        <v>6.2100000000000002E-2</v>
      </c>
      <c r="I223" s="20">
        <v>8.6599999999999996E-2</v>
      </c>
      <c r="J223" s="20">
        <v>-1.67E-2</v>
      </c>
      <c r="K223" s="20">
        <v>-1.35E-2</v>
      </c>
      <c r="L223" s="20">
        <v>-0.114</v>
      </c>
      <c r="M223" s="20">
        <v>0.1026</v>
      </c>
      <c r="N223" s="20">
        <v>-0.1424</v>
      </c>
      <c r="O223" s="20">
        <v>0.1179</v>
      </c>
      <c r="P223" s="20">
        <v>-0.16400000000000001</v>
      </c>
      <c r="Q223" s="20">
        <v>3.09E-2</v>
      </c>
      <c r="R223" s="20">
        <v>-0.28120000000000001</v>
      </c>
      <c r="S223" s="20">
        <v>-7.9500000000000001E-2</v>
      </c>
      <c r="T223" s="20">
        <v>-0.40939999999999999</v>
      </c>
      <c r="U223" s="20">
        <v>2.1700000000000001E-2</v>
      </c>
      <c r="V223" s="20">
        <v>2.4899999999999999E-2</v>
      </c>
      <c r="W223" s="20">
        <v>1.35E-2</v>
      </c>
      <c r="X223" s="20">
        <v>0.1236</v>
      </c>
      <c r="Y223" s="20">
        <v>-5.11E-2</v>
      </c>
      <c r="Z223" s="20">
        <v>0.1885</v>
      </c>
      <c r="AA223" s="20">
        <v>-1.9199999999999998E-2</v>
      </c>
      <c r="AB223" s="20">
        <v>-8.1699999999999995E-2</v>
      </c>
      <c r="AC223" s="20">
        <v>-4.8300000000000003E-2</v>
      </c>
      <c r="AD223" s="20">
        <v>6.5299999999999997E-2</v>
      </c>
      <c r="AE223" s="20">
        <v>-7.9200000000000007E-2</v>
      </c>
      <c r="AF223" s="20">
        <v>-3.2300000000000002E-2</v>
      </c>
      <c r="AG223" s="20">
        <v>9.1600000000000001E-2</v>
      </c>
      <c r="AH223" s="20">
        <v>-0.16439999999999999</v>
      </c>
      <c r="AI223" s="20">
        <v>-0.21479999999999999</v>
      </c>
      <c r="AJ223" s="20">
        <v>-0.13420000000000001</v>
      </c>
      <c r="AK223" s="20">
        <v>-5.2900000000000003E-2</v>
      </c>
      <c r="AL223" s="21">
        <v>0.12640000000000001</v>
      </c>
    </row>
    <row r="224" spans="1:38">
      <c r="A224" s="20">
        <v>0.4385</v>
      </c>
      <c r="B224" s="20">
        <v>-0.17580000000000001</v>
      </c>
      <c r="C224" s="20">
        <v>2.9000000000000001E-2</v>
      </c>
      <c r="D224" s="20">
        <v>-7.8799999999999995E-2</v>
      </c>
      <c r="E224" s="20">
        <v>-1.46E-2</v>
      </c>
      <c r="F224" s="20">
        <v>-0.27910000000000001</v>
      </c>
      <c r="G224" s="20">
        <v>-0.129</v>
      </c>
      <c r="H224" s="20">
        <v>-1.4500000000000001E-2</v>
      </c>
      <c r="I224" s="20">
        <v>-6.4000000000000003E-3</v>
      </c>
      <c r="J224" s="20">
        <v>5.4199999999999998E-2</v>
      </c>
      <c r="K224" s="20">
        <v>6.0199999999999997E-2</v>
      </c>
      <c r="L224" s="20">
        <v>0.23760000000000001</v>
      </c>
      <c r="M224" s="20">
        <v>0.27489999999999998</v>
      </c>
      <c r="N224" s="20">
        <v>0.1042</v>
      </c>
      <c r="O224" s="20">
        <v>0.18210000000000001</v>
      </c>
      <c r="P224" s="20">
        <v>0.10879999999999999</v>
      </c>
      <c r="Q224" s="20">
        <v>-0.1416</v>
      </c>
      <c r="R224" s="20">
        <v>-2.7300000000000001E-2</v>
      </c>
      <c r="S224" s="20">
        <v>-0.35959999999999998</v>
      </c>
      <c r="T224" s="20">
        <v>3.5700000000000003E-2</v>
      </c>
      <c r="U224" s="20">
        <v>5.9400000000000001E-2</v>
      </c>
      <c r="V224" s="20">
        <v>-0.1802</v>
      </c>
      <c r="W224" s="20">
        <v>-0.1163</v>
      </c>
      <c r="X224" s="20">
        <v>-0.1467</v>
      </c>
      <c r="Y224" s="20">
        <v>-0.15090000000000001</v>
      </c>
      <c r="Z224" s="20">
        <v>5.57E-2</v>
      </c>
      <c r="AA224" s="20">
        <v>0.08</v>
      </c>
      <c r="AB224" s="20">
        <v>0.12</v>
      </c>
      <c r="AC224" s="20">
        <v>0.11</v>
      </c>
      <c r="AD224" s="20">
        <v>1.29E-2</v>
      </c>
      <c r="AE224" s="20">
        <v>-5.1000000000000004E-3</v>
      </c>
      <c r="AF224" s="20">
        <v>-0.29870000000000002</v>
      </c>
      <c r="AG224" s="20">
        <v>-0.1588</v>
      </c>
      <c r="AH224" s="20">
        <v>6.2399999999999997E-2</v>
      </c>
      <c r="AI224" s="20">
        <v>0.27489999999999998</v>
      </c>
      <c r="AJ224" s="20">
        <v>1.2999999999999999E-2</v>
      </c>
      <c r="AK224" s="20">
        <v>-5.9700000000000003E-2</v>
      </c>
      <c r="AL224" s="21">
        <v>3.4700000000000002E-2</v>
      </c>
    </row>
    <row r="225" spans="1:38">
      <c r="A225" s="20">
        <v>-0.33389999999999997</v>
      </c>
      <c r="B225" s="20">
        <v>0.42349999999999999</v>
      </c>
      <c r="C225" s="20">
        <v>-0.4133</v>
      </c>
      <c r="D225" s="20">
        <v>1.6000000000000001E-3</v>
      </c>
      <c r="E225" s="20">
        <v>0.2203</v>
      </c>
      <c r="F225" s="20">
        <v>-1.9300000000000001E-2</v>
      </c>
      <c r="G225" s="20">
        <v>-1.77E-2</v>
      </c>
      <c r="H225" s="20">
        <v>0.19650000000000001</v>
      </c>
      <c r="I225" s="20">
        <v>6.9099999999999995E-2</v>
      </c>
      <c r="J225" s="20">
        <v>-8.0000000000000004E-4</v>
      </c>
      <c r="K225" s="20">
        <v>0.1656</v>
      </c>
      <c r="L225" s="20">
        <v>-6.2E-2</v>
      </c>
      <c r="M225" s="20">
        <v>-0.14069999999999999</v>
      </c>
      <c r="N225" s="20">
        <v>0.19339999999999999</v>
      </c>
      <c r="O225" s="20">
        <v>-7.8700000000000006E-2</v>
      </c>
      <c r="P225" s="20">
        <v>-0.05</v>
      </c>
      <c r="Q225" s="20">
        <v>3.3399999999999999E-2</v>
      </c>
      <c r="R225" s="20">
        <v>-7.3700000000000002E-2</v>
      </c>
      <c r="S225" s="20">
        <v>0.14660000000000001</v>
      </c>
      <c r="T225" s="20">
        <v>-0.1658</v>
      </c>
      <c r="U225" s="20">
        <v>-3.9100000000000003E-2</v>
      </c>
      <c r="V225" s="20">
        <v>-4.82E-2</v>
      </c>
      <c r="W225" s="20">
        <v>7.4300000000000005E-2</v>
      </c>
      <c r="X225" s="20">
        <v>-0.193</v>
      </c>
      <c r="Y225" s="20">
        <v>-0.15920000000000001</v>
      </c>
      <c r="Z225" s="20">
        <v>-9.9699999999999997E-2</v>
      </c>
      <c r="AA225" s="20">
        <v>0.1772</v>
      </c>
      <c r="AB225" s="20">
        <v>6.1400000000000003E-2</v>
      </c>
      <c r="AC225" s="20">
        <v>-0.17710000000000001</v>
      </c>
      <c r="AD225" s="20">
        <v>-0.1071</v>
      </c>
      <c r="AE225" s="20">
        <v>0.19270000000000001</v>
      </c>
      <c r="AF225" s="20">
        <v>0.1037</v>
      </c>
      <c r="AG225" s="20">
        <v>-1.21E-2</v>
      </c>
      <c r="AH225" s="20">
        <v>0.1757</v>
      </c>
      <c r="AI225" s="20">
        <v>1.1599999999999999E-2</v>
      </c>
      <c r="AJ225" s="20">
        <v>0.16350000000000001</v>
      </c>
      <c r="AK225" s="20">
        <v>-6.6199999999999995E-2</v>
      </c>
      <c r="AL225" s="21">
        <v>-0.15160000000000001</v>
      </c>
    </row>
    <row r="226" spans="1:38">
      <c r="A226" s="20">
        <v>0.1085</v>
      </c>
      <c r="B226" s="20">
        <v>6.8699999999999997E-2</v>
      </c>
      <c r="C226" s="20">
        <v>0.24740000000000001</v>
      </c>
      <c r="D226" s="20">
        <v>-9.5500000000000002E-2</v>
      </c>
      <c r="E226" s="20">
        <v>2.6200000000000001E-2</v>
      </c>
      <c r="F226" s="20">
        <v>-7.1999999999999995E-2</v>
      </c>
      <c r="G226" s="20">
        <v>0.15279999999999999</v>
      </c>
      <c r="H226" s="20">
        <v>-0.28489999999999999</v>
      </c>
      <c r="I226" s="20">
        <v>0.1187</v>
      </c>
      <c r="J226" s="20">
        <v>-5.4300000000000001E-2</v>
      </c>
      <c r="K226" s="20">
        <v>0.28839999999999999</v>
      </c>
      <c r="L226" s="20">
        <v>8.1100000000000005E-2</v>
      </c>
      <c r="M226" s="20">
        <v>0.30499999999999999</v>
      </c>
      <c r="N226" s="20">
        <v>6.3600000000000004E-2</v>
      </c>
      <c r="O226" s="20">
        <v>5.0500000000000003E-2</v>
      </c>
      <c r="P226" s="20">
        <v>3.7400000000000003E-2</v>
      </c>
      <c r="Q226" s="20">
        <v>0.2064</v>
      </c>
      <c r="R226" s="20">
        <v>2.52E-2</v>
      </c>
      <c r="S226" s="20">
        <v>0.24809999999999999</v>
      </c>
      <c r="T226" s="20">
        <v>-0.33400000000000002</v>
      </c>
      <c r="U226" s="20">
        <v>4.7199999999999999E-2</v>
      </c>
      <c r="V226" s="20">
        <v>0.10390000000000001</v>
      </c>
      <c r="W226" s="20">
        <v>-0.24279999999999999</v>
      </c>
      <c r="X226" s="20">
        <v>7.5700000000000003E-2</v>
      </c>
      <c r="Y226" s="20">
        <v>-0.21659999999999999</v>
      </c>
      <c r="Z226" s="20">
        <v>5.4899999999999997E-2</v>
      </c>
      <c r="AA226" s="20">
        <v>-6.0299999999999999E-2</v>
      </c>
      <c r="AB226" s="20">
        <v>-9.4999999999999998E-3</v>
      </c>
      <c r="AC226" s="20">
        <v>-0.2671</v>
      </c>
      <c r="AD226" s="20">
        <v>-5.8500000000000003E-2</v>
      </c>
      <c r="AE226" s="20">
        <v>-0.2213</v>
      </c>
      <c r="AF226" s="20">
        <v>5.9200000000000003E-2</v>
      </c>
      <c r="AG226" s="20">
        <v>-0.1832</v>
      </c>
      <c r="AH226" s="20">
        <v>6.2199999999999998E-2</v>
      </c>
      <c r="AI226" s="20">
        <v>-0.13669999999999999</v>
      </c>
      <c r="AJ226" s="20">
        <v>-0.1938</v>
      </c>
      <c r="AK226" s="20">
        <v>-0.11409999999999999</v>
      </c>
      <c r="AL226" s="21">
        <v>0.11609999999999999</v>
      </c>
    </row>
    <row r="227" spans="1:38">
      <c r="A227" s="20">
        <v>0.2762</v>
      </c>
      <c r="B227" s="20">
        <v>-0.43120000000000003</v>
      </c>
      <c r="C227" s="20">
        <v>9.4200000000000006E-2</v>
      </c>
      <c r="D227" s="20">
        <v>0.33329999999999999</v>
      </c>
      <c r="E227" s="20">
        <v>0.1245</v>
      </c>
      <c r="F227" s="20">
        <v>-0.21779999999999999</v>
      </c>
      <c r="G227" s="20">
        <v>-3.0599999999999999E-2</v>
      </c>
      <c r="H227" s="20">
        <v>8.8300000000000003E-2</v>
      </c>
      <c r="I227" s="20">
        <v>-0.1072</v>
      </c>
      <c r="J227" s="20">
        <v>-0.2341</v>
      </c>
      <c r="K227" s="20">
        <v>3.6400000000000002E-2</v>
      </c>
      <c r="L227" s="20">
        <v>0.22700000000000001</v>
      </c>
      <c r="M227" s="20">
        <v>-0.29930000000000001</v>
      </c>
      <c r="N227" s="20">
        <v>-8.1199999999999994E-2</v>
      </c>
      <c r="O227" s="20">
        <v>7.3800000000000004E-2</v>
      </c>
      <c r="P227" s="20">
        <v>-0.27829999999999999</v>
      </c>
      <c r="Q227" s="20">
        <v>-1.54E-2</v>
      </c>
      <c r="R227" s="20">
        <v>6.0499999999999998E-2</v>
      </c>
      <c r="S227" s="20">
        <v>-0.1168</v>
      </c>
      <c r="T227" s="20">
        <v>5.16E-2</v>
      </c>
      <c r="U227" s="20">
        <v>0.15140000000000001</v>
      </c>
      <c r="V227" s="20">
        <v>0.1211</v>
      </c>
      <c r="W227" s="20">
        <v>-0.127</v>
      </c>
      <c r="X227" s="20">
        <v>0.29649999999999999</v>
      </c>
      <c r="Y227" s="20">
        <v>-5.8099999999999999E-2</v>
      </c>
      <c r="Z227" s="20">
        <v>-0.17419999999999999</v>
      </c>
      <c r="AA227" s="20">
        <v>8.3000000000000001E-3</v>
      </c>
      <c r="AB227" s="20">
        <v>3.4599999999999999E-2</v>
      </c>
      <c r="AC227" s="20">
        <v>-3.6400000000000002E-2</v>
      </c>
      <c r="AD227" s="20">
        <v>2.9999999999999997E-4</v>
      </c>
      <c r="AE227" s="20">
        <v>7.9100000000000004E-2</v>
      </c>
      <c r="AF227" s="20">
        <v>-2.47E-2</v>
      </c>
      <c r="AG227" s="20">
        <v>2.41E-2</v>
      </c>
      <c r="AH227" s="20">
        <v>-3.8600000000000002E-2</v>
      </c>
      <c r="AI227" s="20">
        <v>0.15939999999999999</v>
      </c>
      <c r="AJ227" s="20">
        <v>0.1124</v>
      </c>
      <c r="AK227" s="20">
        <v>-2.81E-2</v>
      </c>
      <c r="AL227" s="21">
        <v>-4.4499999999999998E-2</v>
      </c>
    </row>
    <row r="228" spans="1:38">
      <c r="A228" s="20">
        <v>0.3866</v>
      </c>
      <c r="B228" s="20">
        <v>-0.1789</v>
      </c>
      <c r="C228" s="20">
        <v>0.1217</v>
      </c>
      <c r="D228" s="20">
        <v>-0.28720000000000001</v>
      </c>
      <c r="E228" s="20">
        <v>-0.1731</v>
      </c>
      <c r="F228" s="20">
        <v>0.19320000000000001</v>
      </c>
      <c r="G228" s="20">
        <v>-6.7000000000000002E-3</v>
      </c>
      <c r="H228" s="20">
        <v>4.1300000000000003E-2</v>
      </c>
      <c r="I228" s="20">
        <v>0.22819999999999999</v>
      </c>
      <c r="J228" s="20">
        <v>-7.1199999999999999E-2</v>
      </c>
      <c r="K228" s="20">
        <v>-7.7499999999999999E-2</v>
      </c>
      <c r="L228" s="20">
        <v>-7.0499999999999993E-2</v>
      </c>
      <c r="M228" s="20">
        <v>4.9099999999999998E-2</v>
      </c>
      <c r="N228" s="20">
        <v>-4.9099999999999998E-2</v>
      </c>
      <c r="O228" s="20">
        <v>-0.35270000000000001</v>
      </c>
      <c r="P228" s="20">
        <v>-0.21</v>
      </c>
      <c r="Q228" s="20">
        <v>0.31790000000000002</v>
      </c>
      <c r="R228" s="20">
        <v>5.8799999999999998E-2</v>
      </c>
      <c r="S228" s="20">
        <v>-5.8599999999999999E-2</v>
      </c>
      <c r="T228" s="20">
        <v>-0.27689999999999998</v>
      </c>
      <c r="U228" s="20">
        <v>4.3999999999999997E-2</v>
      </c>
      <c r="V228" s="20">
        <v>-0.1275</v>
      </c>
      <c r="W228" s="20">
        <v>5.9700000000000003E-2</v>
      </c>
      <c r="X228" s="20">
        <v>-0.11990000000000001</v>
      </c>
      <c r="Y228" s="20">
        <v>0.16689999999999999</v>
      </c>
      <c r="Z228" s="20">
        <v>-1.4E-3</v>
      </c>
      <c r="AA228" s="20">
        <v>9.1800000000000007E-2</v>
      </c>
      <c r="AB228" s="20">
        <v>-6.8500000000000005E-2</v>
      </c>
      <c r="AC228" s="20">
        <v>0.192</v>
      </c>
      <c r="AD228" s="20">
        <v>-6.4299999999999996E-2</v>
      </c>
      <c r="AE228" s="20">
        <v>0.1973</v>
      </c>
      <c r="AF228" s="20">
        <v>-5.7200000000000001E-2</v>
      </c>
      <c r="AG228" s="20">
        <v>5.5800000000000002E-2</v>
      </c>
      <c r="AH228" s="20">
        <v>7.17E-2</v>
      </c>
      <c r="AI228" s="20">
        <v>-9.01E-2</v>
      </c>
      <c r="AJ228" s="20">
        <v>-7.5399999999999995E-2</v>
      </c>
      <c r="AK228" s="20">
        <v>-5.9700000000000003E-2</v>
      </c>
      <c r="AL228" s="21">
        <v>0.20030000000000001</v>
      </c>
    </row>
    <row r="229" spans="1:38">
      <c r="A229" s="20">
        <v>0.58720000000000006</v>
      </c>
      <c r="B229" s="20">
        <v>-6.7000000000000004E-2</v>
      </c>
      <c r="C229" s="20">
        <v>0.31659999999999999</v>
      </c>
      <c r="D229" s="20">
        <v>-0.14510000000000001</v>
      </c>
      <c r="E229" s="20">
        <v>2.41E-2</v>
      </c>
      <c r="F229" s="20">
        <v>2.5999999999999999E-2</v>
      </c>
      <c r="G229" s="20">
        <v>5.2400000000000002E-2</v>
      </c>
      <c r="H229" s="20">
        <v>-0.1007</v>
      </c>
      <c r="I229" s="20">
        <v>-0.19370000000000001</v>
      </c>
      <c r="J229" s="20">
        <v>-7.8100000000000003E-2</v>
      </c>
      <c r="K229" s="20">
        <v>2.76E-2</v>
      </c>
      <c r="L229" s="20">
        <v>0.08</v>
      </c>
      <c r="M229" s="20">
        <v>-8.6999999999999994E-2</v>
      </c>
      <c r="N229" s="20">
        <v>3.8E-3</v>
      </c>
      <c r="O229" s="20">
        <v>0.19370000000000001</v>
      </c>
      <c r="P229" s="20">
        <v>-6.7000000000000004E-2</v>
      </c>
      <c r="Q229" s="20">
        <v>-0.20069999999999999</v>
      </c>
      <c r="R229" s="20">
        <v>8.5099999999999995E-2</v>
      </c>
      <c r="S229" s="20">
        <v>-0.1613</v>
      </c>
      <c r="T229" s="20">
        <v>3.7499999999999999E-2</v>
      </c>
      <c r="U229" s="20">
        <v>-4.3200000000000002E-2</v>
      </c>
      <c r="V229" s="20">
        <v>2.5700000000000001E-2</v>
      </c>
      <c r="W229" s="20">
        <v>0.17910000000000001</v>
      </c>
      <c r="X229" s="20">
        <v>1.37E-2</v>
      </c>
      <c r="Y229" s="20">
        <v>0.182</v>
      </c>
      <c r="Z229" s="20">
        <v>6.6699999999999995E-2</v>
      </c>
      <c r="AA229" s="20">
        <v>-0.1051</v>
      </c>
      <c r="AB229" s="20">
        <v>2.7300000000000001E-2</v>
      </c>
      <c r="AC229" s="20">
        <v>-8.6699999999999999E-2</v>
      </c>
      <c r="AD229" s="20">
        <v>0.23849999999999999</v>
      </c>
      <c r="AE229" s="20">
        <v>-8.6E-3</v>
      </c>
      <c r="AF229" s="20">
        <v>-0.33979999999999999</v>
      </c>
      <c r="AG229" s="20">
        <v>-0.1108</v>
      </c>
      <c r="AH229" s="20">
        <v>-0.1686</v>
      </c>
      <c r="AI229" s="20">
        <v>-0.1283</v>
      </c>
      <c r="AJ229" s="20">
        <v>-1.2999999999999999E-3</v>
      </c>
      <c r="AK229" s="20">
        <v>5.0799999999999998E-2</v>
      </c>
      <c r="AL229" s="21">
        <v>-0.12640000000000001</v>
      </c>
    </row>
    <row r="230" spans="1:38">
      <c r="A230" s="20">
        <v>5.9200000000000003E-2</v>
      </c>
      <c r="B230" s="20">
        <v>-0.46949999999999997</v>
      </c>
      <c r="C230" s="20">
        <v>0.20269999999999999</v>
      </c>
      <c r="D230" s="20">
        <v>0.18010000000000001</v>
      </c>
      <c r="E230" s="20">
        <v>0.38490000000000002</v>
      </c>
      <c r="F230" s="20">
        <v>-0.15509999999999999</v>
      </c>
      <c r="G230" s="20">
        <v>0.4194</v>
      </c>
      <c r="H230" s="20">
        <v>-0.27410000000000001</v>
      </c>
      <c r="I230" s="20">
        <v>0.1651</v>
      </c>
      <c r="J230" s="20">
        <v>-2.7000000000000001E-3</v>
      </c>
      <c r="K230" s="20">
        <v>0.11260000000000001</v>
      </c>
      <c r="L230" s="20">
        <v>-0.1227</v>
      </c>
      <c r="M230" s="20">
        <v>0.1459</v>
      </c>
      <c r="N230" s="20">
        <v>-0.123</v>
      </c>
      <c r="O230" s="20">
        <v>2.3800000000000002E-2</v>
      </c>
      <c r="P230" s="20">
        <v>6.9599999999999995E-2</v>
      </c>
      <c r="Q230" s="20">
        <v>3.4200000000000001E-2</v>
      </c>
      <c r="R230" s="20">
        <v>3.39E-2</v>
      </c>
      <c r="S230" s="20">
        <v>-8.1500000000000003E-2</v>
      </c>
      <c r="T230" s="20">
        <v>1.7399999999999999E-2</v>
      </c>
      <c r="U230" s="20">
        <v>8.2699999999999996E-2</v>
      </c>
      <c r="V230" s="20">
        <v>-0.1258</v>
      </c>
      <c r="W230" s="20">
        <v>2.53E-2</v>
      </c>
      <c r="X230" s="20">
        <v>6.6500000000000004E-2</v>
      </c>
      <c r="Y230" s="20">
        <v>0.14099999999999999</v>
      </c>
      <c r="Z230" s="20">
        <v>3.0200000000000001E-2</v>
      </c>
      <c r="AA230" s="20">
        <v>-0.1981</v>
      </c>
      <c r="AB230" s="20">
        <v>-4.1799999999999997E-2</v>
      </c>
      <c r="AC230" s="20">
        <v>-8.3000000000000004E-2</v>
      </c>
      <c r="AD230" s="20">
        <v>-9.1999999999999998E-3</v>
      </c>
      <c r="AE230" s="20">
        <v>-0.1709</v>
      </c>
      <c r="AF230" s="20">
        <v>-5.0700000000000002E-2</v>
      </c>
      <c r="AG230" s="20">
        <v>-0.1517</v>
      </c>
      <c r="AH230" s="20">
        <v>-0.13639999999999999</v>
      </c>
      <c r="AI230" s="20">
        <v>1.9800000000000002E-2</v>
      </c>
      <c r="AJ230" s="20">
        <v>-6.1000000000000004E-3</v>
      </c>
      <c r="AK230" s="20">
        <v>-4.24E-2</v>
      </c>
      <c r="AL230" s="21">
        <v>3.3300000000000003E-2</v>
      </c>
    </row>
    <row r="231" spans="1:38">
      <c r="A231" s="20">
        <v>-0.28499999999999998</v>
      </c>
      <c r="B231" s="20">
        <v>0.56510000000000005</v>
      </c>
      <c r="C231" s="20">
        <v>-0.28949999999999998</v>
      </c>
      <c r="D231" s="20">
        <v>-8.3699999999999997E-2</v>
      </c>
      <c r="E231" s="20">
        <v>0.19739999999999999</v>
      </c>
      <c r="F231" s="20">
        <v>-9.6500000000000002E-2</v>
      </c>
      <c r="G231" s="20">
        <v>3.04E-2</v>
      </c>
      <c r="H231" s="20">
        <v>0.12280000000000001</v>
      </c>
      <c r="I231" s="20">
        <v>0.1331</v>
      </c>
      <c r="J231" s="20">
        <v>2.7900000000000001E-2</v>
      </c>
      <c r="K231" s="20">
        <v>0.25159999999999999</v>
      </c>
      <c r="L231" s="20">
        <v>-0.1724</v>
      </c>
      <c r="M231" s="20">
        <v>-0.12529999999999999</v>
      </c>
      <c r="N231" s="20">
        <v>0.24099999999999999</v>
      </c>
      <c r="O231" s="20">
        <v>-7.7000000000000002E-3</v>
      </c>
      <c r="P231" s="20">
        <v>-4.2599999999999999E-2</v>
      </c>
      <c r="Q231" s="20">
        <v>6.3299999999999995E-2</v>
      </c>
      <c r="R231" s="20">
        <v>-6.2600000000000003E-2</v>
      </c>
      <c r="S231" s="20">
        <v>3.5099999999999999E-2</v>
      </c>
      <c r="T231" s="20">
        <v>1.2999999999999999E-2</v>
      </c>
      <c r="U231" s="20">
        <v>-1.6999999999999999E-3</v>
      </c>
      <c r="V231" s="20">
        <v>7.3800000000000004E-2</v>
      </c>
      <c r="W231" s="20">
        <v>-0.2298</v>
      </c>
      <c r="X231" s="20">
        <v>-5.6599999999999998E-2</v>
      </c>
      <c r="Y231" s="20">
        <v>-0.21</v>
      </c>
      <c r="Z231" s="20">
        <v>1.9400000000000001E-2</v>
      </c>
      <c r="AA231" s="20">
        <v>0.2334</v>
      </c>
      <c r="AB231" s="20">
        <v>-2.12E-2</v>
      </c>
      <c r="AC231" s="20">
        <v>-4.8800000000000003E-2</v>
      </c>
      <c r="AD231" s="20">
        <v>-0.1046</v>
      </c>
      <c r="AE231" s="20">
        <v>0.1323</v>
      </c>
      <c r="AF231" s="20">
        <v>2.46E-2</v>
      </c>
      <c r="AG231" s="20">
        <v>-0.12640000000000001</v>
      </c>
      <c r="AH231" s="20">
        <v>9.6000000000000002E-2</v>
      </c>
      <c r="AI231" s="20">
        <v>-0.1321</v>
      </c>
      <c r="AJ231" s="20">
        <v>-3.6200000000000003E-2</v>
      </c>
      <c r="AK231" s="20">
        <v>-1.9400000000000001E-2</v>
      </c>
      <c r="AL231" s="21">
        <v>-0.1061</v>
      </c>
    </row>
    <row r="232" spans="1:38">
      <c r="A232" s="20">
        <v>0.31859999999999999</v>
      </c>
      <c r="B232" s="20">
        <v>8.0399999999999999E-2</v>
      </c>
      <c r="C232" s="20">
        <v>0.1153</v>
      </c>
      <c r="D232" s="20">
        <v>-0.32390000000000002</v>
      </c>
      <c r="E232" s="20">
        <v>-0.14180000000000001</v>
      </c>
      <c r="F232" s="20">
        <v>0.46429999999999999</v>
      </c>
      <c r="G232" s="20">
        <v>-0.18840000000000001</v>
      </c>
      <c r="H232" s="20">
        <v>0.158</v>
      </c>
      <c r="I232" s="20">
        <v>-0.13439999999999999</v>
      </c>
      <c r="J232" s="20">
        <v>0.1273</v>
      </c>
      <c r="K232" s="20">
        <v>0.2238</v>
      </c>
      <c r="L232" s="20">
        <v>-6.4500000000000002E-2</v>
      </c>
      <c r="M232" s="20">
        <v>5.5300000000000002E-2</v>
      </c>
      <c r="N232" s="20">
        <v>-0.16980000000000001</v>
      </c>
      <c r="O232" s="20">
        <v>4.4299999999999999E-2</v>
      </c>
      <c r="P232" s="20">
        <v>-0.23080000000000001</v>
      </c>
      <c r="Q232" s="20">
        <v>0.1192</v>
      </c>
      <c r="R232" s="20">
        <v>6.8900000000000003E-2</v>
      </c>
      <c r="S232" s="20">
        <v>-3.09E-2</v>
      </c>
      <c r="T232" s="20">
        <v>-0.24729999999999999</v>
      </c>
      <c r="U232" s="20">
        <v>-4.5600000000000002E-2</v>
      </c>
      <c r="V232" s="20">
        <v>6.6E-3</v>
      </c>
      <c r="W232" s="20">
        <v>0.14829999999999999</v>
      </c>
      <c r="X232" s="20">
        <v>-0.18290000000000001</v>
      </c>
      <c r="Y232" s="20">
        <v>-7.2300000000000003E-2</v>
      </c>
      <c r="Z232" s="20">
        <v>6.2899999999999998E-2</v>
      </c>
      <c r="AA232" s="20">
        <v>8.1799999999999998E-2</v>
      </c>
      <c r="AB232" s="20">
        <v>-4.4499999999999998E-2</v>
      </c>
      <c r="AC232" s="20">
        <v>-9.7500000000000003E-2</v>
      </c>
      <c r="AD232" s="20">
        <v>-3.5900000000000001E-2</v>
      </c>
      <c r="AE232" s="20">
        <v>3.2500000000000001E-2</v>
      </c>
      <c r="AF232" s="20">
        <v>1.0500000000000001E-2</v>
      </c>
      <c r="AG232" s="20">
        <v>-6.4500000000000002E-2</v>
      </c>
      <c r="AH232" s="20">
        <v>7.7299999999999994E-2</v>
      </c>
      <c r="AI232" s="20">
        <v>-5.74E-2</v>
      </c>
      <c r="AJ232" s="20">
        <v>-3.8999999999999998E-3</v>
      </c>
      <c r="AK232" s="20">
        <v>-0.27489999999999998</v>
      </c>
      <c r="AL232" s="21">
        <v>0.2112</v>
      </c>
    </row>
    <row r="233" spans="1:38">
      <c r="A233" s="20">
        <v>-0.1394</v>
      </c>
      <c r="B233" s="20">
        <v>-0.3009</v>
      </c>
      <c r="C233" s="20">
        <v>0.25019999999999998</v>
      </c>
      <c r="D233" s="20">
        <v>5.8400000000000001E-2</v>
      </c>
      <c r="E233" s="20">
        <v>7.3499999999999996E-2</v>
      </c>
      <c r="F233" s="20">
        <v>-5.1400000000000001E-2</v>
      </c>
      <c r="G233" s="20">
        <v>-0.22539999999999999</v>
      </c>
      <c r="H233" s="20">
        <v>-0.26329999999999998</v>
      </c>
      <c r="I233" s="20">
        <v>0.44119999999999998</v>
      </c>
      <c r="J233" s="20">
        <v>0.41270000000000001</v>
      </c>
      <c r="K233" s="20">
        <v>7.5800000000000006E-2</v>
      </c>
      <c r="L233" s="20">
        <v>0.1615</v>
      </c>
      <c r="M233" s="20">
        <v>6.1699999999999998E-2</v>
      </c>
      <c r="N233" s="20">
        <v>-0.2495</v>
      </c>
      <c r="O233" s="20">
        <v>-7.4200000000000002E-2</v>
      </c>
      <c r="P233" s="20">
        <v>-9.7600000000000006E-2</v>
      </c>
      <c r="Q233" s="20">
        <v>0.1002</v>
      </c>
      <c r="R233" s="20">
        <v>8.5099999999999995E-2</v>
      </c>
      <c r="S233" s="20">
        <v>-0.1898</v>
      </c>
      <c r="T233" s="20">
        <v>1.8599999999999998E-2</v>
      </c>
      <c r="U233" s="20">
        <v>7.1000000000000004E-3</v>
      </c>
      <c r="V233" s="20">
        <v>0.1169</v>
      </c>
      <c r="W233" s="20">
        <v>3.44E-2</v>
      </c>
      <c r="X233" s="20">
        <v>6.3299999999999995E-2</v>
      </c>
      <c r="Y233" s="20">
        <v>-8.3000000000000001E-3</v>
      </c>
      <c r="Z233" s="20">
        <v>-0.1236</v>
      </c>
      <c r="AA233" s="20">
        <v>0.1182</v>
      </c>
      <c r="AB233" s="20">
        <v>0.15640000000000001</v>
      </c>
      <c r="AC233" s="20">
        <v>-7.1300000000000002E-2</v>
      </c>
      <c r="AD233" s="20">
        <v>8.2500000000000004E-2</v>
      </c>
      <c r="AE233" s="20">
        <v>-0.12620000000000001</v>
      </c>
      <c r="AF233" s="20">
        <v>-0.14449999999999999</v>
      </c>
      <c r="AG233" s="20">
        <v>-2.5999999999999999E-2</v>
      </c>
      <c r="AH233" s="20">
        <v>-0.1207</v>
      </c>
      <c r="AI233" s="20">
        <v>-0.1368</v>
      </c>
      <c r="AJ233" s="20">
        <v>3.44E-2</v>
      </c>
      <c r="AK233" s="20">
        <v>-6.8099999999999994E-2</v>
      </c>
      <c r="AL233" s="21">
        <v>5.5599999999999997E-2</v>
      </c>
    </row>
    <row r="234" spans="1:38">
      <c r="A234" s="20">
        <v>0.52500000000000002</v>
      </c>
      <c r="B234" s="20">
        <v>4.7899999999999998E-2</v>
      </c>
      <c r="C234" s="20">
        <v>-7.0800000000000002E-2</v>
      </c>
      <c r="D234" s="20">
        <v>0.2177</v>
      </c>
      <c r="E234" s="20">
        <v>-0.17199999999999999</v>
      </c>
      <c r="F234" s="20">
        <v>2.6599999999999999E-2</v>
      </c>
      <c r="G234" s="20">
        <v>0.26889999999999997</v>
      </c>
      <c r="H234" s="20">
        <v>-0.17399999999999999</v>
      </c>
      <c r="I234" s="20">
        <v>0.11169999999999999</v>
      </c>
      <c r="J234" s="20">
        <v>-0.184</v>
      </c>
      <c r="K234" s="20">
        <v>-0.2445</v>
      </c>
      <c r="L234" s="20">
        <v>-4.7899999999999998E-2</v>
      </c>
      <c r="M234" s="20">
        <v>4.4299999999999999E-2</v>
      </c>
      <c r="N234" s="20">
        <v>1.67E-2</v>
      </c>
      <c r="O234" s="20">
        <v>4.4299999999999999E-2</v>
      </c>
      <c r="P234" s="20">
        <v>1.77E-2</v>
      </c>
      <c r="Q234" s="20">
        <v>-0.21249999999999999</v>
      </c>
      <c r="R234" s="20">
        <v>-0.1991</v>
      </c>
      <c r="S234" s="20">
        <v>-0.17130000000000001</v>
      </c>
      <c r="T234" s="20">
        <v>-6.2700000000000006E-2</v>
      </c>
      <c r="U234" s="20">
        <v>0.27589999999999998</v>
      </c>
      <c r="V234" s="20">
        <v>0.04</v>
      </c>
      <c r="W234" s="20">
        <v>9.2799999999999994E-2</v>
      </c>
      <c r="X234" s="20">
        <v>7.1099999999999997E-2</v>
      </c>
      <c r="Y234" s="20">
        <v>-8.7599999999999997E-2</v>
      </c>
      <c r="Z234" s="20">
        <v>-9.7600000000000006E-2</v>
      </c>
      <c r="AA234" s="20">
        <v>6.2199999999999998E-2</v>
      </c>
      <c r="AB234" s="20">
        <v>0.106</v>
      </c>
      <c r="AC234" s="20">
        <v>-0.23710000000000001</v>
      </c>
      <c r="AD234" s="20">
        <v>3.6600000000000001E-2</v>
      </c>
      <c r="AE234" s="20">
        <v>-0.1103</v>
      </c>
      <c r="AF234" s="20">
        <v>5.7000000000000002E-3</v>
      </c>
      <c r="AG234" s="20">
        <v>-3.1099999999999999E-2</v>
      </c>
      <c r="AH234" s="20">
        <v>0.2747</v>
      </c>
      <c r="AI234" s="20">
        <v>-8.0199999999999994E-2</v>
      </c>
      <c r="AJ234" s="20">
        <v>8.7800000000000003E-2</v>
      </c>
      <c r="AK234" s="20">
        <v>-6.6000000000000003E-2</v>
      </c>
      <c r="AL234" s="21">
        <v>-0.1321</v>
      </c>
    </row>
    <row r="235" spans="1:38">
      <c r="A235" s="20">
        <v>2.01E-2</v>
      </c>
      <c r="B235" s="20">
        <v>7.6E-3</v>
      </c>
      <c r="C235" s="20">
        <v>-7.1199999999999999E-2</v>
      </c>
      <c r="D235" s="20">
        <v>-0.12959999999999999</v>
      </c>
      <c r="E235" s="20">
        <v>-0.35370000000000001</v>
      </c>
      <c r="F235" s="20">
        <v>-4.2999999999999997E-2</v>
      </c>
      <c r="G235" s="20">
        <v>-6.0000000000000001E-3</v>
      </c>
      <c r="H235" s="20">
        <v>-9.5500000000000002E-2</v>
      </c>
      <c r="I235" s="20">
        <v>8.5599999999999996E-2</v>
      </c>
      <c r="J235" s="20">
        <v>5.6099999999999997E-2</v>
      </c>
      <c r="K235" s="20">
        <v>-8.2400000000000001E-2</v>
      </c>
      <c r="L235" s="20">
        <v>0.1085</v>
      </c>
      <c r="M235" s="20">
        <v>-0.1633</v>
      </c>
      <c r="N235" s="20">
        <v>0.61850000000000005</v>
      </c>
      <c r="O235" s="20">
        <v>-6.13E-2</v>
      </c>
      <c r="P235" s="20">
        <v>-1.5100000000000001E-2</v>
      </c>
      <c r="Q235" s="20">
        <v>6.0000000000000001E-3</v>
      </c>
      <c r="R235" s="20">
        <v>4.7000000000000002E-3</v>
      </c>
      <c r="S235" s="20">
        <v>3.8100000000000002E-2</v>
      </c>
      <c r="T235" s="20">
        <v>0.43769999999999998</v>
      </c>
      <c r="U235" s="20">
        <v>-0.12989999999999999</v>
      </c>
      <c r="V235" s="20">
        <v>3.9600000000000003E-2</v>
      </c>
      <c r="W235" s="20">
        <v>-7.7499999999999999E-2</v>
      </c>
      <c r="X235" s="20">
        <v>0.15759999999999999</v>
      </c>
      <c r="Y235" s="20">
        <v>0.18490000000000001</v>
      </c>
      <c r="Z235" s="20">
        <v>-8.1900000000000001E-2</v>
      </c>
      <c r="AA235" s="20">
        <v>7.3000000000000001E-3</v>
      </c>
      <c r="AB235" s="20">
        <v>9.0300000000000005E-2</v>
      </c>
      <c r="AC235" s="20">
        <v>-5.3699999999999998E-2</v>
      </c>
      <c r="AD235" s="20">
        <v>0.09</v>
      </c>
      <c r="AE235" s="20">
        <v>-6.3100000000000003E-2</v>
      </c>
      <c r="AF235" s="20">
        <v>-0.1182</v>
      </c>
      <c r="AG235" s="20">
        <v>-0.2102</v>
      </c>
      <c r="AH235" s="20">
        <v>8.43E-2</v>
      </c>
      <c r="AI235" s="20">
        <v>-9.4700000000000006E-2</v>
      </c>
      <c r="AJ235" s="20">
        <v>-1.6000000000000001E-3</v>
      </c>
      <c r="AK235" s="20">
        <v>-9.3600000000000003E-2</v>
      </c>
      <c r="AL235" s="21">
        <v>-9.9400000000000002E-2</v>
      </c>
    </row>
    <row r="236" spans="1:38">
      <c r="A236" s="20">
        <v>9.5799999999999996E-2</v>
      </c>
      <c r="B236" s="20">
        <v>-1.5800000000000002E-2</v>
      </c>
      <c r="C236" s="20">
        <v>0.31559999999999999</v>
      </c>
      <c r="D236" s="20">
        <v>-7.5999999999999998E-2</v>
      </c>
      <c r="E236" s="20">
        <v>9.1200000000000003E-2</v>
      </c>
      <c r="F236" s="20">
        <v>-0.28570000000000001</v>
      </c>
      <c r="G236" s="20">
        <v>6.1999999999999998E-3</v>
      </c>
      <c r="H236" s="20">
        <v>-7.22E-2</v>
      </c>
      <c r="I236" s="20">
        <v>4.36E-2</v>
      </c>
      <c r="J236" s="20">
        <v>5.3499999999999999E-2</v>
      </c>
      <c r="K236" s="20">
        <v>-0.1348</v>
      </c>
      <c r="L236" s="20">
        <v>1.0200000000000001E-2</v>
      </c>
      <c r="M236" s="20">
        <v>-1.66E-2</v>
      </c>
      <c r="N236" s="20">
        <v>0.1431</v>
      </c>
      <c r="O236" s="20">
        <v>0.432</v>
      </c>
      <c r="P236" s="20">
        <v>-0.1065</v>
      </c>
      <c r="Q236" s="20">
        <v>-2.0999999999999999E-3</v>
      </c>
      <c r="R236" s="20">
        <v>0.184</v>
      </c>
      <c r="S236" s="20">
        <v>-0.1244</v>
      </c>
      <c r="T236" s="20">
        <v>-8.5599999999999996E-2</v>
      </c>
      <c r="U236" s="20">
        <v>-0.1099</v>
      </c>
      <c r="V236" s="20">
        <v>-3.5000000000000003E-2</v>
      </c>
      <c r="W236" s="20">
        <v>-0.3453</v>
      </c>
      <c r="X236" s="20">
        <v>-0.1731</v>
      </c>
      <c r="Y236" s="20">
        <v>0.32819999999999999</v>
      </c>
      <c r="Z236" s="20">
        <v>-0.23780000000000001</v>
      </c>
      <c r="AA236" s="20">
        <v>9.4200000000000006E-2</v>
      </c>
      <c r="AB236" s="20">
        <v>-4.07E-2</v>
      </c>
      <c r="AC236" s="20">
        <v>-9.98E-2</v>
      </c>
      <c r="AD236" s="20">
        <v>-7.4399999999999994E-2</v>
      </c>
      <c r="AE236" s="20">
        <v>-5.9900000000000002E-2</v>
      </c>
      <c r="AF236" s="20">
        <v>-7.8399999999999997E-2</v>
      </c>
      <c r="AG236" s="20">
        <v>0.23619999999999999</v>
      </c>
      <c r="AH236" s="20">
        <v>-2.3E-2</v>
      </c>
      <c r="AI236" s="20">
        <v>2.0899999999999998E-2</v>
      </c>
      <c r="AJ236" s="20">
        <v>-0.15590000000000001</v>
      </c>
      <c r="AK236" s="20">
        <v>0.1744</v>
      </c>
      <c r="AL236" s="21">
        <v>0.13270000000000001</v>
      </c>
    </row>
    <row r="237" spans="1:38">
      <c r="A237" s="20">
        <v>-0.3634</v>
      </c>
      <c r="B237" s="20">
        <v>7.4300000000000005E-2</v>
      </c>
      <c r="C237" s="20">
        <v>-0.1061</v>
      </c>
      <c r="D237" s="20">
        <v>-9.7500000000000003E-2</v>
      </c>
      <c r="E237" s="20">
        <v>-0.26150000000000001</v>
      </c>
      <c r="F237" s="20">
        <v>0.26419999999999999</v>
      </c>
      <c r="G237" s="20">
        <v>-4.4699999999999997E-2</v>
      </c>
      <c r="H237" s="20">
        <v>0.33650000000000002</v>
      </c>
      <c r="I237" s="20">
        <v>0.15989999999999999</v>
      </c>
      <c r="J237" s="20">
        <v>-8.9200000000000002E-2</v>
      </c>
      <c r="K237" s="20">
        <v>-5.4999999999999997E-3</v>
      </c>
      <c r="L237" s="20">
        <v>0.1181</v>
      </c>
      <c r="M237" s="20">
        <v>-6.3100000000000003E-2</v>
      </c>
      <c r="N237" s="20">
        <v>-2.18E-2</v>
      </c>
      <c r="O237" s="20">
        <v>-1.21E-2</v>
      </c>
      <c r="P237" s="20">
        <v>0.18740000000000001</v>
      </c>
      <c r="Q237" s="20">
        <v>-8.3000000000000001E-3</v>
      </c>
      <c r="R237" s="20">
        <v>3.2099999999999997E-2</v>
      </c>
      <c r="S237" s="20">
        <v>-0.12989999999999999</v>
      </c>
      <c r="T237" s="20">
        <v>0.2354</v>
      </c>
      <c r="U237" s="20">
        <v>1.61E-2</v>
      </c>
      <c r="V237" s="20">
        <v>-0.26829999999999998</v>
      </c>
      <c r="W237" s="20">
        <v>-0.24390000000000001</v>
      </c>
      <c r="X237" s="20">
        <v>2.5600000000000001E-2</v>
      </c>
      <c r="Y237" s="20">
        <v>-9.7500000000000003E-2</v>
      </c>
      <c r="Z237" s="20">
        <v>9.1999999999999998E-2</v>
      </c>
      <c r="AA237" s="20">
        <v>-0.1807</v>
      </c>
      <c r="AB237" s="20">
        <v>-0.1724</v>
      </c>
      <c r="AC237" s="20">
        <v>0.214</v>
      </c>
      <c r="AD237" s="20">
        <v>0.151</v>
      </c>
      <c r="AE237" s="20">
        <v>-3.1800000000000002E-2</v>
      </c>
      <c r="AF237" s="20">
        <v>0.21870000000000001</v>
      </c>
      <c r="AG237" s="20">
        <v>0.20799999999999999</v>
      </c>
      <c r="AH237" s="20">
        <v>0.10349999999999999</v>
      </c>
      <c r="AI237" s="20">
        <v>-0.1835</v>
      </c>
      <c r="AJ237" s="20">
        <v>5.0900000000000001E-2</v>
      </c>
      <c r="AK237" s="20">
        <v>-2.7300000000000001E-2</v>
      </c>
      <c r="AL237" s="21">
        <v>-8.0699999999999994E-2</v>
      </c>
    </row>
    <row r="238" spans="1:38">
      <c r="A238" s="20">
        <v>2.18E-2</v>
      </c>
      <c r="B238" s="20">
        <v>-0.30120000000000002</v>
      </c>
      <c r="C238" s="20">
        <v>7.1300000000000002E-2</v>
      </c>
      <c r="D238" s="20">
        <v>-0.14360000000000001</v>
      </c>
      <c r="E238" s="20">
        <v>-1.2E-2</v>
      </c>
      <c r="F238" s="20">
        <v>-0.1169</v>
      </c>
      <c r="G238" s="20">
        <v>-0.1618</v>
      </c>
      <c r="H238" s="20">
        <v>0.15110000000000001</v>
      </c>
      <c r="I238" s="20">
        <v>-0.13189999999999999</v>
      </c>
      <c r="J238" s="20">
        <v>0.214</v>
      </c>
      <c r="K238" s="20">
        <v>-0.1062</v>
      </c>
      <c r="L238" s="20">
        <v>0.10290000000000001</v>
      </c>
      <c r="M238" s="20">
        <v>0.1143</v>
      </c>
      <c r="N238" s="20">
        <v>0.1706</v>
      </c>
      <c r="O238" s="20">
        <v>0.24030000000000001</v>
      </c>
      <c r="P238" s="20">
        <v>9.0200000000000002E-2</v>
      </c>
      <c r="Q238" s="20">
        <v>-0.15629999999999999</v>
      </c>
      <c r="R238" s="20">
        <v>0.2485</v>
      </c>
      <c r="S238" s="20">
        <v>-0.1042</v>
      </c>
      <c r="T238" s="20">
        <v>0.19439999999999999</v>
      </c>
      <c r="U238" s="20">
        <v>-7.85E-2</v>
      </c>
      <c r="V238" s="20">
        <v>-0.26540000000000002</v>
      </c>
      <c r="W238" s="20">
        <v>-0.18720000000000001</v>
      </c>
      <c r="X238" s="20">
        <v>0.2954</v>
      </c>
      <c r="Y238" s="20">
        <v>0.10780000000000001</v>
      </c>
      <c r="Z238" s="20">
        <v>-0.20610000000000001</v>
      </c>
      <c r="AA238" s="20">
        <v>3.5499999999999997E-2</v>
      </c>
      <c r="AB238" s="20">
        <v>-0.16220000000000001</v>
      </c>
      <c r="AC238" s="20">
        <v>-0.1163</v>
      </c>
      <c r="AD238" s="20">
        <v>-9.74E-2</v>
      </c>
      <c r="AE238" s="20">
        <v>-7.4999999999999997E-3</v>
      </c>
      <c r="AF238" s="20">
        <v>0.36209999999999998</v>
      </c>
      <c r="AG238" s="20">
        <v>0.1273</v>
      </c>
      <c r="AH238" s="20">
        <v>-2.6700000000000002E-2</v>
      </c>
      <c r="AI238" s="20">
        <v>-0.1123</v>
      </c>
      <c r="AJ238" s="20">
        <v>-7.3599999999999999E-2</v>
      </c>
      <c r="AK238" s="20">
        <v>-9.9000000000000005E-2</v>
      </c>
      <c r="AL238" s="21">
        <v>0.113</v>
      </c>
    </row>
    <row r="239" spans="1:38">
      <c r="A239" s="20">
        <v>0.2397</v>
      </c>
      <c r="B239" s="20">
        <v>-0.1082</v>
      </c>
      <c r="C239" s="20">
        <v>0.15390000000000001</v>
      </c>
      <c r="D239" s="20">
        <v>0.11609999999999999</v>
      </c>
      <c r="E239" s="20">
        <v>0.32140000000000002</v>
      </c>
      <c r="F239" s="20">
        <v>-0.27979999999999999</v>
      </c>
      <c r="G239" s="20">
        <v>3.7100000000000001E-2</v>
      </c>
      <c r="H239" s="20">
        <v>7.4200000000000002E-2</v>
      </c>
      <c r="I239" s="20">
        <v>0.14050000000000001</v>
      </c>
      <c r="J239" s="20">
        <v>-0.1363</v>
      </c>
      <c r="K239" s="20">
        <v>-4.53E-2</v>
      </c>
      <c r="L239" s="20">
        <v>-0.23630000000000001</v>
      </c>
      <c r="M239" s="20">
        <v>-3.3700000000000001E-2</v>
      </c>
      <c r="N239" s="20">
        <v>0.1056</v>
      </c>
      <c r="O239" s="20">
        <v>-1.09E-2</v>
      </c>
      <c r="P239" s="20">
        <v>-0.31569999999999998</v>
      </c>
      <c r="Q239" s="20">
        <v>3.8600000000000002E-2</v>
      </c>
      <c r="R239" s="20">
        <v>4.7899999999999998E-2</v>
      </c>
      <c r="S239" s="20">
        <v>-0.17899999999999999</v>
      </c>
      <c r="T239" s="20">
        <v>0.16889999999999999</v>
      </c>
      <c r="U239" s="20">
        <v>7.6799999999999993E-2</v>
      </c>
      <c r="V239" s="20">
        <v>9.06E-2</v>
      </c>
      <c r="W239" s="20">
        <v>8.9099999999999999E-2</v>
      </c>
      <c r="X239" s="20">
        <v>3.4099999999999998E-2</v>
      </c>
      <c r="Y239" s="20">
        <v>-1.4200000000000001E-2</v>
      </c>
      <c r="Z239" s="20">
        <v>8.9099999999999999E-2</v>
      </c>
      <c r="AA239" s="20">
        <v>0.22020000000000001</v>
      </c>
      <c r="AB239" s="20">
        <v>-0.10970000000000001</v>
      </c>
      <c r="AC239" s="20">
        <v>0.28539999999999999</v>
      </c>
      <c r="AD239" s="20">
        <v>-0.38879999999999998</v>
      </c>
      <c r="AE239" s="20">
        <v>-2.4299999999999999E-2</v>
      </c>
      <c r="AF239" s="20">
        <v>-0.18049999999999999</v>
      </c>
      <c r="AG239" s="20">
        <v>6.5500000000000003E-2</v>
      </c>
      <c r="AH239" s="20">
        <v>-7.0800000000000002E-2</v>
      </c>
      <c r="AI239" s="20">
        <v>-1.54E-2</v>
      </c>
      <c r="AJ239" s="20">
        <v>-0.1472</v>
      </c>
      <c r="AK239" s="20">
        <v>9.6299999999999997E-2</v>
      </c>
      <c r="AL239" s="21">
        <v>-0.18540000000000001</v>
      </c>
    </row>
    <row r="240" spans="1:38">
      <c r="A240" s="20">
        <v>-0.35720000000000002</v>
      </c>
      <c r="B240" s="20">
        <v>0.22559999999999999</v>
      </c>
      <c r="C240" s="20">
        <v>0.15409999999999999</v>
      </c>
      <c r="D240" s="20">
        <v>-3.8699999999999998E-2</v>
      </c>
      <c r="E240" s="20">
        <v>7.6300000000000007E-2</v>
      </c>
      <c r="F240" s="20">
        <v>2.4199999999999999E-2</v>
      </c>
      <c r="G240" s="20">
        <v>0.1399</v>
      </c>
      <c r="H240" s="20">
        <v>4.36E-2</v>
      </c>
      <c r="I240" s="20">
        <v>3.3000000000000002E-2</v>
      </c>
      <c r="J240" s="20">
        <v>-0.24210000000000001</v>
      </c>
      <c r="K240" s="20">
        <v>0.14749999999999999</v>
      </c>
      <c r="L240" s="20">
        <v>0.2487</v>
      </c>
      <c r="M240" s="20">
        <v>-2.0799999999999999E-2</v>
      </c>
      <c r="N240" s="20">
        <v>-0.14580000000000001</v>
      </c>
      <c r="O240" s="20">
        <v>-0.10340000000000001</v>
      </c>
      <c r="P240" s="20">
        <v>0.2452</v>
      </c>
      <c r="Q240" s="20">
        <v>0.3498</v>
      </c>
      <c r="R240" s="20">
        <v>-0.14530000000000001</v>
      </c>
      <c r="S240" s="20">
        <v>0.29049999999999998</v>
      </c>
      <c r="T240" s="20">
        <v>4.1599999999999998E-2</v>
      </c>
      <c r="U240" s="20">
        <v>-5.9799999999999999E-2</v>
      </c>
      <c r="V240" s="20">
        <v>-6.6100000000000006E-2</v>
      </c>
      <c r="W240" s="20">
        <v>-1.5100000000000001E-2</v>
      </c>
      <c r="X240" s="20">
        <v>-8.5000000000000006E-3</v>
      </c>
      <c r="Y240" s="20">
        <v>-0.24410000000000001</v>
      </c>
      <c r="Z240" s="20">
        <v>0.1817</v>
      </c>
      <c r="AA240" s="20">
        <v>-3.6200000000000003E-2</v>
      </c>
      <c r="AB240" s="20">
        <v>-9.5100000000000004E-2</v>
      </c>
      <c r="AC240" s="20">
        <v>-5.7000000000000002E-2</v>
      </c>
      <c r="AD240" s="20">
        <v>-0.19819999999999999</v>
      </c>
      <c r="AE240" s="20">
        <v>0.1119</v>
      </c>
      <c r="AF240" s="20">
        <v>-9.4299999999999995E-2</v>
      </c>
      <c r="AG240" s="20">
        <v>-0.17199999999999999</v>
      </c>
      <c r="AH240" s="20">
        <v>0.17030000000000001</v>
      </c>
      <c r="AI240" s="20">
        <v>-0.25180000000000002</v>
      </c>
      <c r="AJ240" s="20">
        <v>-5.6099999999999997E-2</v>
      </c>
      <c r="AK240" s="20">
        <v>-3.1300000000000001E-2</v>
      </c>
      <c r="AL240" s="21">
        <v>-4.1000000000000002E-2</v>
      </c>
    </row>
    <row r="241" spans="1:38">
      <c r="A241" s="20">
        <v>-0.37759999999999999</v>
      </c>
      <c r="B241" s="20">
        <v>-0.2727</v>
      </c>
      <c r="C241" s="20">
        <v>0.30769999999999997</v>
      </c>
      <c r="D241" s="20">
        <v>-1.24E-2</v>
      </c>
      <c r="E241" s="20">
        <v>0.4617</v>
      </c>
      <c r="F241" s="20">
        <v>0.16869999999999999</v>
      </c>
      <c r="G241" s="20">
        <v>0.26779999999999998</v>
      </c>
      <c r="H241" s="20">
        <v>-0.19040000000000001</v>
      </c>
      <c r="I241" s="20">
        <v>-3.5799999999999998E-2</v>
      </c>
      <c r="J241" s="20">
        <v>-0.1696</v>
      </c>
      <c r="K241" s="20">
        <v>-0.15340000000000001</v>
      </c>
      <c r="L241" s="20">
        <v>0.19589999999999999</v>
      </c>
      <c r="M241" s="20">
        <v>3.9600000000000003E-2</v>
      </c>
      <c r="N241" s="20">
        <v>-0.22270000000000001</v>
      </c>
      <c r="O241" s="20">
        <v>-0.1263</v>
      </c>
      <c r="P241" s="20">
        <v>-8.1500000000000003E-2</v>
      </c>
      <c r="Q241" s="20">
        <v>6.7900000000000002E-2</v>
      </c>
      <c r="R241" s="20">
        <v>3.3500000000000002E-2</v>
      </c>
      <c r="S241" s="20">
        <v>-5.1999999999999998E-2</v>
      </c>
      <c r="T241" s="20">
        <v>0.1208</v>
      </c>
      <c r="U241" s="20">
        <v>-2.2499999999999999E-2</v>
      </c>
      <c r="V241" s="20">
        <v>-0.17649999999999999</v>
      </c>
      <c r="W241" s="20">
        <v>8.8099999999999998E-2</v>
      </c>
      <c r="X241" s="20">
        <v>-1.9900000000000001E-2</v>
      </c>
      <c r="Y241" s="20">
        <v>-0.10780000000000001</v>
      </c>
      <c r="Z241" s="20">
        <v>1.5599999999999999E-2</v>
      </c>
      <c r="AA241" s="20">
        <v>-0.03</v>
      </c>
      <c r="AB241" s="20">
        <v>9.1600000000000001E-2</v>
      </c>
      <c r="AC241" s="20">
        <v>-1.6999999999999999E-3</v>
      </c>
      <c r="AD241" s="20">
        <v>-3.61E-2</v>
      </c>
      <c r="AE241" s="20">
        <v>-7.5999999999999998E-2</v>
      </c>
      <c r="AF241" s="20">
        <v>5.4300000000000001E-2</v>
      </c>
      <c r="AG241" s="20">
        <v>3.5000000000000001E-3</v>
      </c>
      <c r="AH241" s="20">
        <v>-8.4400000000000003E-2</v>
      </c>
      <c r="AI241" s="20">
        <v>5.6000000000000001E-2</v>
      </c>
      <c r="AJ241" s="20">
        <v>-6.3600000000000004E-2</v>
      </c>
      <c r="AK241" s="20">
        <v>0.10630000000000001</v>
      </c>
      <c r="AL241" s="21">
        <v>0.23080000000000001</v>
      </c>
    </row>
    <row r="242" spans="1:38">
      <c r="A242" s="20">
        <v>0.2616</v>
      </c>
      <c r="B242" s="20">
        <v>-0.21299999999999999</v>
      </c>
      <c r="C242" s="20">
        <v>0.1021</v>
      </c>
      <c r="D242" s="20">
        <v>9.9099999999999994E-2</v>
      </c>
      <c r="E242" s="20">
        <v>4.5600000000000002E-2</v>
      </c>
      <c r="F242" s="20">
        <v>0.11119999999999999</v>
      </c>
      <c r="G242" s="20">
        <v>-0.19739999999999999</v>
      </c>
      <c r="H242" s="20">
        <v>5.4199999999999998E-2</v>
      </c>
      <c r="I242" s="20">
        <v>6.9099999999999995E-2</v>
      </c>
      <c r="J242" s="20">
        <v>0.1356</v>
      </c>
      <c r="K242" s="20">
        <v>-0.1258</v>
      </c>
      <c r="L242" s="20">
        <v>-0.20230000000000001</v>
      </c>
      <c r="M242" s="20">
        <v>9.9500000000000005E-2</v>
      </c>
      <c r="N242" s="20">
        <v>-0.24740000000000001</v>
      </c>
      <c r="O242" s="20">
        <v>-0.23810000000000001</v>
      </c>
      <c r="P242" s="20">
        <v>0.23810000000000001</v>
      </c>
      <c r="Q242" s="20">
        <v>-0.29630000000000001</v>
      </c>
      <c r="R242" s="20">
        <v>-5.3999999999999999E-2</v>
      </c>
      <c r="S242" s="20">
        <v>0.12509999999999999</v>
      </c>
      <c r="T242" s="20">
        <v>-0.1007</v>
      </c>
      <c r="U242" s="20">
        <v>0.1007</v>
      </c>
      <c r="V242" s="20">
        <v>0.1149</v>
      </c>
      <c r="W242" s="20">
        <v>-4.07E-2</v>
      </c>
      <c r="X242" s="20">
        <v>-0.1623</v>
      </c>
      <c r="Y242" s="20">
        <v>0.1363</v>
      </c>
      <c r="Z242" s="20">
        <v>-0.01</v>
      </c>
      <c r="AA242" s="20">
        <v>4.7899999999999998E-2</v>
      </c>
      <c r="AB242" s="20">
        <v>-0.16669999999999999</v>
      </c>
      <c r="AC242" s="20">
        <v>0.3135</v>
      </c>
      <c r="AD242" s="20">
        <v>0.15540000000000001</v>
      </c>
      <c r="AE242" s="20">
        <v>-0.36049999999999999</v>
      </c>
      <c r="AF242" s="20">
        <v>8.9300000000000004E-2</v>
      </c>
      <c r="AG242" s="20">
        <v>-0.16209999999999999</v>
      </c>
      <c r="AH242" s="20">
        <v>-4.2599999999999999E-2</v>
      </c>
      <c r="AI242" s="20">
        <v>0.1802</v>
      </c>
      <c r="AJ242" s="20">
        <v>3.2300000000000002E-2</v>
      </c>
      <c r="AK242" s="20">
        <v>7.6700000000000004E-2</v>
      </c>
      <c r="AL242" s="21">
        <v>2.5100000000000001E-2</v>
      </c>
    </row>
    <row r="243" spans="1:38">
      <c r="A243" s="20">
        <v>0.25580000000000003</v>
      </c>
      <c r="B243" s="20">
        <v>-0.26829999999999998</v>
      </c>
      <c r="C243" s="20">
        <v>0.39179999999999998</v>
      </c>
      <c r="D243" s="20">
        <v>0.2762</v>
      </c>
      <c r="E243" s="20">
        <v>2.7099999999999999E-2</v>
      </c>
      <c r="F243" s="20">
        <v>-0.29370000000000002</v>
      </c>
      <c r="G243" s="20">
        <v>-0.1623</v>
      </c>
      <c r="H243" s="20">
        <v>0.1535</v>
      </c>
      <c r="I243" s="20">
        <v>-0.16270000000000001</v>
      </c>
      <c r="J243" s="20">
        <v>9.35E-2</v>
      </c>
      <c r="K243" s="20">
        <v>-8.0000000000000004E-4</v>
      </c>
      <c r="L243" s="20">
        <v>0.2253</v>
      </c>
      <c r="M243" s="20">
        <v>-0.19739999999999999</v>
      </c>
      <c r="N243" s="20">
        <v>-0.19109999999999999</v>
      </c>
      <c r="O243" s="20">
        <v>9.4299999999999995E-2</v>
      </c>
      <c r="P243" s="20">
        <v>-0.2011</v>
      </c>
      <c r="Q243" s="20">
        <v>-2.8799999999999999E-2</v>
      </c>
      <c r="R243" s="20">
        <v>8.2600000000000007E-2</v>
      </c>
      <c r="S243" s="20">
        <v>4.7600000000000003E-2</v>
      </c>
      <c r="T243" s="20">
        <v>0.17899999999999999</v>
      </c>
      <c r="U243" s="20">
        <v>0.1089</v>
      </c>
      <c r="V243" s="20">
        <v>7.4300000000000005E-2</v>
      </c>
      <c r="W243" s="20">
        <v>-3.1300000000000001E-2</v>
      </c>
      <c r="X243" s="20">
        <v>-0.1389</v>
      </c>
      <c r="Y243" s="20">
        <v>1.84E-2</v>
      </c>
      <c r="Z243" s="20">
        <v>-0.2019</v>
      </c>
      <c r="AA243" s="20">
        <v>-0.16689999999999999</v>
      </c>
      <c r="AB243" s="20">
        <v>-0.13980000000000001</v>
      </c>
      <c r="AC243" s="20">
        <v>-4.8399999999999999E-2</v>
      </c>
      <c r="AD243" s="20">
        <v>7.9000000000000008E-3</v>
      </c>
      <c r="AE243" s="20">
        <v>0.22819999999999999</v>
      </c>
      <c r="AF243" s="20">
        <v>4.0099999999999997E-2</v>
      </c>
      <c r="AG243" s="20">
        <v>2.1299999999999999E-2</v>
      </c>
      <c r="AH243" s="20">
        <v>-9.4700000000000006E-2</v>
      </c>
      <c r="AI243" s="20">
        <v>0.15229999999999999</v>
      </c>
      <c r="AJ243" s="20">
        <v>5.3800000000000001E-2</v>
      </c>
      <c r="AK243" s="20">
        <v>-3.8399999999999997E-2</v>
      </c>
      <c r="AL243" s="21">
        <v>-0.15440000000000001</v>
      </c>
    </row>
    <row r="244" spans="1:38">
      <c r="A244" s="20">
        <v>-0.3377</v>
      </c>
      <c r="B244" s="20">
        <v>0.43459999999999999</v>
      </c>
      <c r="C244" s="20">
        <v>-8.4199999999999997E-2</v>
      </c>
      <c r="D244" s="20">
        <v>0.15279999999999999</v>
      </c>
      <c r="E244" s="20">
        <v>0.19400000000000001</v>
      </c>
      <c r="F244" s="20">
        <v>2.2599999999999999E-2</v>
      </c>
      <c r="G244" s="20">
        <v>7.1599999999999997E-2</v>
      </c>
      <c r="H244" s="20">
        <v>0.21510000000000001</v>
      </c>
      <c r="I244" s="20">
        <v>0.12909999999999999</v>
      </c>
      <c r="J244" s="20">
        <v>-7.5399999999999995E-2</v>
      </c>
      <c r="K244" s="20">
        <v>4.8399999999999999E-2</v>
      </c>
      <c r="L244" s="20">
        <v>0.1348</v>
      </c>
      <c r="M244" s="20">
        <v>-5.3400000000000003E-2</v>
      </c>
      <c r="N244" s="20">
        <v>6.4399999999999999E-2</v>
      </c>
      <c r="O244" s="20">
        <v>-3.1199999999999999E-2</v>
      </c>
      <c r="P244" s="20">
        <v>8.7900000000000006E-2</v>
      </c>
      <c r="Q244" s="20">
        <v>0.15620000000000001</v>
      </c>
      <c r="R244" s="20">
        <v>-0.01</v>
      </c>
      <c r="S244" s="20">
        <v>0.26569999999999999</v>
      </c>
      <c r="T244" s="20">
        <v>-0.28689999999999999</v>
      </c>
      <c r="U244" s="20">
        <v>-0.12559999999999999</v>
      </c>
      <c r="V244" s="20">
        <v>-0.10390000000000001</v>
      </c>
      <c r="W244" s="20">
        <v>-0.1111</v>
      </c>
      <c r="X244" s="20">
        <v>-0.16900000000000001</v>
      </c>
      <c r="Y244" s="20">
        <v>5.6500000000000002E-2</v>
      </c>
      <c r="Z244" s="20">
        <v>-3.1199999999999999E-2</v>
      </c>
      <c r="AA244" s="20">
        <v>-0.17560000000000001</v>
      </c>
      <c r="AB244" s="20">
        <v>0.26040000000000002</v>
      </c>
      <c r="AC244" s="20">
        <v>9.7999999999999997E-3</v>
      </c>
      <c r="AD244" s="20">
        <v>1.7999999999999999E-2</v>
      </c>
      <c r="AE244" s="20">
        <v>-0.25609999999999999</v>
      </c>
      <c r="AF244" s="20">
        <v>-0.17560000000000001</v>
      </c>
      <c r="AG244" s="20">
        <v>-7.7499999999999999E-2</v>
      </c>
      <c r="AH244" s="20">
        <v>4.5400000000000003E-2</v>
      </c>
      <c r="AI244" s="20">
        <v>-0.23599999999999999</v>
      </c>
      <c r="AJ244" s="20">
        <v>-8.8400000000000006E-2</v>
      </c>
      <c r="AK244" s="20">
        <v>4.5400000000000003E-2</v>
      </c>
      <c r="AL244" s="21">
        <v>1.8700000000000001E-2</v>
      </c>
    </row>
    <row r="245" spans="1:38">
      <c r="A245" s="20">
        <v>-0.24099999999999999</v>
      </c>
      <c r="B245" s="20">
        <v>0.26590000000000003</v>
      </c>
      <c r="C245" s="20">
        <v>-9.4700000000000006E-2</v>
      </c>
      <c r="D245" s="20">
        <v>1.4500000000000001E-2</v>
      </c>
      <c r="E245" s="20">
        <v>-0.43809999999999999</v>
      </c>
      <c r="F245" s="20">
        <v>0.43540000000000001</v>
      </c>
      <c r="G245" s="20">
        <v>9.8699999999999996E-2</v>
      </c>
      <c r="H245" s="20">
        <v>-0.17829999999999999</v>
      </c>
      <c r="I245" s="20">
        <v>0.32719999999999999</v>
      </c>
      <c r="J245" s="20">
        <v>-0.10780000000000001</v>
      </c>
      <c r="K245" s="20">
        <v>-5.8200000000000002E-2</v>
      </c>
      <c r="L245" s="20">
        <v>9.3299999999999994E-2</v>
      </c>
      <c r="M245" s="20">
        <v>-0.26719999999999999</v>
      </c>
      <c r="N245" s="20">
        <v>8.4000000000000005E-2</v>
      </c>
      <c r="O245" s="20">
        <v>1.04E-2</v>
      </c>
      <c r="P245" s="20">
        <v>-0.12839999999999999</v>
      </c>
      <c r="Q245" s="20">
        <v>0.1142</v>
      </c>
      <c r="R245" s="20">
        <v>-3.2199999999999999E-2</v>
      </c>
      <c r="S245" s="20">
        <v>0.17</v>
      </c>
      <c r="T245" s="20">
        <v>6.7699999999999996E-2</v>
      </c>
      <c r="U245" s="20">
        <v>5.1999999999999998E-3</v>
      </c>
      <c r="V245" s="20">
        <v>-2.5899999999999999E-2</v>
      </c>
      <c r="W245" s="20">
        <v>7.3999999999999996E-2</v>
      </c>
      <c r="X245" s="20">
        <v>-2.4E-2</v>
      </c>
      <c r="Y245" s="20">
        <v>6.5799999999999997E-2</v>
      </c>
      <c r="Z245" s="20">
        <v>0.14419999999999999</v>
      </c>
      <c r="AA245" s="20">
        <v>-2.7300000000000001E-2</v>
      </c>
      <c r="AB245" s="20">
        <v>6.3799999999999996E-2</v>
      </c>
      <c r="AC245" s="20">
        <v>-7.1099999999999997E-2</v>
      </c>
      <c r="AD245" s="20">
        <v>-2.5100000000000001E-2</v>
      </c>
      <c r="AE245" s="20">
        <v>-7.4999999999999997E-3</v>
      </c>
      <c r="AF245" s="20">
        <v>-2.98E-2</v>
      </c>
      <c r="AG245" s="20">
        <v>-0.22869999999999999</v>
      </c>
      <c r="AH245" s="20">
        <v>0.22140000000000001</v>
      </c>
      <c r="AI245" s="20">
        <v>-7.5700000000000003E-2</v>
      </c>
      <c r="AJ245" s="20">
        <v>-3.5299999999999998E-2</v>
      </c>
      <c r="AK245" s="20">
        <v>-0.1042</v>
      </c>
      <c r="AL245" s="21">
        <v>-5.6099999999999997E-2</v>
      </c>
    </row>
    <row r="246" spans="1:38">
      <c r="A246" s="20">
        <v>0.2646</v>
      </c>
      <c r="B246" s="20">
        <v>-0.2581</v>
      </c>
      <c r="C246" s="20">
        <v>0.1847</v>
      </c>
      <c r="D246" s="20">
        <v>0.19159999999999999</v>
      </c>
      <c r="E246" s="20">
        <v>7.6E-3</v>
      </c>
      <c r="F246" s="20">
        <v>5.4899999999999997E-2</v>
      </c>
      <c r="G246" s="20">
        <v>-0.3664</v>
      </c>
      <c r="H246" s="20">
        <v>-0.22070000000000001</v>
      </c>
      <c r="I246" s="20">
        <v>0.2676</v>
      </c>
      <c r="J246" s="20">
        <v>0.24210000000000001</v>
      </c>
      <c r="K246" s="20">
        <v>0.14399999999999999</v>
      </c>
      <c r="L246" s="20">
        <v>-0.1371</v>
      </c>
      <c r="M246" s="20">
        <v>0.22869999999999999</v>
      </c>
      <c r="N246" s="20">
        <v>-0.16869999999999999</v>
      </c>
      <c r="O246" s="20">
        <v>-0.12540000000000001</v>
      </c>
      <c r="P246" s="20">
        <v>-0.15160000000000001</v>
      </c>
      <c r="Q246" s="20">
        <v>4.7600000000000003E-2</v>
      </c>
      <c r="R246" s="20">
        <v>-1.38E-2</v>
      </c>
      <c r="S246" s="20">
        <v>3.5999999999999997E-2</v>
      </c>
      <c r="T246" s="20">
        <v>-3.9600000000000003E-2</v>
      </c>
      <c r="U246" s="20">
        <v>8.0000000000000002E-3</v>
      </c>
      <c r="V246" s="20">
        <v>0.12909999999999999</v>
      </c>
      <c r="W246" s="20">
        <v>-0.2225</v>
      </c>
      <c r="X246" s="20">
        <v>0.1676</v>
      </c>
      <c r="Y246" s="20">
        <v>9.3100000000000002E-2</v>
      </c>
      <c r="Z246" s="20">
        <v>5.4999999999999997E-3</v>
      </c>
      <c r="AA246" s="20">
        <v>0.157</v>
      </c>
      <c r="AB246" s="20">
        <v>3.3399999999999999E-2</v>
      </c>
      <c r="AC246" s="20">
        <v>0.17050000000000001</v>
      </c>
      <c r="AD246" s="20">
        <v>-0.1236</v>
      </c>
      <c r="AE246" s="20">
        <v>7.8899999999999998E-2</v>
      </c>
      <c r="AF246" s="20">
        <v>-0.18429999999999999</v>
      </c>
      <c r="AG246" s="20">
        <v>-5.6000000000000001E-2</v>
      </c>
      <c r="AH246" s="20">
        <v>-0.2258</v>
      </c>
      <c r="AI246" s="20">
        <v>-0.12909999999999999</v>
      </c>
      <c r="AJ246" s="20">
        <v>7.7100000000000002E-2</v>
      </c>
      <c r="AK246" s="20">
        <v>-1.49E-2</v>
      </c>
      <c r="AL246" s="21">
        <v>-0.14760000000000001</v>
      </c>
    </row>
    <row r="247" spans="1:38">
      <c r="A247" s="20">
        <v>-0.1956</v>
      </c>
      <c r="B247" s="20">
        <v>-0.2487</v>
      </c>
      <c r="C247" s="20">
        <v>0.22739999999999999</v>
      </c>
      <c r="D247" s="20">
        <v>-3.9E-2</v>
      </c>
      <c r="E247" s="20">
        <v>0.16900000000000001</v>
      </c>
      <c r="F247" s="20">
        <v>-0.1406</v>
      </c>
      <c r="G247" s="20">
        <v>0.1242</v>
      </c>
      <c r="H247" s="20">
        <v>-7.0000000000000007E-2</v>
      </c>
      <c r="I247" s="20">
        <v>0.22</v>
      </c>
      <c r="J247" s="20">
        <v>-6.7199999999999996E-2</v>
      </c>
      <c r="K247" s="20">
        <v>0.1065</v>
      </c>
      <c r="L247" s="20">
        <v>0.1663</v>
      </c>
      <c r="M247" s="20">
        <v>0.10290000000000001</v>
      </c>
      <c r="N247" s="20">
        <v>-0.33839999999999998</v>
      </c>
      <c r="O247" s="20">
        <v>0.1381</v>
      </c>
      <c r="P247" s="20">
        <v>0.26450000000000001</v>
      </c>
      <c r="Q247" s="20">
        <v>2.7400000000000001E-2</v>
      </c>
      <c r="R247" s="20">
        <v>-5.8900000000000001E-2</v>
      </c>
      <c r="S247" s="20">
        <v>-0.26229999999999998</v>
      </c>
      <c r="T247" s="20">
        <v>0.1187</v>
      </c>
      <c r="U247" s="20">
        <v>-0.1134</v>
      </c>
      <c r="V247" s="20">
        <v>5.1499999999999997E-2</v>
      </c>
      <c r="W247" s="20">
        <v>0.34670000000000001</v>
      </c>
      <c r="X247" s="20">
        <v>-8.7999999999999995E-2</v>
      </c>
      <c r="Y247" s="20">
        <v>3.5099999999999999E-2</v>
      </c>
      <c r="Z247" s="20">
        <v>-0.1721</v>
      </c>
      <c r="AA247" s="20">
        <v>9.7900000000000001E-2</v>
      </c>
      <c r="AB247" s="20">
        <v>9.0200000000000002E-2</v>
      </c>
      <c r="AC247" s="20">
        <v>0.08</v>
      </c>
      <c r="AD247" s="20">
        <v>0.1948</v>
      </c>
      <c r="AE247" s="20">
        <v>-0.14499999999999999</v>
      </c>
      <c r="AF247" s="20">
        <v>-0.1179</v>
      </c>
      <c r="AG247" s="20">
        <v>-2.0500000000000001E-2</v>
      </c>
      <c r="AH247" s="20">
        <v>-9.9900000000000003E-2</v>
      </c>
      <c r="AI247" s="20">
        <v>9.2700000000000005E-2</v>
      </c>
      <c r="AJ247" s="20">
        <v>-5.1200000000000002E-2</v>
      </c>
      <c r="AK247" s="20">
        <v>-0.25069999999999998</v>
      </c>
      <c r="AL247" s="21">
        <v>-0.17069999999999999</v>
      </c>
    </row>
    <row r="248" spans="1:38">
      <c r="A248" s="20">
        <v>9.8699999999999996E-2</v>
      </c>
      <c r="B248" s="20">
        <v>0.24099999999999999</v>
      </c>
      <c r="C248" s="20">
        <v>-0.21929999999999999</v>
      </c>
      <c r="D248" s="20">
        <v>-0.1227</v>
      </c>
      <c r="E248" s="20">
        <v>-0.31090000000000001</v>
      </c>
      <c r="F248" s="20">
        <v>0.14729999999999999</v>
      </c>
      <c r="G248" s="20">
        <v>0.1195</v>
      </c>
      <c r="H248" s="20">
        <v>0.1174</v>
      </c>
      <c r="I248" s="20">
        <v>0.3805</v>
      </c>
      <c r="J248" s="20">
        <v>0.1406</v>
      </c>
      <c r="K248" s="20">
        <v>0.1169</v>
      </c>
      <c r="L248" s="20">
        <v>9.8500000000000004E-2</v>
      </c>
      <c r="M248" s="20">
        <v>-0.22789999999999999</v>
      </c>
      <c r="N248" s="20">
        <v>5.4999999999999997E-3</v>
      </c>
      <c r="O248" s="20">
        <v>-0.29599999999999999</v>
      </c>
      <c r="P248" s="20">
        <v>0.34620000000000001</v>
      </c>
      <c r="Q248" s="20">
        <v>-3.6799999999999999E-2</v>
      </c>
      <c r="R248" s="20">
        <v>0.16689999999999999</v>
      </c>
      <c r="S248" s="20">
        <v>-0.22789999999999999</v>
      </c>
      <c r="T248" s="20">
        <v>-0.27800000000000002</v>
      </c>
      <c r="U248" s="20">
        <v>7.7600000000000002E-2</v>
      </c>
      <c r="V248" s="20">
        <v>-0.15579999999999999</v>
      </c>
      <c r="W248" s="20">
        <v>6.0499999999999998E-2</v>
      </c>
      <c r="X248" s="20">
        <v>-1.52E-2</v>
      </c>
      <c r="Y248" s="20">
        <v>-4.7999999999999996E-3</v>
      </c>
      <c r="Z248" s="20">
        <v>-5.7999999999999996E-3</v>
      </c>
      <c r="AA248" s="20">
        <v>-0.16389999999999999</v>
      </c>
      <c r="AB248" s="20">
        <v>4.2099999999999999E-2</v>
      </c>
      <c r="AC248" s="20">
        <v>1.1299999999999999E-2</v>
      </c>
      <c r="AD248" s="20">
        <v>-0.17810000000000001</v>
      </c>
      <c r="AE248" s="20">
        <v>4.2299999999999997E-2</v>
      </c>
      <c r="AF248" s="20">
        <v>1.7000000000000001E-2</v>
      </c>
      <c r="AG248" s="20">
        <v>9.9000000000000005E-2</v>
      </c>
      <c r="AH248" s="20">
        <v>5.3900000000000003E-2</v>
      </c>
      <c r="AI248" s="20">
        <v>-3.9399999999999998E-2</v>
      </c>
      <c r="AJ248" s="20">
        <v>-6.1999999999999998E-3</v>
      </c>
      <c r="AK248" s="20">
        <v>-1.54E-2</v>
      </c>
      <c r="AL248" s="21">
        <v>-7.4300000000000005E-2</v>
      </c>
    </row>
    <row r="249" spans="1:38">
      <c r="A249" s="20">
        <v>8.1699999999999995E-2</v>
      </c>
      <c r="B249" s="20">
        <v>0.32800000000000001</v>
      </c>
      <c r="C249" s="20">
        <v>0.1434</v>
      </c>
      <c r="D249" s="20">
        <v>8.8300000000000003E-2</v>
      </c>
      <c r="E249" s="20">
        <v>-0.13919999999999999</v>
      </c>
      <c r="F249" s="20">
        <v>0.19520000000000001</v>
      </c>
      <c r="G249" s="20">
        <v>3.61E-2</v>
      </c>
      <c r="H249" s="20">
        <v>0.14180000000000001</v>
      </c>
      <c r="I249" s="20">
        <v>-5.0700000000000002E-2</v>
      </c>
      <c r="J249" s="20">
        <v>-5.5300000000000002E-2</v>
      </c>
      <c r="K249" s="20">
        <v>0.2666</v>
      </c>
      <c r="L249" s="20">
        <v>7.2800000000000004E-2</v>
      </c>
      <c r="M249" s="20">
        <v>7.22E-2</v>
      </c>
      <c r="N249" s="20">
        <v>-7.3999999999999996E-2</v>
      </c>
      <c r="O249" s="20">
        <v>6.0299999999999999E-2</v>
      </c>
      <c r="P249" s="20">
        <v>-0.1069</v>
      </c>
      <c r="Q249" s="20">
        <v>0.14069999999999999</v>
      </c>
      <c r="R249" s="20">
        <v>-0.15620000000000001</v>
      </c>
      <c r="S249" s="20">
        <v>0.2878</v>
      </c>
      <c r="T249" s="20">
        <v>-0.13980000000000001</v>
      </c>
      <c r="U249" s="20">
        <v>-0.27839999999999998</v>
      </c>
      <c r="V249" s="20">
        <v>-1.9599999999999999E-2</v>
      </c>
      <c r="W249" s="20">
        <v>-0.2147</v>
      </c>
      <c r="X249" s="20">
        <v>0.31830000000000003</v>
      </c>
      <c r="Y249" s="20">
        <v>-3.5000000000000001E-3</v>
      </c>
      <c r="Z249" s="20">
        <v>-1.4500000000000001E-2</v>
      </c>
      <c r="AA249" s="20">
        <v>0.15509999999999999</v>
      </c>
      <c r="AB249" s="20">
        <v>-0.24310000000000001</v>
      </c>
      <c r="AC249" s="20">
        <v>6.3E-3</v>
      </c>
      <c r="AD249" s="20">
        <v>-0.2777</v>
      </c>
      <c r="AE249" s="20">
        <v>-0.1444</v>
      </c>
      <c r="AF249" s="20">
        <v>4.07E-2</v>
      </c>
      <c r="AG249" s="20">
        <v>-0.22489999999999999</v>
      </c>
      <c r="AH249" s="20">
        <v>-0.1268</v>
      </c>
      <c r="AI249" s="20">
        <v>-0.15040000000000001</v>
      </c>
      <c r="AJ249" s="20">
        <v>0.1172</v>
      </c>
      <c r="AK249" s="20">
        <v>-0.1106</v>
      </c>
      <c r="AL249" s="21">
        <v>-2.0899999999999998E-2</v>
      </c>
    </row>
    <row r="250" spans="1:38">
      <c r="A250" s="20">
        <v>-2.0999999999999999E-3</v>
      </c>
      <c r="B250" s="20">
        <v>-0.44440000000000002</v>
      </c>
      <c r="C250" s="20">
        <v>0.182</v>
      </c>
      <c r="D250" s="20">
        <v>-0.26579999999999998</v>
      </c>
      <c r="E250" s="20">
        <v>9.1399999999999995E-2</v>
      </c>
      <c r="F250" s="20">
        <v>0.1888</v>
      </c>
      <c r="G250" s="20">
        <v>-0.24199999999999999</v>
      </c>
      <c r="H250" s="20">
        <v>-2.76E-2</v>
      </c>
      <c r="I250" s="20">
        <v>0.56389999999999996</v>
      </c>
      <c r="J250" s="20">
        <v>6.6299999999999998E-2</v>
      </c>
      <c r="K250" s="20">
        <v>-6.7599999999999993E-2</v>
      </c>
      <c r="L250" s="20">
        <v>-4.0399999999999998E-2</v>
      </c>
      <c r="M250" s="20">
        <v>-8.2500000000000004E-2</v>
      </c>
      <c r="N250" s="20">
        <v>-0.16250000000000001</v>
      </c>
      <c r="O250" s="20">
        <v>-2.98E-2</v>
      </c>
      <c r="P250" s="20">
        <v>-0.28199999999999997</v>
      </c>
      <c r="Q250" s="20">
        <v>2.4199999999999999E-2</v>
      </c>
      <c r="R250" s="20">
        <v>0.1552</v>
      </c>
      <c r="S250" s="20">
        <v>-7.5700000000000003E-2</v>
      </c>
      <c r="T250" s="20">
        <v>-7.6600000000000001E-2</v>
      </c>
      <c r="U250" s="20">
        <v>-5.7799999999999997E-2</v>
      </c>
      <c r="V250" s="20">
        <v>0.18540000000000001</v>
      </c>
      <c r="W250" s="20">
        <v>7.8700000000000006E-2</v>
      </c>
      <c r="X250" s="20">
        <v>6.08E-2</v>
      </c>
      <c r="Y250" s="20">
        <v>0.1255</v>
      </c>
      <c r="Z250" s="20">
        <v>-3.9100000000000003E-2</v>
      </c>
      <c r="AA250" s="20">
        <v>7.5700000000000003E-2</v>
      </c>
      <c r="AB250" s="20">
        <v>8.1199999999999994E-2</v>
      </c>
      <c r="AC250" s="20">
        <v>0.06</v>
      </c>
      <c r="AD250" s="20">
        <v>-4.4200000000000003E-2</v>
      </c>
      <c r="AE250" s="20">
        <v>0.11020000000000001</v>
      </c>
      <c r="AF250" s="20">
        <v>-4.8899999999999999E-2</v>
      </c>
      <c r="AG250" s="20">
        <v>7.5700000000000003E-2</v>
      </c>
      <c r="AH250" s="20">
        <v>-5.4899999999999997E-2</v>
      </c>
      <c r="AI250" s="20">
        <v>5.91E-2</v>
      </c>
      <c r="AJ250" s="20">
        <v>-6.3399999999999998E-2</v>
      </c>
      <c r="AK250" s="20">
        <v>-5.4899999999999997E-2</v>
      </c>
      <c r="AL250" s="21">
        <v>-1.7000000000000001E-2</v>
      </c>
    </row>
    <row r="251" spans="1:38">
      <c r="A251" s="20">
        <v>9.2899999999999996E-2</v>
      </c>
      <c r="B251" s="20">
        <v>0.2346</v>
      </c>
      <c r="C251" s="20">
        <v>0.3226</v>
      </c>
      <c r="D251" s="20">
        <v>-9.7900000000000001E-2</v>
      </c>
      <c r="E251" s="20">
        <v>-6.5799999999999997E-2</v>
      </c>
      <c r="F251" s="20">
        <v>-0.21659999999999999</v>
      </c>
      <c r="G251" s="20">
        <v>0.28610000000000002</v>
      </c>
      <c r="H251" s="20">
        <v>-0.21790000000000001</v>
      </c>
      <c r="I251" s="20">
        <v>-6.6299999999999998E-2</v>
      </c>
      <c r="J251" s="20">
        <v>7.8200000000000006E-2</v>
      </c>
      <c r="K251" s="20">
        <v>-8.3799999999999999E-2</v>
      </c>
      <c r="L251" s="20">
        <v>-7.3599999999999999E-2</v>
      </c>
      <c r="M251" s="20">
        <v>1.12E-2</v>
      </c>
      <c r="N251" s="20">
        <v>4.3900000000000002E-2</v>
      </c>
      <c r="O251" s="20">
        <v>-5.3699999999999998E-2</v>
      </c>
      <c r="P251" s="20">
        <v>-0.25059999999999999</v>
      </c>
      <c r="Q251" s="20">
        <v>0.30919999999999997</v>
      </c>
      <c r="R251" s="20">
        <v>1.55E-2</v>
      </c>
      <c r="S251" s="20">
        <v>-0.1497</v>
      </c>
      <c r="T251" s="20">
        <v>-0.18990000000000001</v>
      </c>
      <c r="U251" s="20">
        <v>-6.2700000000000006E-2</v>
      </c>
      <c r="V251" s="20">
        <v>-0.1038</v>
      </c>
      <c r="W251" s="20">
        <v>-0.13669999999999999</v>
      </c>
      <c r="X251" s="20">
        <v>0.1023</v>
      </c>
      <c r="Y251" s="20">
        <v>6.3200000000000006E-2</v>
      </c>
      <c r="Z251" s="20">
        <v>-0.21079999999999999</v>
      </c>
      <c r="AA251" s="20">
        <v>-0.34420000000000001</v>
      </c>
      <c r="AB251" s="20">
        <v>0.1502</v>
      </c>
      <c r="AC251" s="20">
        <v>-2.5999999999999999E-3</v>
      </c>
      <c r="AD251" s="20">
        <v>5.0599999999999999E-2</v>
      </c>
      <c r="AE251" s="20">
        <v>-4.4400000000000002E-2</v>
      </c>
      <c r="AF251" s="20">
        <v>6.6199999999999995E-2</v>
      </c>
      <c r="AG251" s="20">
        <v>0.2046</v>
      </c>
      <c r="AH251" s="20">
        <v>0.2697</v>
      </c>
      <c r="AI251" s="20">
        <v>-0.1431</v>
      </c>
      <c r="AJ251" s="20">
        <v>1.72E-2</v>
      </c>
      <c r="AK251" s="20">
        <v>7.5800000000000006E-2</v>
      </c>
      <c r="AL251" s="21">
        <v>0.1171</v>
      </c>
    </row>
    <row r="252" spans="1:38">
      <c r="A252" s="20">
        <v>-1.1599999999999999E-2</v>
      </c>
      <c r="B252" s="20">
        <v>0.12640000000000001</v>
      </c>
      <c r="C252" s="20">
        <v>0.41499999999999998</v>
      </c>
      <c r="D252" s="20">
        <v>-3.44E-2</v>
      </c>
      <c r="E252" s="20">
        <v>-0.37109999999999999</v>
      </c>
      <c r="F252" s="20">
        <v>-7.4300000000000005E-2</v>
      </c>
      <c r="G252" s="20">
        <v>0.30120000000000002</v>
      </c>
      <c r="H252" s="20">
        <v>-0.1726</v>
      </c>
      <c r="I252" s="20">
        <v>-2.1600000000000001E-2</v>
      </c>
      <c r="J252" s="20">
        <v>-5.1900000000000002E-2</v>
      </c>
      <c r="K252" s="20">
        <v>-0.2203</v>
      </c>
      <c r="L252" s="20">
        <v>0.13100000000000001</v>
      </c>
      <c r="M252" s="20">
        <v>-4.9299999999999997E-2</v>
      </c>
      <c r="N252" s="20">
        <v>0.16400000000000001</v>
      </c>
      <c r="O252" s="20">
        <v>-8.5900000000000004E-2</v>
      </c>
      <c r="P252" s="20">
        <v>-0.26979999999999998</v>
      </c>
      <c r="Q252" s="20">
        <v>9.01E-2</v>
      </c>
      <c r="R252" s="20">
        <v>7.4800000000000005E-2</v>
      </c>
      <c r="S252" s="20">
        <v>9.7299999999999998E-2</v>
      </c>
      <c r="T252" s="20">
        <v>-0.1211</v>
      </c>
      <c r="U252" s="20">
        <v>-1.11E-2</v>
      </c>
      <c r="V252" s="20">
        <v>-0.1293</v>
      </c>
      <c r="W252" s="20">
        <v>1.3299999999999999E-2</v>
      </c>
      <c r="X252" s="20">
        <v>2.4299999999999999E-2</v>
      </c>
      <c r="Y252" s="20">
        <v>9.8799999999999999E-2</v>
      </c>
      <c r="Z252" s="20">
        <v>-0.2283</v>
      </c>
      <c r="AA252" s="20">
        <v>1.0699999999999999E-2</v>
      </c>
      <c r="AB252" s="20">
        <v>1.9900000000000001E-2</v>
      </c>
      <c r="AC252" s="20">
        <v>-0.2238</v>
      </c>
      <c r="AD252" s="20">
        <v>8.5000000000000006E-2</v>
      </c>
      <c r="AE252" s="20">
        <v>6.9999999999999999E-4</v>
      </c>
      <c r="AF252" s="20">
        <v>-6.0000000000000001E-3</v>
      </c>
      <c r="AG252" s="20">
        <v>0.11360000000000001</v>
      </c>
      <c r="AH252" s="20">
        <v>-6.9199999999999998E-2</v>
      </c>
      <c r="AI252" s="20">
        <v>-1.3599999999999999E-2</v>
      </c>
      <c r="AJ252" s="20">
        <v>-0.14169999999999999</v>
      </c>
      <c r="AK252" s="20">
        <v>0.3306</v>
      </c>
      <c r="AL252" s="21">
        <v>0.21429999999999999</v>
      </c>
    </row>
    <row r="253" spans="1:38">
      <c r="A253" s="20">
        <v>-2.29E-2</v>
      </c>
      <c r="B253" s="20">
        <v>-6.1199999999999997E-2</v>
      </c>
      <c r="C253" s="20">
        <v>0.25109999999999999</v>
      </c>
      <c r="D253" s="20">
        <v>-0.1822</v>
      </c>
      <c r="E253" s="20">
        <v>-0.2581</v>
      </c>
      <c r="F253" s="20">
        <v>-0.27829999999999999</v>
      </c>
      <c r="G253" s="20">
        <v>0.26050000000000001</v>
      </c>
      <c r="H253" s="20">
        <v>-0.47920000000000001</v>
      </c>
      <c r="I253" s="20">
        <v>-0.1923</v>
      </c>
      <c r="J253" s="20">
        <v>0.22700000000000001</v>
      </c>
      <c r="K253" s="20">
        <v>-0.14219999999999999</v>
      </c>
      <c r="L253" s="20">
        <v>0.30769999999999997</v>
      </c>
      <c r="M253" s="20">
        <v>7.3200000000000001E-2</v>
      </c>
      <c r="N253" s="20">
        <v>9.11E-2</v>
      </c>
      <c r="O253" s="20">
        <v>9.4899999999999998E-2</v>
      </c>
      <c r="P253" s="20">
        <v>-0.19900000000000001</v>
      </c>
      <c r="Q253" s="20">
        <v>8.3999999999999995E-3</v>
      </c>
      <c r="R253" s="20">
        <v>4.82E-2</v>
      </c>
      <c r="S253" s="20">
        <v>-8.1000000000000003E-2</v>
      </c>
      <c r="T253" s="20">
        <v>-2.63E-2</v>
      </c>
      <c r="U253" s="20">
        <v>-7.85E-2</v>
      </c>
      <c r="V253" s="20">
        <v>-0.19159999999999999</v>
      </c>
      <c r="W253" s="20">
        <v>4.7500000000000001E-2</v>
      </c>
      <c r="X253" s="20">
        <v>8.2199999999999995E-2</v>
      </c>
      <c r="Y253" s="20">
        <v>-5.45E-2</v>
      </c>
      <c r="Z253" s="20">
        <v>-6.4100000000000004E-2</v>
      </c>
      <c r="AA253" s="20">
        <v>-8.6999999999999994E-3</v>
      </c>
      <c r="AB253" s="20">
        <v>8.2000000000000007E-3</v>
      </c>
      <c r="AC253" s="20">
        <v>0.1125</v>
      </c>
      <c r="AD253" s="20">
        <v>5.5199999999999999E-2</v>
      </c>
      <c r="AE253" s="20">
        <v>2.0199999999999999E-2</v>
      </c>
      <c r="AF253" s="20">
        <v>0.2094</v>
      </c>
      <c r="AG253" s="20">
        <v>-2.0500000000000001E-2</v>
      </c>
      <c r="AH253" s="20">
        <v>-4.48E-2</v>
      </c>
      <c r="AI253" s="20">
        <v>0.1169</v>
      </c>
      <c r="AJ253" s="20">
        <v>0.1376</v>
      </c>
      <c r="AK253" s="20">
        <v>0.1484</v>
      </c>
      <c r="AL253" s="21">
        <v>8.1199999999999994E-2</v>
      </c>
    </row>
    <row r="254" spans="1:38">
      <c r="A254" s="20">
        <v>0.3049</v>
      </c>
      <c r="B254" s="20">
        <v>0.2268</v>
      </c>
      <c r="C254" s="20">
        <v>0.29599999999999999</v>
      </c>
      <c r="D254" s="20">
        <v>0.14449999999999999</v>
      </c>
      <c r="E254" s="20">
        <v>-0.1847</v>
      </c>
      <c r="F254" s="20">
        <v>5.5199999999999999E-2</v>
      </c>
      <c r="G254" s="20">
        <v>0.24049999999999999</v>
      </c>
      <c r="H254" s="20">
        <v>-0.14949999999999999</v>
      </c>
      <c r="I254" s="20">
        <v>-1.3899999999999999E-2</v>
      </c>
      <c r="J254" s="20">
        <v>-0.1018</v>
      </c>
      <c r="K254" s="20">
        <v>6.1100000000000002E-2</v>
      </c>
      <c r="L254" s="20">
        <v>-0.1208</v>
      </c>
      <c r="M254" s="20">
        <v>4.7699999999999999E-2</v>
      </c>
      <c r="N254" s="20">
        <v>-0.18079999999999999</v>
      </c>
      <c r="O254" s="20">
        <v>0.15540000000000001</v>
      </c>
      <c r="P254" s="20">
        <v>-8.9800000000000005E-2</v>
      </c>
      <c r="Q254" s="20">
        <v>1.4800000000000001E-2</v>
      </c>
      <c r="R254" s="20">
        <v>-0.2324</v>
      </c>
      <c r="S254" s="20">
        <v>6.2799999999999995E-2</v>
      </c>
      <c r="T254" s="20">
        <v>-0.13220000000000001</v>
      </c>
      <c r="U254" s="20">
        <v>0.22650000000000001</v>
      </c>
      <c r="V254" s="20">
        <v>-0.1741</v>
      </c>
      <c r="W254" s="20">
        <v>-5.7200000000000001E-2</v>
      </c>
      <c r="X254" s="20">
        <v>0.1467</v>
      </c>
      <c r="Y254" s="20">
        <v>-0.1071</v>
      </c>
      <c r="Z254" s="20">
        <v>0.13980000000000001</v>
      </c>
      <c r="AA254" s="20">
        <v>0.1822</v>
      </c>
      <c r="AB254" s="20">
        <v>6.0299999999999999E-2</v>
      </c>
      <c r="AC254" s="20">
        <v>-8.6800000000000002E-2</v>
      </c>
      <c r="AD254" s="20">
        <v>-0.21029999999999999</v>
      </c>
      <c r="AE254" s="20">
        <v>-6.0299999999999999E-2</v>
      </c>
      <c r="AF254" s="20">
        <v>-0.32140000000000002</v>
      </c>
      <c r="AG254" s="20">
        <v>0.15040000000000001</v>
      </c>
      <c r="AH254" s="20">
        <v>-0.15040000000000001</v>
      </c>
      <c r="AI254" s="20">
        <v>-0.25269999999999998</v>
      </c>
      <c r="AJ254" s="20">
        <v>-2.76E-2</v>
      </c>
      <c r="AK254" s="20">
        <v>1.67E-2</v>
      </c>
      <c r="AL254" s="21">
        <v>0.1227</v>
      </c>
    </row>
    <row r="255" spans="1:38">
      <c r="A255" s="20">
        <v>0.16930000000000001</v>
      </c>
      <c r="B255" s="20">
        <v>8.8499999999999995E-2</v>
      </c>
      <c r="C255" s="20">
        <v>-0.27450000000000002</v>
      </c>
      <c r="D255" s="20">
        <v>0.15690000000000001</v>
      </c>
      <c r="E255" s="20">
        <v>0.18149999999999999</v>
      </c>
      <c r="F255" s="20">
        <v>0.16839999999999999</v>
      </c>
      <c r="G255" s="20">
        <v>-0.2079</v>
      </c>
      <c r="H255" s="20">
        <v>0.13589999999999999</v>
      </c>
      <c r="I255" s="20">
        <v>-6.2899999999999998E-2</v>
      </c>
      <c r="J255" s="20">
        <v>0.24690000000000001</v>
      </c>
      <c r="K255" s="20">
        <v>-4.8999999999999998E-3</v>
      </c>
      <c r="L255" s="20">
        <v>-5.11E-2</v>
      </c>
      <c r="M255" s="20">
        <v>-0.22889999999999999</v>
      </c>
      <c r="N255" s="20">
        <v>0</v>
      </c>
      <c r="O255" s="20">
        <v>-0.13039999999999999</v>
      </c>
      <c r="P255" s="20">
        <v>7.8100000000000003E-2</v>
      </c>
      <c r="Q255" s="20">
        <v>0.27660000000000001</v>
      </c>
      <c r="R255" s="20">
        <v>-2.2200000000000001E-2</v>
      </c>
      <c r="S255" s="20">
        <v>0.1116</v>
      </c>
      <c r="T255" s="20">
        <v>0.20399999999999999</v>
      </c>
      <c r="U255" s="20">
        <v>-0.1009</v>
      </c>
      <c r="V255" s="20">
        <v>0.12039999999999999</v>
      </c>
      <c r="W255" s="20">
        <v>0.1043</v>
      </c>
      <c r="X255" s="20">
        <v>-0.37969999999999998</v>
      </c>
      <c r="Y255" s="20">
        <v>-0.1651</v>
      </c>
      <c r="Z255" s="20">
        <v>0.22009999999999999</v>
      </c>
      <c r="AA255" s="20">
        <v>9.5200000000000007E-2</v>
      </c>
      <c r="AB255" s="20">
        <v>-0.26690000000000003</v>
      </c>
      <c r="AC255" s="20">
        <v>-6.9900000000000004E-2</v>
      </c>
      <c r="AD255" s="20">
        <v>-0.11310000000000001</v>
      </c>
      <c r="AE255" s="20">
        <v>0.15720000000000001</v>
      </c>
      <c r="AF255" s="20">
        <v>-7.4200000000000002E-2</v>
      </c>
      <c r="AG255" s="20">
        <v>-0.18390000000000001</v>
      </c>
      <c r="AH255" s="20">
        <v>-2.3699999999999999E-2</v>
      </c>
      <c r="AI255" s="20">
        <v>-0.10730000000000001</v>
      </c>
      <c r="AJ255" s="20">
        <v>0.13009999999999999</v>
      </c>
      <c r="AK255" s="20">
        <v>-0.13589999999999999</v>
      </c>
      <c r="AL255" s="21">
        <v>-3.8300000000000001E-2</v>
      </c>
    </row>
    <row r="256" spans="1:38">
      <c r="A256" s="20">
        <v>2.87E-2</v>
      </c>
      <c r="B256" s="20">
        <v>0.30049999999999999</v>
      </c>
      <c r="C256" s="20">
        <v>0.2409</v>
      </c>
      <c r="D256" s="20">
        <v>3.5700000000000003E-2</v>
      </c>
      <c r="E256" s="20">
        <v>-0.19969999999999999</v>
      </c>
      <c r="F256" s="20">
        <v>-2.58E-2</v>
      </c>
      <c r="G256" s="20">
        <v>-9.1899999999999996E-2</v>
      </c>
      <c r="H256" s="20">
        <v>0.17499999999999999</v>
      </c>
      <c r="I256" s="20">
        <v>-4.7600000000000003E-2</v>
      </c>
      <c r="J256" s="20">
        <v>2.23E-2</v>
      </c>
      <c r="K256" s="20">
        <v>-2.5899999999999999E-2</v>
      </c>
      <c r="L256" s="20">
        <v>4.8300000000000003E-2</v>
      </c>
      <c r="M256" s="20">
        <v>0.20780000000000001</v>
      </c>
      <c r="N256" s="20">
        <v>-0.1777</v>
      </c>
      <c r="O256" s="20">
        <v>-0.10100000000000001</v>
      </c>
      <c r="P256" s="20">
        <v>-5.7500000000000002E-2</v>
      </c>
      <c r="Q256" s="20">
        <v>3.5999999999999999E-3</v>
      </c>
      <c r="R256" s="20">
        <v>-6.7000000000000002E-3</v>
      </c>
      <c r="S256" s="20">
        <v>-0.15609999999999999</v>
      </c>
      <c r="T256" s="20">
        <v>0.1618</v>
      </c>
      <c r="U256" s="20">
        <v>-4.9500000000000002E-2</v>
      </c>
      <c r="V256" s="20">
        <v>3.04E-2</v>
      </c>
      <c r="W256" s="20">
        <v>-8.5300000000000001E-2</v>
      </c>
      <c r="X256" s="20">
        <v>0.22489999999999999</v>
      </c>
      <c r="Y256" s="20">
        <v>0.1789</v>
      </c>
      <c r="Z256" s="20">
        <v>-0.1867</v>
      </c>
      <c r="AA256" s="20">
        <v>-0.16209999999999999</v>
      </c>
      <c r="AB256" s="20">
        <v>0.29070000000000001</v>
      </c>
      <c r="AC256" s="20">
        <v>-0.17050000000000001</v>
      </c>
      <c r="AD256" s="20">
        <v>-0.20469999999999999</v>
      </c>
      <c r="AE256" s="20">
        <v>0.2437</v>
      </c>
      <c r="AF256" s="20">
        <v>-0.14990000000000001</v>
      </c>
      <c r="AG256" s="20">
        <v>-0.38379999999999997</v>
      </c>
      <c r="AH256" s="20">
        <v>0.20449999999999999</v>
      </c>
      <c r="AI256" s="20">
        <v>0.1066</v>
      </c>
      <c r="AJ256" s="20">
        <v>2.5999999999999999E-3</v>
      </c>
      <c r="AK256" s="20">
        <v>-5.1900000000000002E-2</v>
      </c>
      <c r="AL256" s="21">
        <v>-0.17449999999999999</v>
      </c>
    </row>
    <row r="257" spans="1:38">
      <c r="A257" s="20">
        <v>0.2404</v>
      </c>
      <c r="B257" s="20">
        <v>8.5599999999999996E-2</v>
      </c>
      <c r="C257" s="20">
        <v>0.2908</v>
      </c>
      <c r="D257" s="20">
        <v>-0.2394</v>
      </c>
      <c r="E257" s="20">
        <v>0.2253</v>
      </c>
      <c r="F257" s="20">
        <v>2.9999999999999997E-4</v>
      </c>
      <c r="G257" s="20">
        <v>-0.26050000000000001</v>
      </c>
      <c r="H257" s="20">
        <v>-7.4399999999999994E-2</v>
      </c>
      <c r="I257" s="20">
        <v>-0.12089999999999999</v>
      </c>
      <c r="J257" s="20">
        <v>-9.4000000000000004E-3</v>
      </c>
      <c r="K257" s="20">
        <v>0.29420000000000002</v>
      </c>
      <c r="L257" s="20">
        <v>-0.1245</v>
      </c>
      <c r="M257" s="20">
        <v>-1.38E-2</v>
      </c>
      <c r="N257" s="20">
        <v>-1.2800000000000001E-2</v>
      </c>
      <c r="O257" s="20">
        <v>-9.8100000000000007E-2</v>
      </c>
      <c r="P257" s="20">
        <v>7.0699999999999999E-2</v>
      </c>
      <c r="Q257" s="20">
        <v>7.0000000000000001E-3</v>
      </c>
      <c r="R257" s="20">
        <v>-0.33019999999999999</v>
      </c>
      <c r="S257" s="20">
        <v>-0.1057</v>
      </c>
      <c r="T257" s="20">
        <v>-0.25919999999999999</v>
      </c>
      <c r="U257" s="20">
        <v>0.1973</v>
      </c>
      <c r="V257" s="20">
        <v>-0.14019999999999999</v>
      </c>
      <c r="W257" s="20">
        <v>0.19</v>
      </c>
      <c r="X257" s="20">
        <v>0.22320000000000001</v>
      </c>
      <c r="Y257" s="20">
        <v>0.1704</v>
      </c>
      <c r="Z257" s="20">
        <v>0.1169</v>
      </c>
      <c r="AA257" s="20">
        <v>6.7999999999999996E-3</v>
      </c>
      <c r="AB257" s="20">
        <v>-0.13730000000000001</v>
      </c>
      <c r="AC257" s="20">
        <v>2.8999999999999998E-3</v>
      </c>
      <c r="AD257" s="20">
        <v>0.1167</v>
      </c>
      <c r="AE257" s="20">
        <v>-3.5799999999999998E-2</v>
      </c>
      <c r="AF257" s="20">
        <v>-0.1704</v>
      </c>
      <c r="AG257" s="20">
        <v>-6.7100000000000007E-2</v>
      </c>
      <c r="AH257" s="20">
        <v>-0.21609999999999999</v>
      </c>
      <c r="AI257" s="20">
        <v>-0.10050000000000001</v>
      </c>
      <c r="AJ257" s="20">
        <v>6.7999999999999996E-3</v>
      </c>
      <c r="AK257" s="20">
        <v>0.1321</v>
      </c>
      <c r="AL257" s="21">
        <v>0.14460000000000001</v>
      </c>
    </row>
    <row r="258" spans="1:38">
      <c r="A258" s="20">
        <v>0.2447</v>
      </c>
      <c r="B258" s="20">
        <v>-0.1081</v>
      </c>
      <c r="C258" s="20">
        <v>0.15049999999999999</v>
      </c>
      <c r="D258" s="20">
        <v>-0.40799999999999997</v>
      </c>
      <c r="E258" s="20">
        <v>0.2301</v>
      </c>
      <c r="F258" s="20">
        <v>2.5999999999999999E-3</v>
      </c>
      <c r="G258" s="20">
        <v>-0.12429999999999999</v>
      </c>
      <c r="H258" s="20">
        <v>-0.1012</v>
      </c>
      <c r="I258" s="20">
        <v>5.9200000000000003E-2</v>
      </c>
      <c r="J258" s="20">
        <v>3.27E-2</v>
      </c>
      <c r="K258" s="20">
        <v>0.38290000000000002</v>
      </c>
      <c r="L258" s="20">
        <v>-7.8E-2</v>
      </c>
      <c r="M258" s="20">
        <v>5.7200000000000001E-2</v>
      </c>
      <c r="N258" s="20">
        <v>7.6399999999999996E-2</v>
      </c>
      <c r="O258" s="20">
        <v>-0.14149999999999999</v>
      </c>
      <c r="P258" s="20">
        <v>9.9199999999999997E-2</v>
      </c>
      <c r="Q258" s="20">
        <v>0.13389999999999999</v>
      </c>
      <c r="R258" s="20">
        <v>-8.8300000000000003E-2</v>
      </c>
      <c r="S258" s="20">
        <v>-0.1171</v>
      </c>
      <c r="T258" s="20">
        <v>-0.2225</v>
      </c>
      <c r="U258" s="20">
        <v>0.22620000000000001</v>
      </c>
      <c r="V258" s="20">
        <v>-1.8499999999999999E-2</v>
      </c>
      <c r="W258" s="20">
        <v>0.2298</v>
      </c>
      <c r="X258" s="20">
        <v>0.1144</v>
      </c>
      <c r="Y258" s="20">
        <v>-1.4200000000000001E-2</v>
      </c>
      <c r="Z258" s="20">
        <v>2E-3</v>
      </c>
      <c r="AA258" s="20">
        <v>-0.22650000000000001</v>
      </c>
      <c r="AB258" s="20">
        <v>-0.28339999999999999</v>
      </c>
      <c r="AC258" s="20">
        <v>-0.1032</v>
      </c>
      <c r="AD258" s="20">
        <v>0.22650000000000001</v>
      </c>
      <c r="AE258" s="20">
        <v>9.9500000000000005E-2</v>
      </c>
      <c r="AF258" s="20">
        <v>-1.06E-2</v>
      </c>
      <c r="AG258" s="20">
        <v>-7.1400000000000005E-2</v>
      </c>
      <c r="AH258" s="20">
        <v>-0.1091</v>
      </c>
      <c r="AI258" s="20">
        <v>-0.14149999999999999</v>
      </c>
      <c r="AJ258" s="20">
        <v>-0.10050000000000001</v>
      </c>
      <c r="AK258" s="20">
        <v>8.3699999999999997E-2</v>
      </c>
      <c r="AL258" s="21">
        <v>8.6E-3</v>
      </c>
    </row>
    <row r="259" spans="1:38">
      <c r="A259" s="20">
        <v>-5.4899999999999997E-2</v>
      </c>
      <c r="B259" s="20">
        <v>0.1575</v>
      </c>
      <c r="C259" s="20">
        <v>-0.15620000000000001</v>
      </c>
      <c r="D259" s="20">
        <v>-5.6399999999999999E-2</v>
      </c>
      <c r="E259" s="20">
        <v>-0.36330000000000001</v>
      </c>
      <c r="F259" s="20">
        <v>4.3499999999999997E-2</v>
      </c>
      <c r="G259" s="20">
        <v>7.1300000000000002E-2</v>
      </c>
      <c r="H259" s="20">
        <v>0.192</v>
      </c>
      <c r="I259" s="20">
        <v>0.24979999999999999</v>
      </c>
      <c r="J259" s="20">
        <v>-0.183</v>
      </c>
      <c r="K259" s="20">
        <v>-2.9600000000000001E-2</v>
      </c>
      <c r="L259" s="20">
        <v>-6.7500000000000004E-2</v>
      </c>
      <c r="M259" s="20">
        <v>0.18679999999999999</v>
      </c>
      <c r="N259" s="20">
        <v>0.1802</v>
      </c>
      <c r="O259" s="20">
        <v>-0.2356</v>
      </c>
      <c r="P259" s="20">
        <v>6.7999999999999996E-3</v>
      </c>
      <c r="Q259" s="20">
        <v>-9.1200000000000003E-2</v>
      </c>
      <c r="R259" s="20">
        <v>0.3659</v>
      </c>
      <c r="S259" s="20">
        <v>-4.3099999999999999E-2</v>
      </c>
      <c r="T259" s="20">
        <v>0.20710000000000001</v>
      </c>
      <c r="U259" s="20">
        <v>0.1623</v>
      </c>
      <c r="V259" s="20">
        <v>-0.1303</v>
      </c>
      <c r="W259" s="20">
        <v>0.2243</v>
      </c>
      <c r="X259" s="20">
        <v>5.8500000000000003E-2</v>
      </c>
      <c r="Y259" s="20">
        <v>-0.21879999999999999</v>
      </c>
      <c r="Z259" s="20">
        <v>3.3599999999999998E-2</v>
      </c>
      <c r="AA259" s="20">
        <v>-5.6599999999999998E-2</v>
      </c>
      <c r="AB259" s="20">
        <v>0.1696</v>
      </c>
      <c r="AC259" s="20">
        <v>4.2099999999999999E-2</v>
      </c>
      <c r="AD259" s="20">
        <v>-8.2600000000000007E-2</v>
      </c>
      <c r="AE259" s="20">
        <v>-0.25419999999999998</v>
      </c>
      <c r="AF259" s="20">
        <v>-0.21329999999999999</v>
      </c>
      <c r="AG259" s="20">
        <v>-1.54E-2</v>
      </c>
      <c r="AH259" s="20">
        <v>-0.20150000000000001</v>
      </c>
      <c r="AI259" s="20">
        <v>0.1027</v>
      </c>
      <c r="AJ259" s="20">
        <v>6.8099999999999994E-2</v>
      </c>
      <c r="AK259" s="20">
        <v>4.1999999999999997E-3</v>
      </c>
      <c r="AL259" s="21">
        <v>-6.9400000000000003E-2</v>
      </c>
    </row>
    <row r="260" spans="1:38">
      <c r="A260" s="20">
        <v>0.1726</v>
      </c>
      <c r="B260" s="20">
        <v>-0.16830000000000001</v>
      </c>
      <c r="C260" s="20">
        <v>0.2404</v>
      </c>
      <c r="D260" s="20">
        <v>-9.4799999999999995E-2</v>
      </c>
      <c r="E260" s="20">
        <v>-2.5100000000000001E-2</v>
      </c>
      <c r="F260" s="20">
        <v>0.1598</v>
      </c>
      <c r="G260" s="20">
        <v>-0.377</v>
      </c>
      <c r="H260" s="20">
        <v>0.2044</v>
      </c>
      <c r="I260" s="20">
        <v>3.32E-2</v>
      </c>
      <c r="J260" s="20">
        <v>4.3099999999999999E-2</v>
      </c>
      <c r="K260" s="20">
        <v>-0.27929999999999999</v>
      </c>
      <c r="L260" s="20">
        <v>-4.8800000000000003E-2</v>
      </c>
      <c r="M260" s="20">
        <v>-8.9999999999999998E-4</v>
      </c>
      <c r="N260" s="20">
        <v>-2.3699999999999999E-2</v>
      </c>
      <c r="O260" s="20">
        <v>0.1721</v>
      </c>
      <c r="P260" s="20">
        <v>0.1119</v>
      </c>
      <c r="Q260" s="20">
        <v>-9.2899999999999996E-2</v>
      </c>
      <c r="R260" s="20">
        <v>5.3600000000000002E-2</v>
      </c>
      <c r="S260" s="20">
        <v>1.61E-2</v>
      </c>
      <c r="T260" s="20">
        <v>-7.4899999999999994E-2</v>
      </c>
      <c r="U260" s="20">
        <v>0.2072</v>
      </c>
      <c r="V260" s="20">
        <v>5.2200000000000003E-2</v>
      </c>
      <c r="W260" s="20">
        <v>-0.2651</v>
      </c>
      <c r="X260" s="20">
        <v>-0.16980000000000001</v>
      </c>
      <c r="Y260" s="20">
        <v>0.2959</v>
      </c>
      <c r="Z260" s="20">
        <v>0.1522</v>
      </c>
      <c r="AA260" s="20">
        <v>-0.17069999999999999</v>
      </c>
      <c r="AB260" s="20">
        <v>1.47E-2</v>
      </c>
      <c r="AC260" s="20">
        <v>0.192</v>
      </c>
      <c r="AD260" s="20">
        <v>-2.18E-2</v>
      </c>
      <c r="AE260" s="20">
        <v>5.9700000000000003E-2</v>
      </c>
      <c r="AF260" s="20">
        <v>0.2195</v>
      </c>
      <c r="AG260" s="20">
        <v>-0.16880000000000001</v>
      </c>
      <c r="AH260" s="20">
        <v>-0.32100000000000001</v>
      </c>
      <c r="AI260" s="20">
        <v>-4.3E-3</v>
      </c>
      <c r="AJ260" s="20">
        <v>-4.9799999999999997E-2</v>
      </c>
      <c r="AK260" s="20">
        <v>6.6400000000000001E-2</v>
      </c>
      <c r="AL260" s="21">
        <v>-9.6299999999999997E-2</v>
      </c>
    </row>
    <row r="261" spans="1:38">
      <c r="A261" s="20">
        <v>-0.1075</v>
      </c>
      <c r="B261" s="20">
        <v>-0.1321</v>
      </c>
      <c r="C261" s="20">
        <v>0.28120000000000001</v>
      </c>
      <c r="D261" s="20">
        <v>-7.0400000000000004E-2</v>
      </c>
      <c r="E261" s="20">
        <v>0.05</v>
      </c>
      <c r="F261" s="20">
        <v>-0.112</v>
      </c>
      <c r="G261" s="20">
        <v>-9.1200000000000003E-2</v>
      </c>
      <c r="H261" s="20">
        <v>-2.23E-2</v>
      </c>
      <c r="I261" s="20">
        <v>-0.24560000000000001</v>
      </c>
      <c r="J261" s="20">
        <v>0.28770000000000001</v>
      </c>
      <c r="K261" s="20">
        <v>-8.8200000000000001E-2</v>
      </c>
      <c r="L261" s="20">
        <v>-3.2199999999999999E-2</v>
      </c>
      <c r="M261" s="20">
        <v>0.1817</v>
      </c>
      <c r="N261" s="20">
        <v>-0.18360000000000001</v>
      </c>
      <c r="O261" s="20">
        <v>-2.0799999999999999E-2</v>
      </c>
      <c r="P261" s="20">
        <v>-0.19040000000000001</v>
      </c>
      <c r="Q261" s="20">
        <v>8.9300000000000004E-2</v>
      </c>
      <c r="R261" s="20">
        <v>0.1101</v>
      </c>
      <c r="S261" s="20">
        <v>-8.8200000000000001E-2</v>
      </c>
      <c r="T261" s="20">
        <v>0.1366</v>
      </c>
      <c r="U261" s="20">
        <v>-9.3899999999999997E-2</v>
      </c>
      <c r="V261" s="20">
        <v>-2.9899999999999999E-2</v>
      </c>
      <c r="W261" s="20">
        <v>-1.21E-2</v>
      </c>
      <c r="X261" s="20">
        <v>0.2135</v>
      </c>
      <c r="Y261" s="20">
        <v>0.38990000000000002</v>
      </c>
      <c r="Z261" s="20">
        <v>-0.30320000000000003</v>
      </c>
      <c r="AA261" s="20">
        <v>4.9200000000000001E-2</v>
      </c>
      <c r="AB261" s="20">
        <v>9.2399999999999996E-2</v>
      </c>
      <c r="AC261" s="20">
        <v>-0.1726</v>
      </c>
      <c r="AD261" s="20">
        <v>-8.1000000000000003E-2</v>
      </c>
      <c r="AE261" s="20">
        <v>-0.1143</v>
      </c>
      <c r="AF261" s="20">
        <v>0.1915</v>
      </c>
      <c r="AG261" s="20">
        <v>-0.15179999999999999</v>
      </c>
      <c r="AH261" s="20">
        <v>0.19420000000000001</v>
      </c>
      <c r="AI261" s="20">
        <v>0.1522</v>
      </c>
      <c r="AJ261" s="20">
        <v>-6.9599999999999995E-2</v>
      </c>
      <c r="AK261" s="20">
        <v>0.187</v>
      </c>
      <c r="AL261" s="21">
        <v>-0.2029</v>
      </c>
    </row>
    <row r="262" spans="1:38">
      <c r="A262" s="20">
        <v>-8.3400000000000002E-2</v>
      </c>
      <c r="B262" s="20">
        <v>-0.2082</v>
      </c>
      <c r="C262" s="20">
        <v>8.8499999999999995E-2</v>
      </c>
      <c r="D262" s="20">
        <v>-0.40679999999999999</v>
      </c>
      <c r="E262" s="20">
        <v>0.1022</v>
      </c>
      <c r="F262" s="20">
        <v>0.17319999999999999</v>
      </c>
      <c r="G262" s="20">
        <v>2.5700000000000001E-2</v>
      </c>
      <c r="H262" s="20">
        <v>6.3799999999999996E-2</v>
      </c>
      <c r="I262" s="20">
        <v>1.6500000000000001E-2</v>
      </c>
      <c r="J262" s="20">
        <v>-0.21440000000000001</v>
      </c>
      <c r="K262" s="20">
        <v>1.41E-2</v>
      </c>
      <c r="L262" s="20">
        <v>7.5499999999999998E-2</v>
      </c>
      <c r="M262" s="20">
        <v>0.1142</v>
      </c>
      <c r="N262" s="20">
        <v>-0.21709999999999999</v>
      </c>
      <c r="O262" s="20">
        <v>-0.36599999999999999</v>
      </c>
      <c r="P262" s="20">
        <v>7.0999999999999994E-2</v>
      </c>
      <c r="Q262" s="20">
        <v>-2.3999999999999998E-3</v>
      </c>
      <c r="R262" s="20">
        <v>-0.1108</v>
      </c>
      <c r="S262" s="20">
        <v>0.22059999999999999</v>
      </c>
      <c r="T262" s="20">
        <v>-0.16289999999999999</v>
      </c>
      <c r="U262" s="20">
        <v>0.15129999999999999</v>
      </c>
      <c r="V262" s="20">
        <v>-0.1983</v>
      </c>
      <c r="W262" s="20">
        <v>0.1321</v>
      </c>
      <c r="X262" s="20">
        <v>1.2999999999999999E-2</v>
      </c>
      <c r="Y262" s="20">
        <v>0.1249</v>
      </c>
      <c r="Z262" s="20">
        <v>-0.1842</v>
      </c>
      <c r="AA262" s="20">
        <v>6.7599999999999993E-2</v>
      </c>
      <c r="AB262" s="20">
        <v>0.16600000000000001</v>
      </c>
      <c r="AC262" s="20">
        <v>-1.6500000000000001E-2</v>
      </c>
      <c r="AD262" s="20">
        <v>-0.21340000000000001</v>
      </c>
      <c r="AE262" s="20">
        <v>0.22500000000000001</v>
      </c>
      <c r="AF262" s="20">
        <v>0.21160000000000001</v>
      </c>
      <c r="AG262" s="20">
        <v>-2.3E-2</v>
      </c>
      <c r="AH262" s="20">
        <v>0.1105</v>
      </c>
      <c r="AI262" s="20">
        <v>-1.6999999999999999E-3</v>
      </c>
      <c r="AJ262" s="20">
        <v>-9.1899999999999996E-2</v>
      </c>
      <c r="AK262" s="20">
        <v>9.1200000000000003E-2</v>
      </c>
      <c r="AL262" s="21">
        <v>0.24529999999999999</v>
      </c>
    </row>
    <row r="263" spans="1:38">
      <c r="A263" s="20">
        <v>0.28039999999999998</v>
      </c>
      <c r="B263" s="20">
        <v>0.1041</v>
      </c>
      <c r="C263" s="20">
        <v>-0.1406</v>
      </c>
      <c r="D263" s="20">
        <v>0.19</v>
      </c>
      <c r="E263" s="20">
        <v>4.8500000000000001E-2</v>
      </c>
      <c r="F263" s="20">
        <v>0.27210000000000001</v>
      </c>
      <c r="G263" s="20">
        <v>0.1489</v>
      </c>
      <c r="H263" s="20">
        <v>-0.2228</v>
      </c>
      <c r="I263" s="20">
        <v>-9.9099999999999994E-2</v>
      </c>
      <c r="J263" s="20">
        <v>-7.22E-2</v>
      </c>
      <c r="K263" s="20">
        <v>-8.0100000000000005E-2</v>
      </c>
      <c r="L263" s="20">
        <v>-1.41E-2</v>
      </c>
      <c r="M263" s="20">
        <v>-0.1033</v>
      </c>
      <c r="N263" s="20">
        <v>4.02E-2</v>
      </c>
      <c r="O263" s="20">
        <v>0.1709</v>
      </c>
      <c r="P263" s="20">
        <v>-0.1265</v>
      </c>
      <c r="Q263" s="20">
        <v>-0.1522</v>
      </c>
      <c r="R263" s="20">
        <v>-0.27050000000000002</v>
      </c>
      <c r="S263" s="20">
        <v>5.1900000000000002E-2</v>
      </c>
      <c r="T263" s="20">
        <v>-4.2700000000000002E-2</v>
      </c>
      <c r="U263" s="20">
        <v>7.2599999999999998E-2</v>
      </c>
      <c r="V263" s="20">
        <v>1.66E-2</v>
      </c>
      <c r="W263" s="20">
        <v>6.6000000000000003E-2</v>
      </c>
      <c r="X263" s="20">
        <v>7.9000000000000008E-3</v>
      </c>
      <c r="Y263" s="20">
        <v>6.6000000000000003E-2</v>
      </c>
      <c r="Z263" s="20">
        <v>-0.26629999999999998</v>
      </c>
      <c r="AA263" s="20">
        <v>-0.1356</v>
      </c>
      <c r="AB263" s="20">
        <v>0.25629999999999997</v>
      </c>
      <c r="AC263" s="20">
        <v>7.6300000000000007E-2</v>
      </c>
      <c r="AD263" s="20">
        <v>0.25140000000000001</v>
      </c>
      <c r="AE263" s="20">
        <v>-6.6799999999999998E-2</v>
      </c>
      <c r="AF263" s="20">
        <v>0.20369999999999999</v>
      </c>
      <c r="AG263" s="20">
        <v>-0.24349999999999999</v>
      </c>
      <c r="AH263" s="20">
        <v>-7.9000000000000008E-3</v>
      </c>
      <c r="AI263" s="20">
        <v>0.1477</v>
      </c>
      <c r="AJ263" s="20">
        <v>-7.5899999999999995E-2</v>
      </c>
      <c r="AK263" s="20">
        <v>-0.39119999999999999</v>
      </c>
      <c r="AL263" s="21">
        <v>4.7699999999999999E-2</v>
      </c>
    </row>
    <row r="264" spans="1:38">
      <c r="A264" s="20">
        <v>0.43559999999999999</v>
      </c>
      <c r="B264" s="20">
        <v>-0.37090000000000001</v>
      </c>
      <c r="C264" s="20">
        <v>-9.5100000000000004E-2</v>
      </c>
      <c r="D264" s="20">
        <v>-0.3145</v>
      </c>
      <c r="E264" s="20">
        <v>2.7799999999999998E-2</v>
      </c>
      <c r="F264" s="20">
        <v>7.7000000000000002E-3</v>
      </c>
      <c r="G264" s="20">
        <v>-0.21429999999999999</v>
      </c>
      <c r="H264" s="20">
        <v>-1.43E-2</v>
      </c>
      <c r="I264" s="20">
        <v>4.9700000000000001E-2</v>
      </c>
      <c r="J264" s="20">
        <v>-2.93E-2</v>
      </c>
      <c r="K264" s="20">
        <v>-0.06</v>
      </c>
      <c r="L264" s="20">
        <v>0.28710000000000002</v>
      </c>
      <c r="M264" s="20">
        <v>-0.20039999999999999</v>
      </c>
      <c r="N264" s="20">
        <v>5.6000000000000001E-2</v>
      </c>
      <c r="O264" s="20">
        <v>8.6699999999999999E-2</v>
      </c>
      <c r="P264" s="20">
        <v>-3.3599999999999998E-2</v>
      </c>
      <c r="Q264" s="20">
        <v>7.8299999999999995E-2</v>
      </c>
      <c r="R264" s="20">
        <v>8.6300000000000002E-2</v>
      </c>
      <c r="S264" s="20">
        <v>-0.1331</v>
      </c>
      <c r="T264" s="20">
        <v>0.19489999999999999</v>
      </c>
      <c r="U264" s="20">
        <v>-3.04E-2</v>
      </c>
      <c r="V264" s="20">
        <v>7.7499999999999999E-2</v>
      </c>
      <c r="W264" s="20">
        <v>-0.17780000000000001</v>
      </c>
      <c r="X264" s="20">
        <v>0.1024</v>
      </c>
      <c r="Y264" s="20">
        <v>5.8900000000000001E-2</v>
      </c>
      <c r="Z264" s="20">
        <v>-0.1196</v>
      </c>
      <c r="AA264" s="20">
        <v>-9.9099999999999994E-2</v>
      </c>
      <c r="AB264" s="20">
        <v>0.17369999999999999</v>
      </c>
      <c r="AC264" s="20">
        <v>-3.9100000000000003E-2</v>
      </c>
      <c r="AD264" s="20">
        <v>-9.1399999999999995E-2</v>
      </c>
      <c r="AE264" s="20">
        <v>-5.1900000000000002E-2</v>
      </c>
      <c r="AF264" s="20">
        <v>0.2374</v>
      </c>
      <c r="AG264" s="20">
        <v>0.1565</v>
      </c>
      <c r="AH264" s="20">
        <v>-0.16020000000000001</v>
      </c>
      <c r="AI264" s="20">
        <v>0.10639999999999999</v>
      </c>
      <c r="AJ264" s="20">
        <v>0.2205</v>
      </c>
      <c r="AK264" s="20">
        <v>-0.11409999999999999</v>
      </c>
      <c r="AL264" s="21">
        <v>-9.0700000000000003E-2</v>
      </c>
    </row>
    <row r="265" spans="1:38">
      <c r="A265" s="20">
        <v>0.41139999999999999</v>
      </c>
      <c r="B265" s="20">
        <v>-0.49640000000000001</v>
      </c>
      <c r="C265" s="20">
        <v>-0.2203</v>
      </c>
      <c r="D265" s="20">
        <v>0.27489999999999998</v>
      </c>
      <c r="E265" s="20">
        <v>-8.0699999999999994E-2</v>
      </c>
      <c r="F265" s="20">
        <v>2.3199999999999998E-2</v>
      </c>
      <c r="G265" s="20">
        <v>7.1000000000000004E-3</v>
      </c>
      <c r="H265" s="20">
        <v>-3.2199999999999999E-2</v>
      </c>
      <c r="I265" s="20">
        <v>-0.1014</v>
      </c>
      <c r="J265" s="20">
        <v>-0.2208</v>
      </c>
      <c r="K265" s="20">
        <v>2.7099999999999999E-2</v>
      </c>
      <c r="L265" s="20">
        <v>0.16739999999999999</v>
      </c>
      <c r="M265" s="20">
        <v>-0.16250000000000001</v>
      </c>
      <c r="N265" s="20">
        <v>2.1700000000000001E-2</v>
      </c>
      <c r="O265" s="20">
        <v>3.39E-2</v>
      </c>
      <c r="P265" s="20">
        <v>-0.15090000000000001</v>
      </c>
      <c r="Q265" s="20">
        <v>0.12720000000000001</v>
      </c>
      <c r="R265" s="20">
        <v>-6.1000000000000004E-3</v>
      </c>
      <c r="S265" s="20">
        <v>-0.24149999999999999</v>
      </c>
      <c r="T265" s="20">
        <v>4.4000000000000003E-3</v>
      </c>
      <c r="U265" s="20">
        <v>0.18010000000000001</v>
      </c>
      <c r="V265" s="20">
        <v>6.0199999999999997E-2</v>
      </c>
      <c r="W265" s="20">
        <v>-8.0699999999999994E-2</v>
      </c>
      <c r="X265" s="20">
        <v>-6.4299999999999996E-2</v>
      </c>
      <c r="Y265" s="20">
        <v>2.3199999999999998E-2</v>
      </c>
      <c r="Z265" s="20">
        <v>5.5100000000000003E-2</v>
      </c>
      <c r="AA265" s="20">
        <v>6.3600000000000004E-2</v>
      </c>
      <c r="AB265" s="20">
        <v>0.1842</v>
      </c>
      <c r="AC265" s="20">
        <v>7.7999999999999996E-3</v>
      </c>
      <c r="AD265" s="20">
        <v>-0.26369999999999999</v>
      </c>
      <c r="AE265" s="20">
        <v>5.1200000000000002E-2</v>
      </c>
      <c r="AF265" s="20">
        <v>0.1694</v>
      </c>
      <c r="AG265" s="20">
        <v>-1.5599999999999999E-2</v>
      </c>
      <c r="AH265" s="20">
        <v>-5.0900000000000001E-2</v>
      </c>
      <c r="AI265" s="20">
        <v>0.19980000000000001</v>
      </c>
      <c r="AJ265" s="20">
        <v>2.3999999999999998E-3</v>
      </c>
      <c r="AK265" s="20">
        <v>1.1999999999999999E-3</v>
      </c>
      <c r="AL265" s="21">
        <v>8.3799999999999999E-2</v>
      </c>
    </row>
    <row r="266" spans="1:38">
      <c r="A266" s="20">
        <v>0.1633</v>
      </c>
      <c r="B266" s="20">
        <v>-0.37590000000000001</v>
      </c>
      <c r="C266" s="20">
        <v>-6.5799999999999997E-2</v>
      </c>
      <c r="D266" s="20">
        <v>0.14680000000000001</v>
      </c>
      <c r="E266" s="20">
        <v>0.53149999999999997</v>
      </c>
      <c r="F266" s="20">
        <v>-7.3899999999999993E-2</v>
      </c>
      <c r="G266" s="20">
        <v>2.52E-2</v>
      </c>
      <c r="H266" s="20">
        <v>8.8400000000000006E-2</v>
      </c>
      <c r="I266" s="20">
        <v>-0.13239999999999999</v>
      </c>
      <c r="J266" s="20">
        <v>-0.2147</v>
      </c>
      <c r="K266" s="20">
        <v>-5.8099999999999999E-2</v>
      </c>
      <c r="L266" s="20">
        <v>8.6300000000000002E-2</v>
      </c>
      <c r="M266" s="20">
        <v>-0.22</v>
      </c>
      <c r="N266" s="20">
        <v>0.21329999999999999</v>
      </c>
      <c r="O266" s="20">
        <v>1.6799999999999999E-2</v>
      </c>
      <c r="P266" s="20">
        <v>6.8900000000000003E-2</v>
      </c>
      <c r="Q266" s="20">
        <v>0.19889999999999999</v>
      </c>
      <c r="R266" s="20">
        <v>-6.4799999999999996E-2</v>
      </c>
      <c r="S266" s="20">
        <v>-0.26640000000000003</v>
      </c>
      <c r="T266" s="20">
        <v>6.8199999999999997E-2</v>
      </c>
      <c r="U266" s="20">
        <v>6.7000000000000002E-3</v>
      </c>
      <c r="V266" s="20">
        <v>2.8199999999999999E-2</v>
      </c>
      <c r="W266" s="20">
        <v>-5.4100000000000002E-2</v>
      </c>
      <c r="X266" s="20">
        <v>0.18240000000000001</v>
      </c>
      <c r="Y266" s="20">
        <v>-0.1105</v>
      </c>
      <c r="Z266" s="20">
        <v>2.75E-2</v>
      </c>
      <c r="AA266" s="20">
        <v>-0.1183</v>
      </c>
      <c r="AB266" s="20">
        <v>0.11219999999999999</v>
      </c>
      <c r="AC266" s="20">
        <v>5.74E-2</v>
      </c>
      <c r="AD266" s="20">
        <v>-0.16020000000000001</v>
      </c>
      <c r="AE266" s="20">
        <v>-0.27110000000000001</v>
      </c>
      <c r="AF266" s="20">
        <v>4.0000000000000001E-3</v>
      </c>
      <c r="AG266" s="20">
        <v>2E-3</v>
      </c>
      <c r="AH266" s="20">
        <v>-0.1149</v>
      </c>
      <c r="AI266" s="20">
        <v>6.2799999999999995E-2</v>
      </c>
      <c r="AJ266" s="20">
        <v>2.3900000000000001E-2</v>
      </c>
      <c r="AK266" s="20">
        <v>8.2600000000000007E-2</v>
      </c>
      <c r="AL266" s="21">
        <v>0.11559999999999999</v>
      </c>
    </row>
    <row r="267" spans="1:38">
      <c r="A267" s="20">
        <v>0.49209999999999998</v>
      </c>
      <c r="B267" s="20">
        <v>-0.33329999999999999</v>
      </c>
      <c r="C267" s="20">
        <v>-1.01E-2</v>
      </c>
      <c r="D267" s="20">
        <v>-0.1512</v>
      </c>
      <c r="E267" s="20">
        <v>3.9800000000000002E-2</v>
      </c>
      <c r="F267" s="20">
        <v>1.37E-2</v>
      </c>
      <c r="G267" s="20">
        <v>-7.9600000000000004E-2</v>
      </c>
      <c r="H267" s="20">
        <v>0.1492</v>
      </c>
      <c r="I267" s="20">
        <v>-8.1199999999999994E-2</v>
      </c>
      <c r="J267" s="20">
        <v>1.2500000000000001E-2</v>
      </c>
      <c r="K267" s="20">
        <v>5.8299999999999998E-2</v>
      </c>
      <c r="L267" s="20">
        <v>0.3281</v>
      </c>
      <c r="M267" s="20">
        <v>-0.24360000000000001</v>
      </c>
      <c r="N267" s="20">
        <v>0.10009999999999999</v>
      </c>
      <c r="O267" s="20">
        <v>0.19339999999999999</v>
      </c>
      <c r="P267" s="20">
        <v>-0.15920000000000001</v>
      </c>
      <c r="Q267" s="20">
        <v>-9.5999999999999992E-3</v>
      </c>
      <c r="R267" s="20">
        <v>4.4600000000000001E-2</v>
      </c>
      <c r="S267" s="20">
        <v>-6.6299999999999998E-2</v>
      </c>
      <c r="T267" s="20">
        <v>0.12139999999999999</v>
      </c>
      <c r="U267" s="20">
        <v>-0.13350000000000001</v>
      </c>
      <c r="V267" s="20">
        <v>0.1303</v>
      </c>
      <c r="W267" s="20">
        <v>-0.1668</v>
      </c>
      <c r="X267" s="20">
        <v>0.22509999999999999</v>
      </c>
      <c r="Y267" s="20">
        <v>0.1226</v>
      </c>
      <c r="Z267" s="20">
        <v>-0.1918</v>
      </c>
      <c r="AA267" s="20">
        <v>-4.3400000000000001E-2</v>
      </c>
      <c r="AB267" s="20">
        <v>-7.7600000000000002E-2</v>
      </c>
      <c r="AC267" s="20">
        <v>3.5000000000000003E-2</v>
      </c>
      <c r="AD267" s="20">
        <v>-0.18090000000000001</v>
      </c>
      <c r="AE267" s="20">
        <v>-6.2700000000000006E-2</v>
      </c>
      <c r="AF267" s="20">
        <v>-2.1700000000000001E-2</v>
      </c>
      <c r="AG267" s="20">
        <v>-0.1134</v>
      </c>
      <c r="AH267" s="20">
        <v>-0.22070000000000001</v>
      </c>
      <c r="AI267" s="20">
        <v>0.11899999999999999</v>
      </c>
      <c r="AJ267" s="20">
        <v>0.1391</v>
      </c>
      <c r="AK267" s="20">
        <v>-8.5199999999999998E-2</v>
      </c>
      <c r="AL267" s="21">
        <v>9.2899999999999996E-2</v>
      </c>
    </row>
    <row r="268" spans="1:38">
      <c r="A268" s="20">
        <v>0.27989999999999998</v>
      </c>
      <c r="B268" s="20">
        <v>-0.3881</v>
      </c>
      <c r="C268" s="20">
        <v>0.18310000000000001</v>
      </c>
      <c r="D268" s="20">
        <v>0.13220000000000001</v>
      </c>
      <c r="E268" s="20">
        <v>8.2000000000000003E-2</v>
      </c>
      <c r="F268" s="20">
        <v>7.17E-2</v>
      </c>
      <c r="G268" s="20">
        <v>8.8400000000000006E-2</v>
      </c>
      <c r="H268" s="20">
        <v>3.78E-2</v>
      </c>
      <c r="I268" s="20">
        <v>4.6600000000000003E-2</v>
      </c>
      <c r="J268" s="20">
        <v>-6.9699999999999998E-2</v>
      </c>
      <c r="K268" s="20">
        <v>-7.4800000000000005E-2</v>
      </c>
      <c r="L268" s="20">
        <v>0.1007</v>
      </c>
      <c r="M268" s="20">
        <v>0.18590000000000001</v>
      </c>
      <c r="N268" s="20">
        <v>-0.44190000000000002</v>
      </c>
      <c r="O268" s="20">
        <v>-1.3899999999999999E-2</v>
      </c>
      <c r="P268" s="20">
        <v>-0.18149999999999999</v>
      </c>
      <c r="Q268" s="20">
        <v>-1.9099999999999999E-2</v>
      </c>
      <c r="R268" s="20">
        <v>-0.1099</v>
      </c>
      <c r="S268" s="20">
        <v>-0.1915</v>
      </c>
      <c r="T268" s="20">
        <v>0.25800000000000001</v>
      </c>
      <c r="U268" s="20">
        <v>0.1537</v>
      </c>
      <c r="V268" s="20">
        <v>0.123</v>
      </c>
      <c r="W268" s="20">
        <v>-0.13730000000000001</v>
      </c>
      <c r="X268" s="20">
        <v>1.1999999999999999E-3</v>
      </c>
      <c r="Y268" s="20">
        <v>1.5100000000000001E-2</v>
      </c>
      <c r="Z268" s="20">
        <v>4.0599999999999997E-2</v>
      </c>
      <c r="AA268" s="20">
        <v>5.57E-2</v>
      </c>
      <c r="AB268" s="20">
        <v>4.6600000000000003E-2</v>
      </c>
      <c r="AC268" s="20">
        <v>-0.19270000000000001</v>
      </c>
      <c r="AD268" s="20">
        <v>-0.26269999999999999</v>
      </c>
      <c r="AE268" s="20">
        <v>-3.0700000000000002E-2</v>
      </c>
      <c r="AF268" s="20">
        <v>0.16400000000000001</v>
      </c>
      <c r="AG268" s="20">
        <v>3.9E-2</v>
      </c>
      <c r="AH268" s="20">
        <v>-0.1198</v>
      </c>
      <c r="AI268" s="20">
        <v>0.20499999999999999</v>
      </c>
      <c r="AJ268" s="20">
        <v>0.13059999999999999</v>
      </c>
      <c r="AK268" s="20">
        <v>-6.4100000000000004E-2</v>
      </c>
      <c r="AL268" s="21">
        <v>-0.14050000000000001</v>
      </c>
    </row>
    <row r="269" spans="1:38">
      <c r="A269" s="20">
        <v>0.30980000000000002</v>
      </c>
      <c r="B269" s="20">
        <v>-0.24</v>
      </c>
      <c r="C269" s="20">
        <v>-0.24279999999999999</v>
      </c>
      <c r="D269" s="20">
        <v>0.19350000000000001</v>
      </c>
      <c r="E269" s="20">
        <v>-0.21390000000000001</v>
      </c>
      <c r="F269" s="20">
        <v>-3.8999999999999998E-3</v>
      </c>
      <c r="G269" s="20">
        <v>4.2000000000000003E-2</v>
      </c>
      <c r="H269" s="20">
        <v>0.31569999999999998</v>
      </c>
      <c r="I269" s="20">
        <v>1.17E-2</v>
      </c>
      <c r="J269" s="20">
        <v>-0.13689999999999999</v>
      </c>
      <c r="K269" s="20">
        <v>-1.55E-2</v>
      </c>
      <c r="L269" s="20">
        <v>0.19059999999999999</v>
      </c>
      <c r="M269" s="20">
        <v>-0.35780000000000001</v>
      </c>
      <c r="N269" s="20">
        <v>0.1206</v>
      </c>
      <c r="O269" s="20">
        <v>-8.1000000000000003E-2</v>
      </c>
      <c r="P269" s="20">
        <v>-6.4399999999999999E-2</v>
      </c>
      <c r="Q269" s="20">
        <v>0.1777</v>
      </c>
      <c r="R269" s="20">
        <v>0.23599999999999999</v>
      </c>
      <c r="S269" s="20">
        <v>-0.15210000000000001</v>
      </c>
      <c r="T269" s="20">
        <v>-0.2072</v>
      </c>
      <c r="U269" s="20">
        <v>0.1148</v>
      </c>
      <c r="V269" s="20">
        <v>-0.20660000000000001</v>
      </c>
      <c r="W269" s="20">
        <v>8.7999999999999995E-2</v>
      </c>
      <c r="X269" s="20">
        <v>-0.2044</v>
      </c>
      <c r="Y269" s="20">
        <v>-7.8799999999999995E-2</v>
      </c>
      <c r="Z269" s="20">
        <v>0.1123</v>
      </c>
      <c r="AA269" s="20">
        <v>0.1163</v>
      </c>
      <c r="AB269" s="20">
        <v>6.9699999999999998E-2</v>
      </c>
      <c r="AC269" s="20">
        <v>0.1089</v>
      </c>
      <c r="AD269" s="20">
        <v>-9.9500000000000005E-2</v>
      </c>
      <c r="AE269" s="20">
        <v>0.1416</v>
      </c>
      <c r="AF269" s="20">
        <v>0.1207</v>
      </c>
      <c r="AG269" s="20">
        <v>-0.1348</v>
      </c>
      <c r="AH269" s="20">
        <v>-3.1399999999999997E-2</v>
      </c>
      <c r="AI269" s="20">
        <v>-0.11409999999999999</v>
      </c>
      <c r="AJ269" s="20">
        <v>3.7600000000000001E-2</v>
      </c>
      <c r="AK269" s="20">
        <v>-1.3899999999999999E-2</v>
      </c>
      <c r="AL269" s="21">
        <v>8.9099999999999999E-2</v>
      </c>
    </row>
    <row r="270" spans="1:38">
      <c r="A270" s="20">
        <v>-0.19259999999999999</v>
      </c>
      <c r="B270" s="20">
        <v>-0.12520000000000001</v>
      </c>
      <c r="C270" s="20">
        <v>0.23880000000000001</v>
      </c>
      <c r="D270" s="20">
        <v>0.14299999999999999</v>
      </c>
      <c r="E270" s="20">
        <v>0.23930000000000001</v>
      </c>
      <c r="F270" s="20">
        <v>-0.15190000000000001</v>
      </c>
      <c r="G270" s="20">
        <v>-0.1681</v>
      </c>
      <c r="H270" s="20">
        <v>0.2404</v>
      </c>
      <c r="I270" s="20">
        <v>-2.1700000000000001E-2</v>
      </c>
      <c r="J270" s="20">
        <v>7.51E-2</v>
      </c>
      <c r="K270" s="20">
        <v>-0.3039</v>
      </c>
      <c r="L270" s="20">
        <v>2.8E-3</v>
      </c>
      <c r="M270" s="20">
        <v>0.18310000000000001</v>
      </c>
      <c r="N270" s="20">
        <v>0.1759</v>
      </c>
      <c r="O270" s="20">
        <v>7.3999999999999996E-2</v>
      </c>
      <c r="P270" s="20">
        <v>0.27989999999999998</v>
      </c>
      <c r="Q270" s="20">
        <v>1.7299999999999999E-2</v>
      </c>
      <c r="R270" s="20">
        <v>-8.8499999999999995E-2</v>
      </c>
      <c r="S270" s="20">
        <v>7.9000000000000001E-2</v>
      </c>
      <c r="T270" s="20">
        <v>0.1308</v>
      </c>
      <c r="U270" s="20">
        <v>0.21759999999999999</v>
      </c>
      <c r="V270" s="20">
        <v>-0.30330000000000001</v>
      </c>
      <c r="W270" s="20">
        <v>-0.19370000000000001</v>
      </c>
      <c r="X270" s="20">
        <v>0.22259999999999999</v>
      </c>
      <c r="Y270" s="20">
        <v>3.9E-2</v>
      </c>
      <c r="Z270" s="20">
        <v>-0.21820000000000001</v>
      </c>
      <c r="AA270" s="20">
        <v>8.0100000000000005E-2</v>
      </c>
      <c r="AB270" s="20">
        <v>-0.1241</v>
      </c>
      <c r="AC270" s="20">
        <v>-8.3000000000000001E-3</v>
      </c>
      <c r="AD270" s="20">
        <v>-8.7900000000000006E-2</v>
      </c>
      <c r="AE270" s="20">
        <v>0.13800000000000001</v>
      </c>
      <c r="AF270" s="20">
        <v>-0.108</v>
      </c>
      <c r="AG270" s="20">
        <v>-3.95E-2</v>
      </c>
      <c r="AH270" s="20">
        <v>-5.5999999999999999E-3</v>
      </c>
      <c r="AI270" s="20">
        <v>3.8399999999999997E-2</v>
      </c>
      <c r="AJ270" s="20">
        <v>-0.2382</v>
      </c>
      <c r="AK270" s="20">
        <v>-8.4599999999999995E-2</v>
      </c>
      <c r="AL270" s="21">
        <v>-0.1492</v>
      </c>
    </row>
    <row r="271" spans="1:38">
      <c r="A271" s="20">
        <v>0.53039999999999998</v>
      </c>
      <c r="B271" s="20">
        <v>-3.9800000000000002E-2</v>
      </c>
      <c r="C271" s="20">
        <v>-0.28100000000000003</v>
      </c>
      <c r="D271" s="20">
        <v>-1.9E-2</v>
      </c>
      <c r="E271" s="20">
        <v>-4.3900000000000002E-2</v>
      </c>
      <c r="F271" s="20">
        <v>3.1099999999999999E-2</v>
      </c>
      <c r="G271" s="20">
        <v>0.1089</v>
      </c>
      <c r="H271" s="20">
        <v>5.0799999999999998E-2</v>
      </c>
      <c r="I271" s="20">
        <v>1.8599999999999998E-2</v>
      </c>
      <c r="J271" s="20">
        <v>0.3039</v>
      </c>
      <c r="K271" s="20">
        <v>-0.1757</v>
      </c>
      <c r="L271" s="20">
        <v>-4.7999999999999996E-3</v>
      </c>
      <c r="M271" s="20">
        <v>5.4199999999999998E-2</v>
      </c>
      <c r="N271" s="20">
        <v>-0.33760000000000001</v>
      </c>
      <c r="O271" s="20">
        <v>-0.1424</v>
      </c>
      <c r="P271" s="20">
        <v>5.7599999999999998E-2</v>
      </c>
      <c r="Q271" s="20">
        <v>-5.1799999999999999E-2</v>
      </c>
      <c r="R271" s="20">
        <v>-0.14630000000000001</v>
      </c>
      <c r="S271" s="20">
        <v>-0.12239999999999999</v>
      </c>
      <c r="T271" s="20">
        <v>-9.8599999999999993E-2</v>
      </c>
      <c r="U271" s="20">
        <v>0.10150000000000001</v>
      </c>
      <c r="V271" s="20">
        <v>-8.72E-2</v>
      </c>
      <c r="W271" s="20">
        <v>2.12E-2</v>
      </c>
      <c r="X271" s="20">
        <v>-0.1215</v>
      </c>
      <c r="Y271" s="20">
        <v>3.4700000000000002E-2</v>
      </c>
      <c r="Z271" s="20">
        <v>-0.13109999999999999</v>
      </c>
      <c r="AA271" s="20">
        <v>8.6999999999999994E-2</v>
      </c>
      <c r="AB271" s="20">
        <v>8.5300000000000001E-2</v>
      </c>
      <c r="AC271" s="20">
        <v>-0.27179999999999999</v>
      </c>
      <c r="AD271" s="20">
        <v>0.1215</v>
      </c>
      <c r="AE271" s="20">
        <v>0.1113</v>
      </c>
      <c r="AF271" s="20">
        <v>3.3999999999999998E-3</v>
      </c>
      <c r="AG271" s="20">
        <v>9.2499999999999999E-2</v>
      </c>
      <c r="AH271" s="20">
        <v>2.7699999999999999E-2</v>
      </c>
      <c r="AI271" s="20">
        <v>-0.2301</v>
      </c>
      <c r="AJ271" s="20">
        <v>0.18049999999999999</v>
      </c>
      <c r="AK271" s="20">
        <v>7.8299999999999995E-2</v>
      </c>
      <c r="AL271" s="21">
        <v>0.1978</v>
      </c>
    </row>
    <row r="272" spans="1:38">
      <c r="A272" s="20">
        <v>-0.51680000000000004</v>
      </c>
      <c r="B272" s="20">
        <v>0.1157</v>
      </c>
      <c r="C272" s="20">
        <v>-8.3299999999999999E-2</v>
      </c>
      <c r="D272" s="20">
        <v>-0.1958</v>
      </c>
      <c r="E272" s="20">
        <v>-0.24640000000000001</v>
      </c>
      <c r="F272" s="20">
        <v>0.26900000000000002</v>
      </c>
      <c r="G272" s="20">
        <v>0.24640000000000001</v>
      </c>
      <c r="H272" s="20">
        <v>7.9000000000000008E-3</v>
      </c>
      <c r="I272" s="20">
        <v>0.1172</v>
      </c>
      <c r="J272" s="20">
        <v>-0.1472</v>
      </c>
      <c r="K272" s="20">
        <v>-0.1066</v>
      </c>
      <c r="L272" s="20">
        <v>8.4699999999999998E-2</v>
      </c>
      <c r="M272" s="20">
        <v>4.8300000000000003E-2</v>
      </c>
      <c r="N272" s="20">
        <v>-8.6300000000000002E-2</v>
      </c>
      <c r="O272" s="20">
        <v>4.2500000000000003E-2</v>
      </c>
      <c r="P272" s="20">
        <v>0.20419999999999999</v>
      </c>
      <c r="Q272" s="20">
        <v>-0.13850000000000001</v>
      </c>
      <c r="R272" s="20">
        <v>0.1197</v>
      </c>
      <c r="S272" s="20">
        <v>0.1542</v>
      </c>
      <c r="T272" s="20">
        <v>9.3899999999999997E-2</v>
      </c>
      <c r="U272" s="20">
        <v>-9.4799999999999995E-2</v>
      </c>
      <c r="V272" s="20">
        <v>-0.1226</v>
      </c>
      <c r="W272" s="20">
        <v>2.4799999999999999E-2</v>
      </c>
      <c r="X272" s="20">
        <v>8.3099999999999993E-2</v>
      </c>
      <c r="Y272" s="20">
        <v>-0.10050000000000001</v>
      </c>
      <c r="Z272" s="20">
        <v>3.6200000000000003E-2</v>
      </c>
      <c r="AA272" s="20">
        <v>-0.17119999999999999</v>
      </c>
      <c r="AB272" s="20">
        <v>4.99E-2</v>
      </c>
      <c r="AC272" s="20">
        <v>-2.1899999999999999E-2</v>
      </c>
      <c r="AD272" s="20">
        <v>3.8199999999999998E-2</v>
      </c>
      <c r="AE272" s="20">
        <v>0.19170000000000001</v>
      </c>
      <c r="AF272" s="20">
        <v>-9.2600000000000002E-2</v>
      </c>
      <c r="AG272" s="20">
        <v>-0.19289999999999999</v>
      </c>
      <c r="AH272" s="20">
        <v>0.15720000000000001</v>
      </c>
      <c r="AI272" s="20">
        <v>0.25900000000000001</v>
      </c>
      <c r="AJ272" s="20">
        <v>-0.17749999999999999</v>
      </c>
      <c r="AK272" s="20">
        <v>-8.3000000000000001E-3</v>
      </c>
      <c r="AL272" s="21">
        <v>0.15670000000000001</v>
      </c>
    </row>
    <row r="273" spans="1:38">
      <c r="A273" s="20">
        <v>1.14E-2</v>
      </c>
      <c r="B273" s="20">
        <v>0.2364</v>
      </c>
      <c r="C273" s="20">
        <v>0.15090000000000001</v>
      </c>
      <c r="D273" s="20">
        <v>0.14680000000000001</v>
      </c>
      <c r="E273" s="20">
        <v>-0.2064</v>
      </c>
      <c r="F273" s="20">
        <v>0.10539999999999999</v>
      </c>
      <c r="G273" s="20">
        <v>0.2316</v>
      </c>
      <c r="H273" s="20">
        <v>-0.39839999999999998</v>
      </c>
      <c r="I273" s="20">
        <v>6.7400000000000002E-2</v>
      </c>
      <c r="J273" s="20">
        <v>-0.12130000000000001</v>
      </c>
      <c r="K273" s="20">
        <v>-0.13270000000000001</v>
      </c>
      <c r="L273" s="20">
        <v>-3.5499999999999997E-2</v>
      </c>
      <c r="M273" s="20">
        <v>-0.21729999999999999</v>
      </c>
      <c r="N273" s="20">
        <v>0.47310000000000002</v>
      </c>
      <c r="O273" s="20">
        <v>-1.23E-2</v>
      </c>
      <c r="P273" s="20">
        <v>3.8999999999999998E-3</v>
      </c>
      <c r="Q273" s="20">
        <v>-9.5100000000000004E-2</v>
      </c>
      <c r="R273" s="20">
        <v>-0.246</v>
      </c>
      <c r="S273" s="20">
        <v>1.3899999999999999E-2</v>
      </c>
      <c r="T273" s="20">
        <v>0.1424</v>
      </c>
      <c r="U273" s="20">
        <v>3.5999999999999997E-2</v>
      </c>
      <c r="V273" s="20">
        <v>9.2999999999999992E-3</v>
      </c>
      <c r="W273" s="20">
        <v>8.5099999999999995E-2</v>
      </c>
      <c r="X273" s="20">
        <v>-9.9900000000000003E-2</v>
      </c>
      <c r="Y273" s="20">
        <v>1.2999999999999999E-2</v>
      </c>
      <c r="Z273" s="20">
        <v>-6.5299999999999997E-2</v>
      </c>
      <c r="AA273" s="20">
        <v>-2.3E-3</v>
      </c>
      <c r="AB273" s="20">
        <v>-2.9399999999999999E-2</v>
      </c>
      <c r="AC273" s="20">
        <v>2.4799999999999999E-2</v>
      </c>
      <c r="AD273" s="20">
        <v>0.20549999999999999</v>
      </c>
      <c r="AE273" s="20">
        <v>-0.109</v>
      </c>
      <c r="AF273" s="20">
        <v>-9.2399999999999996E-2</v>
      </c>
      <c r="AG273" s="20">
        <v>-0.27279999999999999</v>
      </c>
      <c r="AH273" s="20">
        <v>6.1000000000000004E-3</v>
      </c>
      <c r="AI273" s="20">
        <v>6.4399999999999999E-2</v>
      </c>
      <c r="AJ273" s="20">
        <v>-5.28E-2</v>
      </c>
      <c r="AK273" s="20">
        <v>-8.5099999999999995E-2</v>
      </c>
      <c r="AL273" s="21">
        <v>0.2417</v>
      </c>
    </row>
    <row r="274" spans="1:38">
      <c r="A274" s="20">
        <v>0.20699999999999999</v>
      </c>
      <c r="B274" s="20">
        <v>-0.10539999999999999</v>
      </c>
      <c r="C274" s="20">
        <v>-6.7999999999999996E-3</v>
      </c>
      <c r="D274" s="20">
        <v>0.28689999999999999</v>
      </c>
      <c r="E274" s="20">
        <v>0.31950000000000001</v>
      </c>
      <c r="F274" s="20">
        <v>0.1042</v>
      </c>
      <c r="G274" s="20">
        <v>5.6000000000000001E-2</v>
      </c>
      <c r="H274" s="20">
        <v>0.30259999999999998</v>
      </c>
      <c r="I274" s="20">
        <v>-0.13120000000000001</v>
      </c>
      <c r="J274" s="20">
        <v>-0.2324</v>
      </c>
      <c r="K274" s="20">
        <v>-0.24429999999999999</v>
      </c>
      <c r="L274" s="20">
        <v>-0.09</v>
      </c>
      <c r="M274" s="20">
        <v>3.9399999999999998E-2</v>
      </c>
      <c r="N274" s="20">
        <v>0.16400000000000001</v>
      </c>
      <c r="O274" s="20">
        <v>-3.0000000000000001E-3</v>
      </c>
      <c r="P274" s="20">
        <v>0.1845</v>
      </c>
      <c r="Q274" s="20">
        <v>0.34050000000000002</v>
      </c>
      <c r="R274" s="20">
        <v>-0.31390000000000001</v>
      </c>
      <c r="S274" s="20">
        <v>-0.2792</v>
      </c>
      <c r="T274" s="20">
        <v>-0.1401</v>
      </c>
      <c r="U274" s="20">
        <v>0.16789999999999999</v>
      </c>
      <c r="V274" s="20">
        <v>-7.6700000000000004E-2</v>
      </c>
      <c r="W274" s="20">
        <v>-4.3799999999999999E-2</v>
      </c>
      <c r="X274" s="20">
        <v>6.2799999999999995E-2</v>
      </c>
      <c r="Y274" s="20">
        <v>-2.9999999999999997E-4</v>
      </c>
      <c r="Z274" s="20">
        <v>0.11899999999999999</v>
      </c>
      <c r="AA274" s="20">
        <v>-2.2800000000000001E-2</v>
      </c>
      <c r="AB274" s="20">
        <v>-4.2599999999999999E-2</v>
      </c>
      <c r="AC274" s="20">
        <v>-6.7500000000000004E-2</v>
      </c>
      <c r="AD274" s="20">
        <v>-3.6400000000000002E-2</v>
      </c>
      <c r="AE274" s="20">
        <v>-0.17199999999999999</v>
      </c>
      <c r="AF274" s="20">
        <v>-0.17829999999999999</v>
      </c>
      <c r="AG274" s="20">
        <v>1.2999999999999999E-2</v>
      </c>
      <c r="AH274" s="20">
        <v>-0.09</v>
      </c>
      <c r="AI274" s="20">
        <v>-7.8799999999999995E-2</v>
      </c>
      <c r="AJ274" s="20">
        <v>-5.0900000000000001E-2</v>
      </c>
      <c r="AK274" s="20">
        <v>-1.0699999999999999E-2</v>
      </c>
      <c r="AL274" s="21">
        <v>3.9100000000000003E-2</v>
      </c>
    </row>
    <row r="275" spans="1:38">
      <c r="A275" s="20">
        <v>9.69E-2</v>
      </c>
      <c r="B275" s="20">
        <v>-0.26050000000000001</v>
      </c>
      <c r="C275" s="20">
        <v>0.43659999999999999</v>
      </c>
      <c r="D275" s="20">
        <v>0.20830000000000001</v>
      </c>
      <c r="E275" s="20">
        <v>1.43E-2</v>
      </c>
      <c r="F275" s="20">
        <v>-0.1211</v>
      </c>
      <c r="G275" s="20">
        <v>-0.23630000000000001</v>
      </c>
      <c r="H275" s="20">
        <v>0.30980000000000002</v>
      </c>
      <c r="I275" s="20">
        <v>2.3900000000000001E-2</v>
      </c>
      <c r="J275" s="20">
        <v>-8.1699999999999995E-2</v>
      </c>
      <c r="K275" s="20">
        <v>8.7499999999999994E-2</v>
      </c>
      <c r="L275" s="20">
        <v>0.37159999999999999</v>
      </c>
      <c r="M275" s="20">
        <v>-0.16089999999999999</v>
      </c>
      <c r="N275" s="20">
        <v>-0.19639999999999999</v>
      </c>
      <c r="O275" s="20">
        <v>5.6099999999999997E-2</v>
      </c>
      <c r="P275" s="20">
        <v>-0.27450000000000002</v>
      </c>
      <c r="Q275" s="20">
        <v>-0.15659999999999999</v>
      </c>
      <c r="R275" s="20">
        <v>6.7999999999999996E-3</v>
      </c>
      <c r="S275" s="20">
        <v>0.10440000000000001</v>
      </c>
      <c r="T275" s="20">
        <v>6.0900000000000003E-2</v>
      </c>
      <c r="U275" s="20">
        <v>1.8800000000000001E-2</v>
      </c>
      <c r="V275" s="20">
        <v>-3.5799999999999998E-2</v>
      </c>
      <c r="W275" s="20">
        <v>6.7699999999999996E-2</v>
      </c>
      <c r="X275" s="20">
        <v>4.2999999999999997E-2</v>
      </c>
      <c r="Y275" s="20">
        <v>-2.75E-2</v>
      </c>
      <c r="Z275" s="20">
        <v>-0.29430000000000001</v>
      </c>
      <c r="AA275" s="20">
        <v>-7.51E-2</v>
      </c>
      <c r="AB275" s="20">
        <v>2.0000000000000001E-4</v>
      </c>
      <c r="AC275" s="20">
        <v>-6.2300000000000001E-2</v>
      </c>
      <c r="AD275" s="20">
        <v>0.24160000000000001</v>
      </c>
      <c r="AE275" s="20">
        <v>-8.5000000000000006E-3</v>
      </c>
      <c r="AF275" s="20">
        <v>-0.1041</v>
      </c>
      <c r="AG275" s="20">
        <v>3.0200000000000001E-2</v>
      </c>
      <c r="AH275" s="20">
        <v>4.7999999999999996E-3</v>
      </c>
      <c r="AI275" s="20">
        <v>1.2999999999999999E-2</v>
      </c>
      <c r="AJ275" s="20">
        <v>-0.1056</v>
      </c>
      <c r="AK275" s="20">
        <v>1.7899999999999999E-2</v>
      </c>
      <c r="AL275" s="21">
        <v>-6.7999999999999996E-3</v>
      </c>
    </row>
    <row r="276" spans="1:38">
      <c r="A276" s="20">
        <v>-0.28560000000000002</v>
      </c>
      <c r="B276" s="20">
        <v>-0.2135</v>
      </c>
      <c r="C276" s="20">
        <v>0.1094</v>
      </c>
      <c r="D276" s="20">
        <v>-0.15579999999999999</v>
      </c>
      <c r="E276" s="20">
        <v>-0.10580000000000001</v>
      </c>
      <c r="F276" s="20">
        <v>0.26950000000000002</v>
      </c>
      <c r="G276" s="20">
        <v>-3.8199999999999998E-2</v>
      </c>
      <c r="H276" s="20">
        <v>-0.15620000000000001</v>
      </c>
      <c r="I276" s="20">
        <v>0.49309999999999998</v>
      </c>
      <c r="J276" s="20">
        <v>0.17069999999999999</v>
      </c>
      <c r="K276" s="20">
        <v>4.8800000000000003E-2</v>
      </c>
      <c r="L276" s="20">
        <v>0.32950000000000002</v>
      </c>
      <c r="M276" s="20">
        <v>-0.1177</v>
      </c>
      <c r="N276" s="20">
        <v>-0.17960000000000001</v>
      </c>
      <c r="O276" s="20">
        <v>-0.1094</v>
      </c>
      <c r="P276" s="20">
        <v>9.0200000000000002E-2</v>
      </c>
      <c r="Q276" s="20">
        <v>0.1244</v>
      </c>
      <c r="R276" s="20">
        <v>1.01E-2</v>
      </c>
      <c r="S276" s="20">
        <v>-0.1033</v>
      </c>
      <c r="T276" s="20">
        <v>0.16689999999999999</v>
      </c>
      <c r="U276" s="20">
        <v>-0.1159</v>
      </c>
      <c r="V276" s="20">
        <v>6.2300000000000001E-2</v>
      </c>
      <c r="W276" s="20">
        <v>-0.1273</v>
      </c>
      <c r="X276" s="20">
        <v>-6.9400000000000003E-2</v>
      </c>
      <c r="Y276" s="20">
        <v>-0.1231</v>
      </c>
      <c r="Z276" s="20">
        <v>0.1671</v>
      </c>
      <c r="AA276" s="20">
        <v>2.4500000000000001E-2</v>
      </c>
      <c r="AB276" s="20">
        <v>-2.7400000000000001E-2</v>
      </c>
      <c r="AC276" s="20">
        <v>-9.06E-2</v>
      </c>
      <c r="AD276" s="20">
        <v>2.8299999999999999E-2</v>
      </c>
      <c r="AE276" s="20">
        <v>-0.13420000000000001</v>
      </c>
      <c r="AF276" s="20">
        <v>5.8299999999999998E-2</v>
      </c>
      <c r="AG276" s="20">
        <v>-1.3100000000000001E-2</v>
      </c>
      <c r="AH276" s="20">
        <v>-5.8799999999999998E-2</v>
      </c>
      <c r="AI276" s="20">
        <v>-0.13730000000000001</v>
      </c>
      <c r="AJ276" s="20">
        <v>0.25800000000000001</v>
      </c>
      <c r="AK276" s="20">
        <v>7.6499999999999999E-2</v>
      </c>
      <c r="AL276" s="21">
        <v>-0.12330000000000001</v>
      </c>
    </row>
    <row r="277" spans="1:38">
      <c r="A277" s="20">
        <v>7.3000000000000001E-3</v>
      </c>
      <c r="B277" s="20">
        <v>0.17760000000000001</v>
      </c>
      <c r="C277" s="20">
        <v>-0.1779</v>
      </c>
      <c r="D277" s="20">
        <v>0.1227</v>
      </c>
      <c r="E277" s="20">
        <v>-1.1299999999999999E-2</v>
      </c>
      <c r="F277" s="20">
        <v>-0.2908</v>
      </c>
      <c r="G277" s="20">
        <v>7.7000000000000002E-3</v>
      </c>
      <c r="H277" s="20">
        <v>0.19600000000000001</v>
      </c>
      <c r="I277" s="20">
        <v>-2.2100000000000002E-2</v>
      </c>
      <c r="J277" s="20">
        <v>4.2599999999999999E-2</v>
      </c>
      <c r="K277" s="20">
        <v>-0.106</v>
      </c>
      <c r="L277" s="20">
        <v>1.4500000000000001E-2</v>
      </c>
      <c r="M277" s="20">
        <v>8.8400000000000006E-2</v>
      </c>
      <c r="N277" s="20">
        <v>-0.3332</v>
      </c>
      <c r="O277" s="20">
        <v>-0.29699999999999999</v>
      </c>
      <c r="P277" s="20">
        <v>0.37619999999999998</v>
      </c>
      <c r="Q277" s="20">
        <v>0.18140000000000001</v>
      </c>
      <c r="R277" s="20">
        <v>-1E-3</v>
      </c>
      <c r="S277" s="20">
        <v>-9.0300000000000005E-2</v>
      </c>
      <c r="T277" s="20">
        <v>-0.13109999999999999</v>
      </c>
      <c r="U277" s="20">
        <v>-0.2041</v>
      </c>
      <c r="V277" s="20">
        <v>-1.54E-2</v>
      </c>
      <c r="W277" s="20">
        <v>0.2586</v>
      </c>
      <c r="X277" s="20">
        <v>-6.8599999999999994E-2</v>
      </c>
      <c r="Y277" s="20">
        <v>0.124</v>
      </c>
      <c r="Z277" s="20">
        <v>9.9099999999999994E-2</v>
      </c>
      <c r="AA277" s="20">
        <v>0.1431</v>
      </c>
      <c r="AB277" s="20">
        <v>-2E-3</v>
      </c>
      <c r="AC277" s="20">
        <v>0.193</v>
      </c>
      <c r="AD277" s="20">
        <v>0.26740000000000003</v>
      </c>
      <c r="AE277" s="20">
        <v>8.8900000000000007E-2</v>
      </c>
      <c r="AF277" s="20">
        <v>-6.6000000000000003E-2</v>
      </c>
      <c r="AG277" s="20">
        <v>-0.10630000000000001</v>
      </c>
      <c r="AH277" s="20">
        <v>-0.1106</v>
      </c>
      <c r="AI277" s="20">
        <v>-5.0700000000000002E-2</v>
      </c>
      <c r="AJ277" s="20">
        <v>6.59E-2</v>
      </c>
      <c r="AK277" s="20">
        <v>-0.1903</v>
      </c>
      <c r="AL277" s="21">
        <v>-0.17649999999999999</v>
      </c>
    </row>
    <row r="278" spans="1:38">
      <c r="A278" s="20">
        <v>0.45979999999999999</v>
      </c>
      <c r="B278" s="20">
        <v>-0.19689999999999999</v>
      </c>
      <c r="C278" s="20">
        <v>3.8999999999999998E-3</v>
      </c>
      <c r="D278" s="20">
        <v>-0.24049999999999999</v>
      </c>
      <c r="E278" s="20">
        <v>0.43070000000000003</v>
      </c>
      <c r="F278" s="20">
        <v>-7.1000000000000004E-3</v>
      </c>
      <c r="G278" s="20">
        <v>0.30719999999999997</v>
      </c>
      <c r="H278" s="20">
        <v>-7.7299999999999994E-2</v>
      </c>
      <c r="I278" s="20">
        <v>6.4199999999999993E-2</v>
      </c>
      <c r="J278" s="20">
        <v>-0.16569999999999999</v>
      </c>
      <c r="K278" s="20">
        <v>0.23200000000000001</v>
      </c>
      <c r="L278" s="20">
        <v>6.1699999999999998E-2</v>
      </c>
      <c r="M278" s="20">
        <v>8.3000000000000004E-2</v>
      </c>
      <c r="N278" s="20">
        <v>-2.06E-2</v>
      </c>
      <c r="O278" s="20">
        <v>-3.1899999999999998E-2</v>
      </c>
      <c r="P278" s="20">
        <v>-0.1731</v>
      </c>
      <c r="Q278" s="20">
        <v>-0.1802</v>
      </c>
      <c r="R278" s="20">
        <v>-8.8700000000000001E-2</v>
      </c>
      <c r="S278" s="20">
        <v>-0.15540000000000001</v>
      </c>
      <c r="T278" s="20">
        <v>9.5999999999999992E-3</v>
      </c>
      <c r="U278" s="20">
        <v>2.24E-2</v>
      </c>
      <c r="V278" s="20">
        <v>0.1071</v>
      </c>
      <c r="W278" s="20">
        <v>-4.2599999999999999E-2</v>
      </c>
      <c r="X278" s="20">
        <v>-0.122</v>
      </c>
      <c r="Y278" s="20">
        <v>9.4399999999999998E-2</v>
      </c>
      <c r="Z278" s="20">
        <v>-0.17599999999999999</v>
      </c>
      <c r="AA278" s="20">
        <v>3.6900000000000002E-2</v>
      </c>
      <c r="AB278" s="20">
        <v>-0.19900000000000001</v>
      </c>
      <c r="AC278" s="20">
        <v>6.3200000000000006E-2</v>
      </c>
      <c r="AD278" s="20">
        <v>-0.2427</v>
      </c>
      <c r="AE278" s="20">
        <v>-8.3400000000000002E-2</v>
      </c>
      <c r="AF278" s="20">
        <v>-3.5000000000000001E-3</v>
      </c>
      <c r="AG278" s="20">
        <v>-6.8500000000000005E-2</v>
      </c>
      <c r="AH278" s="20">
        <v>1.6299999999999999E-2</v>
      </c>
      <c r="AI278" s="20">
        <v>2.7300000000000001E-2</v>
      </c>
      <c r="AJ278" s="20">
        <v>0.1096</v>
      </c>
      <c r="AK278" s="20">
        <v>1.9199999999999998E-2</v>
      </c>
      <c r="AL278" s="21">
        <v>0.12809999999999999</v>
      </c>
    </row>
    <row r="279" spans="1:38">
      <c r="A279" s="20">
        <v>0.1004</v>
      </c>
      <c r="B279" s="20">
        <v>0.42780000000000001</v>
      </c>
      <c r="C279" s="20">
        <v>8.0299999999999996E-2</v>
      </c>
      <c r="D279" s="20">
        <v>-6.0299999999999999E-2</v>
      </c>
      <c r="E279" s="20">
        <v>0.2296</v>
      </c>
      <c r="F279" s="20">
        <v>-0.1069</v>
      </c>
      <c r="G279" s="20">
        <v>-3.9800000000000002E-2</v>
      </c>
      <c r="H279" s="20">
        <v>0.13600000000000001</v>
      </c>
      <c r="I279" s="20">
        <v>0.1108</v>
      </c>
      <c r="J279" s="20">
        <v>-9.5600000000000004E-2</v>
      </c>
      <c r="K279" s="20">
        <v>2.7799999999999998E-2</v>
      </c>
      <c r="L279" s="20">
        <v>-8.9499999999999996E-2</v>
      </c>
      <c r="M279" s="20">
        <v>-4.2000000000000003E-2</v>
      </c>
      <c r="N279" s="20">
        <v>0.19020000000000001</v>
      </c>
      <c r="O279" s="20">
        <v>1.72E-2</v>
      </c>
      <c r="P279" s="20">
        <v>-7.0800000000000002E-2</v>
      </c>
      <c r="Q279" s="20">
        <v>0.27289999999999998</v>
      </c>
      <c r="R279" s="20">
        <v>9.9000000000000005E-2</v>
      </c>
      <c r="S279" s="20">
        <v>1.8E-3</v>
      </c>
      <c r="T279" s="20">
        <v>-0.2908</v>
      </c>
      <c r="U279" s="20">
        <v>-0.1956</v>
      </c>
      <c r="V279" s="20">
        <v>-1.5699999999999999E-2</v>
      </c>
      <c r="W279" s="20">
        <v>-0.33210000000000001</v>
      </c>
      <c r="X279" s="20">
        <v>-0.4269</v>
      </c>
      <c r="Y279" s="20">
        <v>4.19E-2</v>
      </c>
      <c r="Z279" s="20">
        <v>6.0699999999999997E-2</v>
      </c>
      <c r="AA279" s="20">
        <v>-0.1341</v>
      </c>
      <c r="AB279" s="20">
        <v>0.17280000000000001</v>
      </c>
      <c r="AC279" s="20">
        <v>8.8700000000000001E-2</v>
      </c>
      <c r="AD279" s="20">
        <v>-1.23E-2</v>
      </c>
      <c r="AE279" s="20">
        <v>-0.1217</v>
      </c>
      <c r="AF279" s="20">
        <v>-0.1434</v>
      </c>
      <c r="AG279" s="20">
        <v>8.0199999999999994E-2</v>
      </c>
      <c r="AH279" s="20">
        <v>6.7000000000000004E-2</v>
      </c>
      <c r="AI279" s="20">
        <v>-0.12529999999999999</v>
      </c>
      <c r="AJ279" s="20">
        <v>-5.45E-2</v>
      </c>
      <c r="AK279" s="20">
        <v>5.21E-2</v>
      </c>
      <c r="AL279" s="21">
        <v>0.10150000000000001</v>
      </c>
    </row>
    <row r="280" spans="1:38">
      <c r="A280" s="20">
        <v>-2.75E-2</v>
      </c>
      <c r="B280" s="20">
        <v>0.37269999999999998</v>
      </c>
      <c r="C280" s="20">
        <v>-0.1719</v>
      </c>
      <c r="D280" s="20">
        <v>-7.7100000000000002E-2</v>
      </c>
      <c r="E280" s="20">
        <v>-5.0099999999999999E-2</v>
      </c>
      <c r="F280" s="20">
        <v>-8.3299999999999999E-2</v>
      </c>
      <c r="G280" s="20">
        <v>1.2999999999999999E-2</v>
      </c>
      <c r="H280" s="20">
        <v>0.184</v>
      </c>
      <c r="I280" s="20">
        <v>0.2162</v>
      </c>
      <c r="J280" s="20">
        <v>-9.4799999999999995E-2</v>
      </c>
      <c r="K280" s="20">
        <v>-3.9899999999999998E-2</v>
      </c>
      <c r="L280" s="20">
        <v>-0.3851</v>
      </c>
      <c r="M280" s="20">
        <v>-4.2700000000000002E-2</v>
      </c>
      <c r="N280" s="20">
        <v>-4.8300000000000003E-2</v>
      </c>
      <c r="O280" s="20">
        <v>5.4199999999999998E-2</v>
      </c>
      <c r="P280" s="20">
        <v>-0.42959999999999998</v>
      </c>
      <c r="Q280" s="20">
        <v>-2.5600000000000001E-2</v>
      </c>
      <c r="R280" s="20">
        <v>-0.19900000000000001</v>
      </c>
      <c r="S280" s="20">
        <v>-2.52E-2</v>
      </c>
      <c r="T280" s="20">
        <v>0.27739999999999998</v>
      </c>
      <c r="U280" s="20">
        <v>3.2500000000000001E-2</v>
      </c>
      <c r="V280" s="20">
        <v>-8.8099999999999998E-2</v>
      </c>
      <c r="W280" s="20">
        <v>-9.9599999999999994E-2</v>
      </c>
      <c r="X280" s="20">
        <v>-2.64E-2</v>
      </c>
      <c r="Y280" s="20">
        <v>0.17449999999999999</v>
      </c>
      <c r="Z280" s="20">
        <v>0.30470000000000003</v>
      </c>
      <c r="AA280" s="20">
        <v>6.5199999999999994E-2</v>
      </c>
      <c r="AB280" s="20">
        <v>-9.4000000000000004E-3</v>
      </c>
      <c r="AC280" s="20">
        <v>8.3000000000000004E-2</v>
      </c>
      <c r="AD280" s="20">
        <v>-0.1027</v>
      </c>
      <c r="AE280" s="20">
        <v>-5.33E-2</v>
      </c>
      <c r="AF280" s="20">
        <v>-7.9699999999999993E-2</v>
      </c>
      <c r="AG280" s="20">
        <v>4.5999999999999999E-3</v>
      </c>
      <c r="AH280" s="20">
        <v>-3.2399999999999998E-2</v>
      </c>
      <c r="AI280" s="20">
        <v>2.8799999999999999E-2</v>
      </c>
      <c r="AJ280" s="20">
        <v>2.1700000000000001E-2</v>
      </c>
      <c r="AK280" s="20">
        <v>0.29189999999999999</v>
      </c>
      <c r="AL280" s="21">
        <v>7.0800000000000002E-2</v>
      </c>
    </row>
    <row r="281" spans="1:38">
      <c r="A281" s="20">
        <v>0.19139999999999999</v>
      </c>
      <c r="B281" s="20">
        <v>0.3911</v>
      </c>
      <c r="C281" s="20">
        <v>0.2833</v>
      </c>
      <c r="D281" s="20">
        <v>3.85E-2</v>
      </c>
      <c r="E281" s="20">
        <v>0.1399</v>
      </c>
      <c r="F281" s="20">
        <v>-6.1699999999999998E-2</v>
      </c>
      <c r="G281" s="20">
        <v>9.2499999999999999E-2</v>
      </c>
      <c r="H281" s="20">
        <v>0.25019999999999998</v>
      </c>
      <c r="I281" s="20">
        <v>-0.13450000000000001</v>
      </c>
      <c r="J281" s="20">
        <v>-6.8900000000000003E-2</v>
      </c>
      <c r="K281" s="20">
        <v>-6.4799999999999996E-2</v>
      </c>
      <c r="L281" s="20">
        <v>2.7699999999999999E-2</v>
      </c>
      <c r="M281" s="20">
        <v>8.0100000000000005E-2</v>
      </c>
      <c r="N281" s="20">
        <v>-0.1188</v>
      </c>
      <c r="O281" s="20">
        <v>4.99E-2</v>
      </c>
      <c r="P281" s="20">
        <v>-8.4199999999999997E-2</v>
      </c>
      <c r="Q281" s="20">
        <v>8.3599999999999994E-2</v>
      </c>
      <c r="R281" s="20">
        <v>0.1643</v>
      </c>
      <c r="S281" s="20">
        <v>-0.22389999999999999</v>
      </c>
      <c r="T281" s="20">
        <v>-7.4999999999999997E-3</v>
      </c>
      <c r="U281" s="20">
        <v>-0.19600000000000001</v>
      </c>
      <c r="V281" s="20">
        <v>0.1004</v>
      </c>
      <c r="W281" s="20">
        <v>-0.20549999999999999</v>
      </c>
      <c r="X281" s="20">
        <v>-0.125</v>
      </c>
      <c r="Y281" s="20">
        <v>0.1285</v>
      </c>
      <c r="Z281" s="20">
        <v>-4.9000000000000002E-2</v>
      </c>
      <c r="AA281" s="20">
        <v>-1.7399999999999999E-2</v>
      </c>
      <c r="AB281" s="20">
        <v>0.33979999999999999</v>
      </c>
      <c r="AC281" s="20">
        <v>-8.3000000000000004E-2</v>
      </c>
      <c r="AD281" s="20">
        <v>-7.1400000000000005E-2</v>
      </c>
      <c r="AE281" s="20">
        <v>2.8999999999999998E-3</v>
      </c>
      <c r="AF281" s="20">
        <v>-0.2001</v>
      </c>
      <c r="AG281" s="20">
        <v>-6.3500000000000001E-2</v>
      </c>
      <c r="AH281" s="20">
        <v>-0.19520000000000001</v>
      </c>
      <c r="AI281" s="20">
        <v>-0.22559999999999999</v>
      </c>
      <c r="AJ281" s="20">
        <v>-0.17119999999999999</v>
      </c>
      <c r="AK281" s="20">
        <v>0.20069999999999999</v>
      </c>
      <c r="AL281" s="21">
        <v>-0.19040000000000001</v>
      </c>
    </row>
    <row r="282" spans="1:38">
      <c r="A282" s="20">
        <v>0.35239999999999999</v>
      </c>
      <c r="B282" s="20">
        <v>0.12470000000000001</v>
      </c>
      <c r="C282" s="20">
        <v>0.2298</v>
      </c>
      <c r="D282" s="20">
        <v>5.7599999999999998E-2</v>
      </c>
      <c r="E282" s="20">
        <v>-0.1197</v>
      </c>
      <c r="F282" s="20">
        <v>-0.13519999999999999</v>
      </c>
      <c r="G282" s="20">
        <v>-6.0600000000000001E-2</v>
      </c>
      <c r="H282" s="20">
        <v>2.9000000000000001E-2</v>
      </c>
      <c r="I282" s="20">
        <v>2.81E-2</v>
      </c>
      <c r="J282" s="20">
        <v>0.14480000000000001</v>
      </c>
      <c r="K282" s="20">
        <v>0.2271</v>
      </c>
      <c r="L282" s="20">
        <v>-0.17299999999999999</v>
      </c>
      <c r="M282" s="20">
        <v>-2.81E-2</v>
      </c>
      <c r="N282" s="20">
        <v>-0.2074</v>
      </c>
      <c r="O282" s="20">
        <v>-8.43E-2</v>
      </c>
      <c r="P282" s="20">
        <v>6.1400000000000003E-2</v>
      </c>
      <c r="Q282" s="20">
        <v>0.1062</v>
      </c>
      <c r="R282" s="20">
        <v>0.16339999999999999</v>
      </c>
      <c r="S282" s="20">
        <v>0.34029999999999999</v>
      </c>
      <c r="T282" s="20">
        <v>-0.1419</v>
      </c>
      <c r="U282" s="20">
        <v>0.24279999999999999</v>
      </c>
      <c r="V282" s="20">
        <v>-4.6199999999999998E-2</v>
      </c>
      <c r="W282" s="20">
        <v>-4.9599999999999998E-2</v>
      </c>
      <c r="X282" s="20">
        <v>-0.26319999999999999</v>
      </c>
      <c r="Y282" s="20">
        <v>-3.7000000000000002E-3</v>
      </c>
      <c r="Z282" s="20">
        <v>0.20599999999999999</v>
      </c>
      <c r="AA282" s="20">
        <v>-0.21299999999999999</v>
      </c>
      <c r="AB282" s="20">
        <v>-0.19520000000000001</v>
      </c>
      <c r="AC282" s="20">
        <v>3.78E-2</v>
      </c>
      <c r="AD282" s="20">
        <v>-0.1515</v>
      </c>
      <c r="AE282" s="20">
        <v>-0.1966</v>
      </c>
      <c r="AF282" s="20">
        <v>-0.12959999999999999</v>
      </c>
      <c r="AG282" s="20">
        <v>-0.14749999999999999</v>
      </c>
      <c r="AH282" s="20">
        <v>-3.7600000000000001E-2</v>
      </c>
      <c r="AI282" s="20">
        <v>-6.8999999999999999E-3</v>
      </c>
      <c r="AJ282" s="20">
        <v>0.2258</v>
      </c>
      <c r="AK282" s="20">
        <v>-4.3700000000000003E-2</v>
      </c>
      <c r="AL282" s="21">
        <v>-0.14319999999999999</v>
      </c>
    </row>
    <row r="283" spans="1:38">
      <c r="A283" s="20">
        <v>-0.12889999999999999</v>
      </c>
      <c r="B283" s="20">
        <v>0.12520000000000001</v>
      </c>
      <c r="C283" s="20">
        <v>0.17449999999999999</v>
      </c>
      <c r="D283" s="20">
        <v>5.8200000000000002E-2</v>
      </c>
      <c r="E283" s="20">
        <v>-0.1028</v>
      </c>
      <c r="F283" s="20">
        <v>0.22459999999999999</v>
      </c>
      <c r="G283" s="20">
        <v>-9.7000000000000003E-2</v>
      </c>
      <c r="H283" s="20">
        <v>3.4500000000000003E-2</v>
      </c>
      <c r="I283" s="20">
        <v>-5.0500000000000003E-2</v>
      </c>
      <c r="J283" s="20">
        <v>6.1999999999999998E-3</v>
      </c>
      <c r="K283" s="20">
        <v>-4.24E-2</v>
      </c>
      <c r="L283" s="20">
        <v>-6.5299999999999997E-2</v>
      </c>
      <c r="M283" s="20">
        <v>0.21429999999999999</v>
      </c>
      <c r="N283" s="20">
        <v>0.40849999999999997</v>
      </c>
      <c r="O283" s="20">
        <v>8.8599999999999998E-2</v>
      </c>
      <c r="P283" s="20">
        <v>-0.10150000000000001</v>
      </c>
      <c r="Q283" s="20">
        <v>6.7400000000000002E-2</v>
      </c>
      <c r="R283" s="20">
        <v>-0.52859999999999996</v>
      </c>
      <c r="S283" s="20">
        <v>0.1638</v>
      </c>
      <c r="T283" s="20">
        <v>-5.7799999999999997E-2</v>
      </c>
      <c r="U283" s="20">
        <v>-3.1899999999999998E-2</v>
      </c>
      <c r="V283" s="20">
        <v>-9.6299999999999997E-2</v>
      </c>
      <c r="W283" s="20">
        <v>0.1192</v>
      </c>
      <c r="X283" s="20">
        <v>6.2700000000000006E-2</v>
      </c>
      <c r="Y283" s="20">
        <v>-0.1002</v>
      </c>
      <c r="Z283" s="20">
        <v>3.6400000000000002E-2</v>
      </c>
      <c r="AA283" s="20">
        <v>-0.1263</v>
      </c>
      <c r="AB283" s="20">
        <v>0.20810000000000001</v>
      </c>
      <c r="AC283" s="20">
        <v>-4.6699999999999998E-2</v>
      </c>
      <c r="AD283" s="20">
        <v>-0.2727</v>
      </c>
      <c r="AE283" s="20">
        <v>0.1963</v>
      </c>
      <c r="AF283" s="20">
        <v>-6.2300000000000001E-2</v>
      </c>
      <c r="AG283" s="20">
        <v>-0.1154</v>
      </c>
      <c r="AH283" s="20">
        <v>1.4800000000000001E-2</v>
      </c>
      <c r="AI283" s="20">
        <v>0.18029999999999999</v>
      </c>
      <c r="AJ283" s="20">
        <v>-8.5000000000000006E-2</v>
      </c>
      <c r="AK283" s="20">
        <v>-0.1115</v>
      </c>
      <c r="AL283" s="21">
        <v>-0.1578</v>
      </c>
    </row>
    <row r="284" spans="1:38">
      <c r="A284" s="20">
        <v>-8.3400000000000002E-2</v>
      </c>
      <c r="B284" s="20">
        <v>0.34100000000000003</v>
      </c>
      <c r="C284" s="20">
        <v>-0.33779999999999999</v>
      </c>
      <c r="D284" s="20">
        <v>8.1299999999999997E-2</v>
      </c>
      <c r="E284" s="20">
        <v>0.38750000000000001</v>
      </c>
      <c r="F284" s="20">
        <v>-0.185</v>
      </c>
      <c r="G284" s="20">
        <v>-1.84E-2</v>
      </c>
      <c r="H284" s="20">
        <v>0.2145</v>
      </c>
      <c r="I284" s="20">
        <v>0.25019999999999998</v>
      </c>
      <c r="J284" s="20">
        <v>8.3400000000000002E-2</v>
      </c>
      <c r="K284" s="20">
        <v>-0.2399</v>
      </c>
      <c r="L284" s="20">
        <v>-2.8899999999999999E-2</v>
      </c>
      <c r="M284" s="20">
        <v>5.2200000000000003E-2</v>
      </c>
      <c r="N284" s="20">
        <v>-0.12520000000000001</v>
      </c>
      <c r="O284" s="20">
        <v>-7.5200000000000003E-2</v>
      </c>
      <c r="P284" s="20">
        <v>-7.3499999999999996E-2</v>
      </c>
      <c r="Q284" s="20">
        <v>0.1915</v>
      </c>
      <c r="R284" s="20">
        <v>1.2200000000000001E-2</v>
      </c>
      <c r="S284" s="20">
        <v>-0.10050000000000001</v>
      </c>
      <c r="T284" s="20">
        <v>0.1149</v>
      </c>
      <c r="U284" s="20">
        <v>5.6800000000000003E-2</v>
      </c>
      <c r="V284" s="20">
        <v>0.152</v>
      </c>
      <c r="W284" s="20">
        <v>-6.5500000000000003E-2</v>
      </c>
      <c r="X284" s="20">
        <v>-5.1900000000000002E-2</v>
      </c>
      <c r="Y284" s="20">
        <v>-0.24010000000000001</v>
      </c>
      <c r="Z284" s="20">
        <v>-0.15179999999999999</v>
      </c>
      <c r="AA284" s="20">
        <v>0.122</v>
      </c>
      <c r="AB284" s="20">
        <v>-3.3999999999999998E-3</v>
      </c>
      <c r="AC284" s="20">
        <v>0.24490000000000001</v>
      </c>
      <c r="AD284" s="20">
        <v>8.8999999999999999E-3</v>
      </c>
      <c r="AE284" s="20">
        <v>-4.6899999999999997E-2</v>
      </c>
      <c r="AF284" s="20">
        <v>-2.0500000000000001E-2</v>
      </c>
      <c r="AG284" s="20">
        <v>-0.20880000000000001</v>
      </c>
      <c r="AH284" s="20">
        <v>-9.1000000000000004E-3</v>
      </c>
      <c r="AI284" s="20">
        <v>-0.1497</v>
      </c>
      <c r="AJ284" s="20">
        <v>4.3900000000000002E-2</v>
      </c>
      <c r="AK284" s="20">
        <v>6.88E-2</v>
      </c>
      <c r="AL284" s="21">
        <v>-0.2084</v>
      </c>
    </row>
    <row r="285" spans="1:38">
      <c r="A285" s="20">
        <v>-2.2800000000000001E-2</v>
      </c>
      <c r="B285" s="20">
        <v>0.29920000000000002</v>
      </c>
      <c r="C285" s="20">
        <v>0.27200000000000002</v>
      </c>
      <c r="D285" s="20">
        <v>-0.36030000000000001</v>
      </c>
      <c r="E285" s="20">
        <v>5.7999999999999996E-3</v>
      </c>
      <c r="F285" s="20">
        <v>-0.2074</v>
      </c>
      <c r="G285" s="20">
        <v>4.3400000000000001E-2</v>
      </c>
      <c r="H285" s="20">
        <v>9.5799999999999996E-2</v>
      </c>
      <c r="I285" s="20">
        <v>9.3899999999999997E-2</v>
      </c>
      <c r="J285" s="20">
        <v>-0.10639999999999999</v>
      </c>
      <c r="K285" s="20">
        <v>0.05</v>
      </c>
      <c r="L285" s="20">
        <v>-2.5700000000000001E-2</v>
      </c>
      <c r="M285" s="20">
        <v>0.1363</v>
      </c>
      <c r="N285" s="20">
        <v>3.2000000000000002E-3</v>
      </c>
      <c r="O285" s="20">
        <v>-0.1109</v>
      </c>
      <c r="P285" s="20">
        <v>-6.7199999999999996E-2</v>
      </c>
      <c r="Q285" s="20">
        <v>0.21909999999999999</v>
      </c>
      <c r="R285" s="20">
        <v>-0.20319999999999999</v>
      </c>
      <c r="S285" s="20">
        <v>-0.15659999999999999</v>
      </c>
      <c r="T285" s="20">
        <v>2.75E-2</v>
      </c>
      <c r="U285" s="20">
        <v>6.3500000000000001E-2</v>
      </c>
      <c r="V285" s="20">
        <v>-0.22140000000000001</v>
      </c>
      <c r="W285" s="20">
        <v>-0.45079999999999998</v>
      </c>
      <c r="X285" s="20">
        <v>-3.6200000000000003E-2</v>
      </c>
      <c r="Y285" s="20">
        <v>0.1222</v>
      </c>
      <c r="Z285" s="20">
        <v>-9.8699999999999996E-2</v>
      </c>
      <c r="AA285" s="20">
        <v>0.2606</v>
      </c>
      <c r="AB285" s="20">
        <v>0.1045</v>
      </c>
      <c r="AC285" s="20">
        <v>4.2900000000000001E-2</v>
      </c>
      <c r="AD285" s="20">
        <v>-6.1899999999999997E-2</v>
      </c>
      <c r="AE285" s="20">
        <v>1.0800000000000001E-2</v>
      </c>
      <c r="AF285" s="20">
        <v>0.1246</v>
      </c>
      <c r="AG285" s="20">
        <v>0.13489999999999999</v>
      </c>
      <c r="AH285" s="20">
        <v>-0.1111</v>
      </c>
      <c r="AI285" s="20">
        <v>-0.17249999999999999</v>
      </c>
      <c r="AJ285" s="20">
        <v>4.8899999999999999E-2</v>
      </c>
      <c r="AK285" s="20">
        <v>0.14180000000000001</v>
      </c>
      <c r="AL285" s="21">
        <v>0.11609999999999999</v>
      </c>
    </row>
    <row r="286" spans="1:38">
      <c r="A286" s="20">
        <v>8.0100000000000005E-2</v>
      </c>
      <c r="B286" s="20">
        <v>-9.3100000000000002E-2</v>
      </c>
      <c r="C286" s="20">
        <v>-6.3100000000000003E-2</v>
      </c>
      <c r="D286" s="20">
        <v>0.2913</v>
      </c>
      <c r="E286" s="20">
        <v>0.7218</v>
      </c>
      <c r="F286" s="20">
        <v>-0.1208</v>
      </c>
      <c r="G286" s="20">
        <v>4.2599999999999999E-2</v>
      </c>
      <c r="H286" s="20">
        <v>-8.6999999999999994E-3</v>
      </c>
      <c r="I286" s="20">
        <v>-0.15310000000000001</v>
      </c>
      <c r="J286" s="20">
        <v>-0.14249999999999999</v>
      </c>
      <c r="K286" s="20">
        <v>2.8000000000000001E-2</v>
      </c>
      <c r="L286" s="20">
        <v>-5.4899999999999997E-2</v>
      </c>
      <c r="M286" s="20">
        <v>-0.10299999999999999</v>
      </c>
      <c r="N286" s="20">
        <v>0.2747</v>
      </c>
      <c r="O286" s="20">
        <v>-2.7199999999999998E-2</v>
      </c>
      <c r="P286" s="20">
        <v>0.10340000000000001</v>
      </c>
      <c r="Q286" s="20">
        <v>0.10299999999999999</v>
      </c>
      <c r="R286" s="20">
        <v>-0.10539999999999999</v>
      </c>
      <c r="S286" s="20">
        <v>-0.1673</v>
      </c>
      <c r="T286" s="20">
        <v>-5.45E-2</v>
      </c>
      <c r="U286" s="20">
        <v>1.4999999999999999E-2</v>
      </c>
      <c r="V286" s="20">
        <v>0.1018</v>
      </c>
      <c r="W286" s="20">
        <v>-3.0800000000000001E-2</v>
      </c>
      <c r="X286" s="20">
        <v>4.6199999999999998E-2</v>
      </c>
      <c r="Y286" s="20">
        <v>-9.0399999999999994E-2</v>
      </c>
      <c r="Z286" s="20">
        <v>-8.9200000000000002E-2</v>
      </c>
      <c r="AA286" s="20">
        <v>-0.19139999999999999</v>
      </c>
      <c r="AB286" s="20">
        <v>2.3300000000000001E-2</v>
      </c>
      <c r="AC286" s="20">
        <v>0.03</v>
      </c>
      <c r="AD286" s="20">
        <v>-6.9099999999999995E-2</v>
      </c>
      <c r="AE286" s="20">
        <v>-0.1638</v>
      </c>
      <c r="AF286" s="20">
        <v>-5.5599999999999997E-2</v>
      </c>
      <c r="AG286" s="20">
        <v>-9.4299999999999995E-2</v>
      </c>
      <c r="AH286" s="20">
        <v>-0.16689999999999999</v>
      </c>
      <c r="AI286" s="20">
        <v>-3.8699999999999998E-2</v>
      </c>
      <c r="AJ286" s="20">
        <v>9.3100000000000002E-2</v>
      </c>
      <c r="AK286" s="20">
        <v>4.1799999999999997E-2</v>
      </c>
      <c r="AL286" s="21">
        <v>9.8299999999999998E-2</v>
      </c>
    </row>
    <row r="287" spans="1:38">
      <c r="A287" s="20">
        <v>0.20930000000000001</v>
      </c>
      <c r="B287" s="20">
        <v>0.31080000000000002</v>
      </c>
      <c r="C287" s="20">
        <v>-3.27E-2</v>
      </c>
      <c r="D287" s="20">
        <v>-2.9700000000000001E-2</v>
      </c>
      <c r="E287" s="20">
        <v>4.1099999999999998E-2</v>
      </c>
      <c r="F287" s="20">
        <v>-0.22550000000000001</v>
      </c>
      <c r="G287" s="20">
        <v>0.15040000000000001</v>
      </c>
      <c r="H287" s="20">
        <v>5.5100000000000003E-2</v>
      </c>
      <c r="I287" s="20">
        <v>0.17560000000000001</v>
      </c>
      <c r="J287" s="20">
        <v>-0.15379999999999999</v>
      </c>
      <c r="K287" s="20">
        <v>-2.1499999999999998E-2</v>
      </c>
      <c r="L287" s="20">
        <v>-5.1900000000000002E-2</v>
      </c>
      <c r="M287" s="20">
        <v>-0.23319999999999999</v>
      </c>
      <c r="N287" s="20">
        <v>-0.14960000000000001</v>
      </c>
      <c r="O287" s="20">
        <v>5.16E-2</v>
      </c>
      <c r="P287" s="20">
        <v>-1.6E-2</v>
      </c>
      <c r="Q287" s="20">
        <v>-0.1326</v>
      </c>
      <c r="R287" s="20">
        <v>-0.13969999999999999</v>
      </c>
      <c r="S287" s="20">
        <v>7.0000000000000001E-3</v>
      </c>
      <c r="T287" s="20">
        <v>-0.1363</v>
      </c>
      <c r="U287" s="20">
        <v>0.2581</v>
      </c>
      <c r="V287" s="20">
        <v>0.1026</v>
      </c>
      <c r="W287" s="20">
        <v>-0.2397</v>
      </c>
      <c r="X287" s="20">
        <v>9.01E-2</v>
      </c>
      <c r="Y287" s="20">
        <v>0.15709999999999999</v>
      </c>
      <c r="Z287" s="20">
        <v>0.29580000000000001</v>
      </c>
      <c r="AA287" s="20">
        <v>-3.7199999999999997E-2</v>
      </c>
      <c r="AB287" s="20">
        <v>0.216</v>
      </c>
      <c r="AC287" s="20">
        <v>-0.29849999999999999</v>
      </c>
      <c r="AD287" s="20">
        <v>0.18329999999999999</v>
      </c>
      <c r="AE287" s="20">
        <v>-6.9599999999999995E-2</v>
      </c>
      <c r="AF287" s="20">
        <v>0.1575</v>
      </c>
      <c r="AG287" s="20">
        <v>0.1333</v>
      </c>
      <c r="AH287" s="20">
        <v>-0.10639999999999999</v>
      </c>
      <c r="AI287" s="20">
        <v>-0.1171</v>
      </c>
      <c r="AJ287" s="20">
        <v>-0.19769999999999999</v>
      </c>
      <c r="AK287" s="20">
        <v>-0.2213</v>
      </c>
      <c r="AL287" s="21">
        <v>1.54E-2</v>
      </c>
    </row>
    <row r="288" spans="1:38">
      <c r="A288" s="20">
        <v>-0.32269999999999999</v>
      </c>
      <c r="B288" s="20">
        <v>0.25259999999999999</v>
      </c>
      <c r="C288" s="20">
        <v>-5.0700000000000002E-2</v>
      </c>
      <c r="D288" s="20">
        <v>1.5599999999999999E-2</v>
      </c>
      <c r="E288" s="20">
        <v>0.19370000000000001</v>
      </c>
      <c r="F288" s="20">
        <v>0.21299999999999999</v>
      </c>
      <c r="G288" s="20">
        <v>-0.1182</v>
      </c>
      <c r="H288" s="20">
        <v>0.1668</v>
      </c>
      <c r="I288" s="20">
        <v>-0.247</v>
      </c>
      <c r="J288" s="20">
        <v>5.62E-2</v>
      </c>
      <c r="K288" s="20">
        <v>0.15279999999999999</v>
      </c>
      <c r="L288" s="20">
        <v>-0.21410000000000001</v>
      </c>
      <c r="M288" s="20">
        <v>3.7999999999999999E-2</v>
      </c>
      <c r="N288" s="20">
        <v>-5.7999999999999996E-3</v>
      </c>
      <c r="O288" s="20">
        <v>0.1348</v>
      </c>
      <c r="P288" s="20">
        <v>0.11559999999999999</v>
      </c>
      <c r="Q288" s="20">
        <v>0.10589999999999999</v>
      </c>
      <c r="R288" s="20">
        <v>-6.6100000000000006E-2</v>
      </c>
      <c r="S288" s="20">
        <v>-6.3899999999999998E-2</v>
      </c>
      <c r="T288" s="20">
        <v>-6.0299999999999999E-2</v>
      </c>
      <c r="U288" s="20">
        <v>2.41E-2</v>
      </c>
      <c r="V288" s="20">
        <v>-0.13220000000000001</v>
      </c>
      <c r="W288" s="20">
        <v>2.6700000000000002E-2</v>
      </c>
      <c r="X288" s="20">
        <v>2.75E-2</v>
      </c>
      <c r="Y288" s="20">
        <v>-0.1363</v>
      </c>
      <c r="Z288" s="20">
        <v>5.91E-2</v>
      </c>
      <c r="AA288" s="20">
        <v>-0.29409999999999997</v>
      </c>
      <c r="AB288" s="20">
        <v>-4.0599999999999997E-2</v>
      </c>
      <c r="AC288" s="20">
        <v>-0.2853</v>
      </c>
      <c r="AD288" s="20">
        <v>1.84E-2</v>
      </c>
      <c r="AE288" s="20">
        <v>0.15329999999999999</v>
      </c>
      <c r="AF288" s="20">
        <v>-0.28649999999999998</v>
      </c>
      <c r="AG288" s="20">
        <v>-2.9499999999999998E-2</v>
      </c>
      <c r="AH288" s="20">
        <v>6.6100000000000006E-2</v>
      </c>
      <c r="AI288" s="20">
        <v>0.42680000000000001</v>
      </c>
      <c r="AJ288" s="20">
        <v>-1.5800000000000002E-2</v>
      </c>
      <c r="AK288" s="20">
        <v>1.8800000000000001E-2</v>
      </c>
      <c r="AL288" s="21">
        <v>9.8699999999999996E-2</v>
      </c>
    </row>
    <row r="289" spans="1:38">
      <c r="A289" s="20">
        <v>-0.1978</v>
      </c>
      <c r="B289" s="20">
        <v>0.22170000000000001</v>
      </c>
      <c r="C289" s="20">
        <v>-5.1900000000000002E-2</v>
      </c>
      <c r="D289" s="20">
        <v>-0.1009</v>
      </c>
      <c r="E289" s="20">
        <v>-0.3659</v>
      </c>
      <c r="F289" s="20">
        <v>-0.36520000000000002</v>
      </c>
      <c r="G289" s="20">
        <v>0.2165</v>
      </c>
      <c r="H289" s="20">
        <v>0.2356</v>
      </c>
      <c r="I289" s="20">
        <v>0.1206</v>
      </c>
      <c r="J289" s="20">
        <v>-0.15210000000000001</v>
      </c>
      <c r="K289" s="20">
        <v>2.9000000000000001E-2</v>
      </c>
      <c r="L289" s="20">
        <v>0.10440000000000001</v>
      </c>
      <c r="M289" s="20">
        <v>0.1211</v>
      </c>
      <c r="N289" s="20">
        <v>-0.27960000000000002</v>
      </c>
      <c r="O289" s="20">
        <v>7.3200000000000001E-2</v>
      </c>
      <c r="P289" s="20">
        <v>0.31509999999999999</v>
      </c>
      <c r="Q289" s="20">
        <v>-5.16E-2</v>
      </c>
      <c r="R289" s="20">
        <v>-3.8E-3</v>
      </c>
      <c r="S289" s="20">
        <v>-0.25190000000000001</v>
      </c>
      <c r="T289" s="20">
        <v>-3.1699999999999999E-2</v>
      </c>
      <c r="U289" s="20">
        <v>-0.21260000000000001</v>
      </c>
      <c r="V289" s="20">
        <v>0.158</v>
      </c>
      <c r="W289" s="20">
        <v>5.9700000000000003E-2</v>
      </c>
      <c r="X289" s="20">
        <v>2.53E-2</v>
      </c>
      <c r="Y289" s="20">
        <v>0.15490000000000001</v>
      </c>
      <c r="Z289" s="20">
        <v>0.15959999999999999</v>
      </c>
      <c r="AA289" s="20">
        <v>4.7800000000000002E-2</v>
      </c>
      <c r="AB289" s="20">
        <v>1.6299999999999999E-2</v>
      </c>
      <c r="AC289" s="20">
        <v>0.1293</v>
      </c>
      <c r="AD289" s="20">
        <v>0.22109999999999999</v>
      </c>
      <c r="AE289" s="20">
        <v>-2.0500000000000001E-2</v>
      </c>
      <c r="AF289" s="20">
        <v>-6.9999999999999999E-4</v>
      </c>
      <c r="AG289" s="20">
        <v>-9.7299999999999998E-2</v>
      </c>
      <c r="AH289" s="20">
        <v>-5.2600000000000001E-2</v>
      </c>
      <c r="AI289" s="20">
        <v>-2.5899999999999999E-2</v>
      </c>
      <c r="AJ289" s="20">
        <v>-2.2700000000000001E-2</v>
      </c>
      <c r="AK289" s="20">
        <v>-3.0800000000000001E-2</v>
      </c>
      <c r="AL289" s="21">
        <v>-9.1800000000000007E-2</v>
      </c>
    </row>
    <row r="290" spans="1:38">
      <c r="A290" s="20">
        <v>-0.23069999999999999</v>
      </c>
      <c r="B290" s="20">
        <v>-0.2074</v>
      </c>
      <c r="C290" s="20">
        <v>-0.1958</v>
      </c>
      <c r="D290" s="20">
        <v>0.12870000000000001</v>
      </c>
      <c r="E290" s="20">
        <v>0.24890000000000001</v>
      </c>
      <c r="F290" s="20">
        <v>1.9E-2</v>
      </c>
      <c r="G290" s="20">
        <v>1.5599999999999999E-2</v>
      </c>
      <c r="H290" s="20">
        <v>-2.5999999999999999E-3</v>
      </c>
      <c r="I290" s="20">
        <v>-0.2868</v>
      </c>
      <c r="J290" s="20">
        <v>5.1999999999999998E-2</v>
      </c>
      <c r="K290" s="20">
        <v>-0.18049999999999999</v>
      </c>
      <c r="L290" s="20">
        <v>0.17299999999999999</v>
      </c>
      <c r="M290" s="20">
        <v>6.0199999999999997E-2</v>
      </c>
      <c r="N290" s="20">
        <v>-0.16</v>
      </c>
      <c r="O290" s="20">
        <v>-6.9699999999999998E-2</v>
      </c>
      <c r="P290" s="20">
        <v>2.1000000000000001E-2</v>
      </c>
      <c r="Q290" s="20">
        <v>-0.28810000000000002</v>
      </c>
      <c r="R290" s="20">
        <v>0.22939999999999999</v>
      </c>
      <c r="S290" s="20">
        <v>0.28939999999999999</v>
      </c>
      <c r="T290" s="20">
        <v>-0.1128</v>
      </c>
      <c r="U290" s="20">
        <v>0.1779</v>
      </c>
      <c r="V290" s="20">
        <v>0.23580000000000001</v>
      </c>
      <c r="W290" s="20">
        <v>-5.9499999999999997E-2</v>
      </c>
      <c r="X290" s="20">
        <v>-1.5599999999999999E-2</v>
      </c>
      <c r="Y290" s="20">
        <v>0.16739999999999999</v>
      </c>
      <c r="Z290" s="20">
        <v>-2.8E-3</v>
      </c>
      <c r="AA290" s="20">
        <v>-0.11020000000000001</v>
      </c>
      <c r="AB290" s="20">
        <v>-1.0500000000000001E-2</v>
      </c>
      <c r="AC290" s="20">
        <v>0.2112</v>
      </c>
      <c r="AD290" s="20">
        <v>-1.1299999999999999E-2</v>
      </c>
      <c r="AE290" s="20">
        <v>-0.313</v>
      </c>
      <c r="AF290" s="20">
        <v>-0.15479999999999999</v>
      </c>
      <c r="AG290" s="20">
        <v>-0.121</v>
      </c>
      <c r="AH290" s="20">
        <v>0.11509999999999999</v>
      </c>
      <c r="AI290" s="20">
        <v>0.1197</v>
      </c>
      <c r="AJ290" s="20">
        <v>0.15970000000000001</v>
      </c>
      <c r="AK290" s="20">
        <v>3.4599999999999999E-2</v>
      </c>
      <c r="AL290" s="21">
        <v>7.2300000000000003E-2</v>
      </c>
    </row>
    <row r="291" spans="1:38">
      <c r="A291" s="20">
        <v>1.5100000000000001E-2</v>
      </c>
      <c r="B291" s="20">
        <v>1.6999999999999999E-3</v>
      </c>
      <c r="C291" s="20">
        <v>0.25009999999999999</v>
      </c>
      <c r="D291" s="20">
        <v>-5.0700000000000002E-2</v>
      </c>
      <c r="E291" s="20">
        <v>-0.35289999999999999</v>
      </c>
      <c r="F291" s="20">
        <v>-2.3800000000000002E-2</v>
      </c>
      <c r="G291" s="20">
        <v>9.9599999999999994E-2</v>
      </c>
      <c r="H291" s="20">
        <v>-0.54820000000000002</v>
      </c>
      <c r="I291" s="20">
        <v>-0.1232</v>
      </c>
      <c r="J291" s="20">
        <v>0.1007</v>
      </c>
      <c r="K291" s="20">
        <v>-0.1474</v>
      </c>
      <c r="L291" s="20">
        <v>0.1265</v>
      </c>
      <c r="M291" s="20">
        <v>-0.1321</v>
      </c>
      <c r="N291" s="20">
        <v>0.185</v>
      </c>
      <c r="O291" s="20">
        <v>0.114</v>
      </c>
      <c r="P291" s="20">
        <v>-0.12189999999999999</v>
      </c>
      <c r="Q291" s="20">
        <v>-2.8000000000000001E-2</v>
      </c>
      <c r="R291" s="20">
        <v>-0.1452</v>
      </c>
      <c r="S291" s="20">
        <v>-0.17519999999999999</v>
      </c>
      <c r="T291" s="20">
        <v>-2.1000000000000001E-2</v>
      </c>
      <c r="U291" s="20">
        <v>8.0600000000000005E-2</v>
      </c>
      <c r="V291" s="20">
        <v>-6.5299999999999997E-2</v>
      </c>
      <c r="W291" s="20">
        <v>0.152</v>
      </c>
      <c r="X291" s="20">
        <v>-8.9999999999999998E-4</v>
      </c>
      <c r="Y291" s="20">
        <v>0.12909999999999999</v>
      </c>
      <c r="Z291" s="20">
        <v>-0.33389999999999997</v>
      </c>
      <c r="AA291" s="20">
        <v>7.5800000000000006E-2</v>
      </c>
      <c r="AB291" s="20">
        <v>4.3200000000000002E-2</v>
      </c>
      <c r="AC291" s="20">
        <v>8.6699999999999999E-2</v>
      </c>
      <c r="AD291" s="20">
        <v>4.5999999999999999E-3</v>
      </c>
      <c r="AE291" s="20">
        <v>7.3200000000000001E-2</v>
      </c>
      <c r="AF291" s="20">
        <v>2.2100000000000002E-2</v>
      </c>
      <c r="AG291" s="20">
        <v>0.1313</v>
      </c>
      <c r="AH291" s="20">
        <v>-2.9499999999999998E-2</v>
      </c>
      <c r="AI291" s="20">
        <v>7.7499999999999999E-2</v>
      </c>
      <c r="AJ291" s="20">
        <v>0.14549999999999999</v>
      </c>
      <c r="AK291" s="20">
        <v>0.21049999999999999</v>
      </c>
      <c r="AL291" s="21">
        <v>0.17599999999999999</v>
      </c>
    </row>
    <row r="292" spans="1:38">
      <c r="A292" s="20">
        <v>0.28210000000000002</v>
      </c>
      <c r="B292" s="20">
        <v>-0.21260000000000001</v>
      </c>
      <c r="C292" s="20">
        <v>0.18640000000000001</v>
      </c>
      <c r="D292" s="20">
        <v>4.4200000000000003E-2</v>
      </c>
      <c r="E292" s="20">
        <v>0.4118</v>
      </c>
      <c r="F292" s="20">
        <v>-0.18770000000000001</v>
      </c>
      <c r="G292" s="20">
        <v>0.1749</v>
      </c>
      <c r="H292" s="20">
        <v>7.5499999999999998E-2</v>
      </c>
      <c r="I292" s="20">
        <v>6.2600000000000003E-2</v>
      </c>
      <c r="J292" s="20">
        <v>-2.6700000000000002E-2</v>
      </c>
      <c r="K292" s="20">
        <v>-2.4799999999999999E-2</v>
      </c>
      <c r="L292" s="20">
        <v>-0.23280000000000001</v>
      </c>
      <c r="M292" s="20">
        <v>0.1298</v>
      </c>
      <c r="N292" s="20">
        <v>0.21260000000000001</v>
      </c>
      <c r="O292" s="20">
        <v>-0.1454</v>
      </c>
      <c r="P292" s="20">
        <v>-0.1923</v>
      </c>
      <c r="Q292" s="20">
        <v>-2.6700000000000002E-2</v>
      </c>
      <c r="R292" s="20">
        <v>-5.9400000000000001E-2</v>
      </c>
      <c r="S292" s="20">
        <v>-0.1845</v>
      </c>
      <c r="T292" s="20">
        <v>-0.15409999999999999</v>
      </c>
      <c r="U292" s="20">
        <v>-9.9400000000000002E-2</v>
      </c>
      <c r="V292" s="20">
        <v>4.1000000000000003E-3</v>
      </c>
      <c r="W292" s="20">
        <v>4.6899999999999997E-2</v>
      </c>
      <c r="X292" s="20">
        <v>0.26269999999999999</v>
      </c>
      <c r="Y292" s="20">
        <v>-7.7999999999999996E-3</v>
      </c>
      <c r="Z292" s="20">
        <v>-0.28160000000000002</v>
      </c>
      <c r="AA292" s="20">
        <v>0.1086</v>
      </c>
      <c r="AB292" s="20">
        <v>-5.2900000000000003E-2</v>
      </c>
      <c r="AC292" s="20">
        <v>-2.53E-2</v>
      </c>
      <c r="AD292" s="20">
        <v>-0.21299999999999999</v>
      </c>
      <c r="AE292" s="20">
        <v>-0.13339999999999999</v>
      </c>
      <c r="AF292" s="20">
        <v>0.13250000000000001</v>
      </c>
      <c r="AG292" s="20">
        <v>0.17949999999999999</v>
      </c>
      <c r="AH292" s="20">
        <v>-9.3399999999999997E-2</v>
      </c>
      <c r="AI292" s="20">
        <v>-0.156</v>
      </c>
      <c r="AJ292" s="20">
        <v>-4.5999999999999999E-2</v>
      </c>
      <c r="AK292" s="20">
        <v>0.1265</v>
      </c>
      <c r="AL292" s="21">
        <v>0.12609999999999999</v>
      </c>
    </row>
    <row r="293" spans="1:38">
      <c r="A293" s="20">
        <v>-0.1017</v>
      </c>
      <c r="B293" s="20">
        <v>0.1948</v>
      </c>
      <c r="C293" s="20">
        <v>-3.5799999999999998E-2</v>
      </c>
      <c r="D293" s="20">
        <v>7.6600000000000001E-2</v>
      </c>
      <c r="E293" s="20">
        <v>0.1394</v>
      </c>
      <c r="F293" s="20">
        <v>3.9100000000000003E-2</v>
      </c>
      <c r="G293" s="20">
        <v>-0.35659999999999997</v>
      </c>
      <c r="H293" s="20">
        <v>-0.1095</v>
      </c>
      <c r="I293" s="20">
        <v>6.8400000000000002E-2</v>
      </c>
      <c r="J293" s="20">
        <v>9.7600000000000006E-2</v>
      </c>
      <c r="K293" s="20">
        <v>-6.5500000000000003E-2</v>
      </c>
      <c r="L293" s="20">
        <v>0.2364</v>
      </c>
      <c r="M293" s="20">
        <v>4.6100000000000002E-2</v>
      </c>
      <c r="N293" s="20">
        <v>0.37740000000000001</v>
      </c>
      <c r="O293" s="20">
        <v>-2.1600000000000001E-2</v>
      </c>
      <c r="P293" s="20">
        <v>1.7299999999999999E-2</v>
      </c>
      <c r="Q293" s="20">
        <v>3.8100000000000002E-2</v>
      </c>
      <c r="R293" s="20">
        <v>-0.29730000000000001</v>
      </c>
      <c r="S293" s="20">
        <v>2.6800000000000001E-2</v>
      </c>
      <c r="T293" s="20">
        <v>0.1462</v>
      </c>
      <c r="U293" s="20">
        <v>1.3599999999999999E-2</v>
      </c>
      <c r="V293" s="20">
        <v>5.91E-2</v>
      </c>
      <c r="W293" s="20">
        <v>0.1812</v>
      </c>
      <c r="X293" s="20">
        <v>-0.30230000000000001</v>
      </c>
      <c r="Y293" s="20">
        <v>0.1487</v>
      </c>
      <c r="Z293" s="20">
        <v>-9.5100000000000004E-2</v>
      </c>
      <c r="AA293" s="20">
        <v>-3.85E-2</v>
      </c>
      <c r="AB293" s="20">
        <v>0.22220000000000001</v>
      </c>
      <c r="AC293" s="20">
        <v>-1.03E-2</v>
      </c>
      <c r="AD293" s="20">
        <v>-0.1779</v>
      </c>
      <c r="AE293" s="20">
        <v>4.1200000000000001E-2</v>
      </c>
      <c r="AF293" s="20">
        <v>0.21390000000000001</v>
      </c>
      <c r="AG293" s="20">
        <v>-0.23599999999999999</v>
      </c>
      <c r="AH293" s="20">
        <v>-9.6000000000000002E-2</v>
      </c>
      <c r="AI293" s="20">
        <v>-8.6300000000000002E-2</v>
      </c>
      <c r="AJ293" s="20">
        <v>5.0200000000000002E-2</v>
      </c>
      <c r="AK293" s="20">
        <v>-0.13730000000000001</v>
      </c>
      <c r="AL293" s="21">
        <v>-0.2646</v>
      </c>
    </row>
    <row r="294" spans="1:38">
      <c r="A294" s="20">
        <v>-0.49830000000000002</v>
      </c>
      <c r="B294" s="20">
        <v>9.64E-2</v>
      </c>
      <c r="C294" s="20">
        <v>-0.2341</v>
      </c>
      <c r="D294" s="20">
        <v>4.58E-2</v>
      </c>
      <c r="E294" s="20">
        <v>9.4700000000000006E-2</v>
      </c>
      <c r="F294" s="20">
        <v>0.16950000000000001</v>
      </c>
      <c r="G294" s="20">
        <v>-8.3400000000000002E-2</v>
      </c>
      <c r="H294" s="20">
        <v>0.41839999999999999</v>
      </c>
      <c r="I294" s="20">
        <v>-0.13</v>
      </c>
      <c r="J294" s="20">
        <v>-0.11650000000000001</v>
      </c>
      <c r="K294" s="20">
        <v>-0.13120000000000001</v>
      </c>
      <c r="L294" s="20">
        <v>-5.1299999999999998E-2</v>
      </c>
      <c r="M294" s="20">
        <v>6.9800000000000001E-2</v>
      </c>
      <c r="N294" s="20">
        <v>-6.6100000000000006E-2</v>
      </c>
      <c r="O294" s="20">
        <v>1.8800000000000001E-2</v>
      </c>
      <c r="P294" s="20">
        <v>6.5100000000000005E-2</v>
      </c>
      <c r="Q294" s="20">
        <v>4.0599999999999997E-2</v>
      </c>
      <c r="R294" s="20">
        <v>4.3099999999999999E-2</v>
      </c>
      <c r="S294" s="20">
        <v>-2.3900000000000001E-2</v>
      </c>
      <c r="T294" s="20">
        <v>-0.28849999999999998</v>
      </c>
      <c r="U294" s="20">
        <v>-0.1105</v>
      </c>
      <c r="V294" s="20">
        <v>-8.2100000000000006E-2</v>
      </c>
      <c r="W294" s="20">
        <v>0.18840000000000001</v>
      </c>
      <c r="X294" s="20">
        <v>-7.4800000000000005E-2</v>
      </c>
      <c r="Y294" s="20">
        <v>9.0200000000000002E-2</v>
      </c>
      <c r="Z294" s="20">
        <v>1.9099999999999999E-2</v>
      </c>
      <c r="AA294" s="20">
        <v>-6.7100000000000007E-2</v>
      </c>
      <c r="AB294" s="20">
        <v>-0.1409</v>
      </c>
      <c r="AC294" s="20">
        <v>-0.15670000000000001</v>
      </c>
      <c r="AD294" s="20">
        <v>0.1174</v>
      </c>
      <c r="AE294" s="20">
        <v>3.2500000000000001E-2</v>
      </c>
      <c r="AF294" s="20">
        <v>-3.5200000000000002E-2</v>
      </c>
      <c r="AG294" s="20">
        <v>0.16139999999999999</v>
      </c>
      <c r="AH294" s="20">
        <v>0.18129999999999999</v>
      </c>
      <c r="AI294" s="20">
        <v>0.29049999999999998</v>
      </c>
      <c r="AJ294" s="20">
        <v>0.1777</v>
      </c>
      <c r="AK294" s="20">
        <v>-6.8599999999999994E-2</v>
      </c>
      <c r="AL294" s="21">
        <v>3.4799999999999998E-2</v>
      </c>
    </row>
    <row r="295" spans="1:38">
      <c r="A295" s="20">
        <v>0.22389999999999999</v>
      </c>
      <c r="B295" s="20">
        <v>-0.28160000000000002</v>
      </c>
      <c r="C295" s="20">
        <v>0.1234</v>
      </c>
      <c r="D295" s="20">
        <v>-9.5799999999999996E-2</v>
      </c>
      <c r="E295" s="20">
        <v>0.1434</v>
      </c>
      <c r="F295" s="20">
        <v>-0.161</v>
      </c>
      <c r="G295" s="20">
        <v>-4.6699999999999998E-2</v>
      </c>
      <c r="H295" s="20">
        <v>-0.1215</v>
      </c>
      <c r="I295" s="20">
        <v>-0.08</v>
      </c>
      <c r="J295" s="20">
        <v>9.6199999999999994E-2</v>
      </c>
      <c r="K295" s="20">
        <v>0.18820000000000001</v>
      </c>
      <c r="L295" s="20">
        <v>0.152</v>
      </c>
      <c r="M295" s="20">
        <v>-0.2959</v>
      </c>
      <c r="N295" s="20">
        <v>-0.1024</v>
      </c>
      <c r="O295" s="20">
        <v>0.14099999999999999</v>
      </c>
      <c r="P295" s="20">
        <v>1.4E-3</v>
      </c>
      <c r="Q295" s="20">
        <v>1.5699999999999999E-2</v>
      </c>
      <c r="R295" s="20">
        <v>0.32729999999999998</v>
      </c>
      <c r="S295" s="20">
        <v>3.1399999999999997E-2</v>
      </c>
      <c r="T295" s="20">
        <v>-0.14480000000000001</v>
      </c>
      <c r="U295" s="20">
        <v>-8.9599999999999999E-2</v>
      </c>
      <c r="V295" s="20">
        <v>6.6199999999999995E-2</v>
      </c>
      <c r="W295" s="20">
        <v>4.53E-2</v>
      </c>
      <c r="X295" s="20">
        <v>-1.4800000000000001E-2</v>
      </c>
      <c r="Y295" s="20">
        <v>-3.8E-3</v>
      </c>
      <c r="Z295" s="20">
        <v>3.7600000000000001E-2</v>
      </c>
      <c r="AA295" s="20">
        <v>-0.22009999999999999</v>
      </c>
      <c r="AB295" s="20">
        <v>-3.0499999999999999E-2</v>
      </c>
      <c r="AC295" s="20">
        <v>-0.17150000000000001</v>
      </c>
      <c r="AD295" s="20">
        <v>1.4800000000000001E-2</v>
      </c>
      <c r="AE295" s="20">
        <v>-0.15340000000000001</v>
      </c>
      <c r="AF295" s="20">
        <v>0.21299999999999999</v>
      </c>
      <c r="AG295" s="20">
        <v>0.253</v>
      </c>
      <c r="AH295" s="20">
        <v>-0.112</v>
      </c>
      <c r="AI295" s="20">
        <v>-3.3399999999999999E-2</v>
      </c>
      <c r="AJ295" s="20">
        <v>-0.2959</v>
      </c>
      <c r="AK295" s="20">
        <v>0.36309999999999998</v>
      </c>
      <c r="AL295" s="21">
        <v>1.0999999999999999E-2</v>
      </c>
    </row>
    <row r="296" spans="1:38">
      <c r="A296" s="20">
        <v>0.2397</v>
      </c>
      <c r="B296" s="20">
        <v>-0.5111</v>
      </c>
      <c r="C296" s="20">
        <v>-4.9200000000000001E-2</v>
      </c>
      <c r="D296" s="20">
        <v>-0.15479999999999999</v>
      </c>
      <c r="E296" s="20">
        <v>7.4200000000000002E-2</v>
      </c>
      <c r="F296" s="20">
        <v>-9.5600000000000004E-2</v>
      </c>
      <c r="G296" s="20">
        <v>-0.13650000000000001</v>
      </c>
      <c r="H296" s="20">
        <v>-0.1313</v>
      </c>
      <c r="I296" s="20">
        <v>-4.4000000000000003E-3</v>
      </c>
      <c r="J296" s="20">
        <v>-0.16980000000000001</v>
      </c>
      <c r="K296" s="20">
        <v>0.1147</v>
      </c>
      <c r="L296" s="20">
        <v>7.6200000000000004E-2</v>
      </c>
      <c r="M296" s="20">
        <v>-1.67E-2</v>
      </c>
      <c r="N296" s="20">
        <v>-0.13569999999999999</v>
      </c>
      <c r="O296" s="20">
        <v>-2.2200000000000001E-2</v>
      </c>
      <c r="P296" s="20">
        <v>-0.2361</v>
      </c>
      <c r="Q296" s="20">
        <v>-0.23050000000000001</v>
      </c>
      <c r="R296" s="20">
        <v>-8.2500000000000004E-2</v>
      </c>
      <c r="S296" s="20">
        <v>-0.11269999999999999</v>
      </c>
      <c r="T296" s="20">
        <v>0.14319999999999999</v>
      </c>
      <c r="U296" s="20">
        <v>0.1246</v>
      </c>
      <c r="V296" s="20">
        <v>0.2762</v>
      </c>
      <c r="W296" s="20">
        <v>-7.1400000000000005E-2</v>
      </c>
      <c r="X296" s="20">
        <v>-1.9E-2</v>
      </c>
      <c r="Y296" s="20">
        <v>0.252</v>
      </c>
      <c r="Z296" s="20">
        <v>-0.1091</v>
      </c>
      <c r="AA296" s="20">
        <v>0.1258</v>
      </c>
      <c r="AB296" s="20">
        <v>-3.73E-2</v>
      </c>
      <c r="AC296" s="20">
        <v>3.1699999999999999E-2</v>
      </c>
      <c r="AD296" s="20">
        <v>-0.13730000000000001</v>
      </c>
      <c r="AE296" s="20">
        <v>4.36E-2</v>
      </c>
      <c r="AF296" s="20">
        <v>0.221</v>
      </c>
      <c r="AG296" s="20">
        <v>0.18290000000000001</v>
      </c>
      <c r="AH296" s="20">
        <v>0.1182</v>
      </c>
      <c r="AI296" s="20">
        <v>3.5999999999999999E-3</v>
      </c>
      <c r="AJ296" s="20">
        <v>0.1948</v>
      </c>
      <c r="AK296" s="20">
        <v>5.4399999999999997E-2</v>
      </c>
      <c r="AL296" s="21">
        <v>0.19919999999999999</v>
      </c>
    </row>
    <row r="297" spans="1:38">
      <c r="A297" s="20">
        <v>-0.156</v>
      </c>
      <c r="B297" s="20">
        <v>-0.15459999999999999</v>
      </c>
      <c r="C297" s="20">
        <v>0.31659999999999999</v>
      </c>
      <c r="D297" s="20">
        <v>0.19700000000000001</v>
      </c>
      <c r="E297" s="20">
        <v>5.1900000000000002E-2</v>
      </c>
      <c r="F297" s="20">
        <v>-6.5699999999999995E-2</v>
      </c>
      <c r="G297" s="20">
        <v>-0.13009999999999999</v>
      </c>
      <c r="H297" s="20">
        <v>-0.4108</v>
      </c>
      <c r="I297" s="20">
        <v>0.41870000000000002</v>
      </c>
      <c r="J297" s="20">
        <v>0.16309999999999999</v>
      </c>
      <c r="K297" s="20">
        <v>8.6099999999999996E-2</v>
      </c>
      <c r="L297" s="20">
        <v>6.5199999999999994E-2</v>
      </c>
      <c r="M297" s="20">
        <v>0.1129</v>
      </c>
      <c r="N297" s="20">
        <v>-0.10580000000000001</v>
      </c>
      <c r="O297" s="20">
        <v>-0.32990000000000003</v>
      </c>
      <c r="P297" s="20">
        <v>1.6400000000000001E-2</v>
      </c>
      <c r="Q297" s="20">
        <v>0.14760000000000001</v>
      </c>
      <c r="R297" s="20">
        <v>5.9499999999999997E-2</v>
      </c>
      <c r="S297" s="20">
        <v>-0.17130000000000001</v>
      </c>
      <c r="T297" s="20">
        <v>7.6E-3</v>
      </c>
      <c r="U297" s="20">
        <v>-0.2001</v>
      </c>
      <c r="V297" s="20">
        <v>0.1431</v>
      </c>
      <c r="W297" s="20">
        <v>-6.7199999999999996E-2</v>
      </c>
      <c r="X297" s="20">
        <v>-1.9199999999999998E-2</v>
      </c>
      <c r="Y297" s="20">
        <v>-0.1721</v>
      </c>
      <c r="Z297" s="20">
        <v>-0.1106</v>
      </c>
      <c r="AA297" s="20">
        <v>2.3400000000000001E-2</v>
      </c>
      <c r="AB297" s="20">
        <v>0.16389999999999999</v>
      </c>
      <c r="AC297" s="20">
        <v>0.17829999999999999</v>
      </c>
      <c r="AD297" s="20">
        <v>5.5999999999999999E-3</v>
      </c>
      <c r="AE297" s="20">
        <v>0.112</v>
      </c>
      <c r="AF297" s="20">
        <v>-0.1007</v>
      </c>
      <c r="AG297" s="20">
        <v>-8.1299999999999997E-2</v>
      </c>
      <c r="AH297" s="20">
        <v>-9.3100000000000002E-2</v>
      </c>
      <c r="AI297" s="20">
        <v>1.1000000000000001E-3</v>
      </c>
      <c r="AJ297" s="20">
        <v>4.3200000000000002E-2</v>
      </c>
      <c r="AK297" s="20">
        <v>0.1036</v>
      </c>
      <c r="AL297" s="21">
        <v>-4.0399999999999998E-2</v>
      </c>
    </row>
    <row r="298" spans="1:38">
      <c r="A298" s="20">
        <v>0.48620000000000002</v>
      </c>
      <c r="B298" s="20">
        <v>-0.27689999999999998</v>
      </c>
      <c r="C298" s="20">
        <v>-6.0100000000000001E-2</v>
      </c>
      <c r="D298" s="20">
        <v>0.17380000000000001</v>
      </c>
      <c r="E298" s="20">
        <v>7.1599999999999997E-2</v>
      </c>
      <c r="F298" s="20">
        <v>4.4600000000000001E-2</v>
      </c>
      <c r="G298" s="20">
        <v>-1.5900000000000001E-2</v>
      </c>
      <c r="H298" s="20">
        <v>1.55E-2</v>
      </c>
      <c r="I298" s="20">
        <v>-0.15620000000000001</v>
      </c>
      <c r="J298" s="20">
        <v>3.7199999999999997E-2</v>
      </c>
      <c r="K298" s="20">
        <v>-0.21429999999999999</v>
      </c>
      <c r="L298" s="20">
        <v>0.19259999999999999</v>
      </c>
      <c r="M298" s="20">
        <v>-9.7999999999999997E-3</v>
      </c>
      <c r="N298" s="20">
        <v>-0.21759999999999999</v>
      </c>
      <c r="O298" s="20">
        <v>7.7999999999999996E-3</v>
      </c>
      <c r="P298" s="20">
        <v>-8.1799999999999998E-2</v>
      </c>
      <c r="Q298" s="20">
        <v>-0.23880000000000001</v>
      </c>
      <c r="R298" s="20">
        <v>-0.1754</v>
      </c>
      <c r="S298" s="20">
        <v>-3.27E-2</v>
      </c>
      <c r="T298" s="20">
        <v>5.5199999999999999E-2</v>
      </c>
      <c r="U298" s="20">
        <v>0.1116</v>
      </c>
      <c r="V298" s="20">
        <v>0.35460000000000003</v>
      </c>
      <c r="W298" s="20">
        <v>-6.13E-2</v>
      </c>
      <c r="X298" s="20">
        <v>3.1099999999999999E-2</v>
      </c>
      <c r="Y298" s="20">
        <v>8.4199999999999997E-2</v>
      </c>
      <c r="Z298" s="20">
        <v>6.0900000000000003E-2</v>
      </c>
      <c r="AA298" s="20">
        <v>2.0400000000000001E-2</v>
      </c>
      <c r="AB298" s="20">
        <v>4.58E-2</v>
      </c>
      <c r="AC298" s="20">
        <v>-0.26910000000000001</v>
      </c>
      <c r="AD298" s="20">
        <v>-8.14E-2</v>
      </c>
      <c r="AE298" s="20">
        <v>3.3500000000000002E-2</v>
      </c>
      <c r="AF298" s="20">
        <v>0.23799999999999999</v>
      </c>
      <c r="AG298" s="20">
        <v>0.15129999999999999</v>
      </c>
      <c r="AH298" s="20">
        <v>-0.1055</v>
      </c>
      <c r="AI298" s="20">
        <v>0.1386</v>
      </c>
      <c r="AJ298" s="20">
        <v>-9.3600000000000003E-2</v>
      </c>
      <c r="AK298" s="20">
        <v>-0.13900000000000001</v>
      </c>
      <c r="AL298" s="21">
        <v>-0.12720000000000001</v>
      </c>
    </row>
    <row r="299" spans="1:38">
      <c r="A299" s="20">
        <v>-5.5599999999999997E-2</v>
      </c>
      <c r="B299" s="20">
        <v>0.10489999999999999</v>
      </c>
      <c r="C299" s="20">
        <v>1.2E-2</v>
      </c>
      <c r="D299" s="20">
        <v>-2.18E-2</v>
      </c>
      <c r="E299" s="20">
        <v>-0.3075</v>
      </c>
      <c r="F299" s="20">
        <v>0.21410000000000001</v>
      </c>
      <c r="G299" s="20">
        <v>0.2056</v>
      </c>
      <c r="H299" s="20">
        <v>0</v>
      </c>
      <c r="I299" s="20">
        <v>-0.1323</v>
      </c>
      <c r="J299" s="20">
        <v>0.13100000000000001</v>
      </c>
      <c r="K299" s="20">
        <v>0.34320000000000001</v>
      </c>
      <c r="L299" s="20">
        <v>1.49E-2</v>
      </c>
      <c r="M299" s="20">
        <v>-0.1958</v>
      </c>
      <c r="N299" s="20">
        <v>0.21929999999999999</v>
      </c>
      <c r="O299" s="20">
        <v>-2.0000000000000001E-4</v>
      </c>
      <c r="P299" s="20">
        <v>-7.4800000000000005E-2</v>
      </c>
      <c r="Q299" s="20">
        <v>-0.10440000000000001</v>
      </c>
      <c r="R299" s="20">
        <v>-3.2199999999999999E-2</v>
      </c>
      <c r="S299" s="20">
        <v>3.9899999999999998E-2</v>
      </c>
      <c r="T299" s="20">
        <v>0.18310000000000001</v>
      </c>
      <c r="U299" s="20">
        <v>-0.10009999999999999</v>
      </c>
      <c r="V299" s="20">
        <v>-3.0499999999999999E-2</v>
      </c>
      <c r="W299" s="20">
        <v>-0.30380000000000001</v>
      </c>
      <c r="X299" s="20">
        <v>0.24629999999999999</v>
      </c>
      <c r="Y299" s="20">
        <v>-0.13600000000000001</v>
      </c>
      <c r="Z299" s="20">
        <v>1.1999999999999999E-3</v>
      </c>
      <c r="AA299" s="20">
        <v>3.0700000000000002E-2</v>
      </c>
      <c r="AB299" s="20">
        <v>-0.31440000000000001</v>
      </c>
      <c r="AC299" s="20">
        <v>0.14410000000000001</v>
      </c>
      <c r="AD299" s="20">
        <v>0.16880000000000001</v>
      </c>
      <c r="AE299" s="20">
        <v>-7.5399999999999995E-2</v>
      </c>
      <c r="AF299" s="20">
        <v>0.1192</v>
      </c>
      <c r="AG299" s="20">
        <v>3.32E-2</v>
      </c>
      <c r="AH299" s="20">
        <v>9.9000000000000005E-2</v>
      </c>
      <c r="AI299" s="20">
        <v>-0.1943</v>
      </c>
      <c r="AJ299" s="20">
        <v>0.16689999999999999</v>
      </c>
      <c r="AK299" s="20">
        <v>-0.22919999999999999</v>
      </c>
      <c r="AL299" s="21">
        <v>-0.1744</v>
      </c>
    </row>
    <row r="300" spans="1:38">
      <c r="A300" s="20">
        <v>0.35720000000000002</v>
      </c>
      <c r="B300" s="20">
        <v>-0.2492</v>
      </c>
      <c r="C300" s="20">
        <v>0.1071</v>
      </c>
      <c r="D300" s="20">
        <v>0.1293</v>
      </c>
      <c r="E300" s="20">
        <v>0.33750000000000002</v>
      </c>
      <c r="F300" s="20">
        <v>-0.14360000000000001</v>
      </c>
      <c r="G300" s="20">
        <v>9.5200000000000007E-2</v>
      </c>
      <c r="H300" s="20">
        <v>-5.7700000000000001E-2</v>
      </c>
      <c r="I300" s="20">
        <v>3.0599999999999999E-2</v>
      </c>
      <c r="J300" s="20">
        <v>-3.5000000000000003E-2</v>
      </c>
      <c r="K300" s="20">
        <v>8.0399999999999999E-2</v>
      </c>
      <c r="L300" s="20">
        <v>0.14649999999999999</v>
      </c>
      <c r="M300" s="20">
        <v>-0.23980000000000001</v>
      </c>
      <c r="N300" s="20">
        <v>-2.3199999999999998E-2</v>
      </c>
      <c r="O300" s="20">
        <v>-3.5000000000000003E-2</v>
      </c>
      <c r="P300" s="20">
        <v>-2.9600000000000001E-2</v>
      </c>
      <c r="Q300" s="20">
        <v>-7.5999999999999998E-2</v>
      </c>
      <c r="R300" s="20">
        <v>0.2225</v>
      </c>
      <c r="S300" s="20">
        <v>-0.15540000000000001</v>
      </c>
      <c r="T300" s="20">
        <v>-0.12330000000000001</v>
      </c>
      <c r="U300" s="20">
        <v>0.1293</v>
      </c>
      <c r="V300" s="20">
        <v>0.1391</v>
      </c>
      <c r="W300" s="20">
        <v>-8.8300000000000003E-2</v>
      </c>
      <c r="X300" s="20">
        <v>0.12039999999999999</v>
      </c>
      <c r="Y300" s="20">
        <v>0.20280000000000001</v>
      </c>
      <c r="Z300" s="20">
        <v>-0.1011</v>
      </c>
      <c r="AA300" s="20">
        <v>-0.13220000000000001</v>
      </c>
      <c r="AB300" s="20">
        <v>-0.17660000000000001</v>
      </c>
      <c r="AC300" s="20">
        <v>-9.3700000000000006E-2</v>
      </c>
      <c r="AD300" s="20">
        <v>-0.14410000000000001</v>
      </c>
      <c r="AE300" s="20">
        <v>-0.113</v>
      </c>
      <c r="AF300" s="20">
        <v>-5.9200000000000003E-2</v>
      </c>
      <c r="AG300" s="20">
        <v>0.37690000000000001</v>
      </c>
      <c r="AH300" s="20">
        <v>-0.15340000000000001</v>
      </c>
      <c r="AI300" s="20">
        <v>5.4000000000000003E-3</v>
      </c>
      <c r="AJ300" s="20">
        <v>-5.0799999999999998E-2</v>
      </c>
      <c r="AK300" s="20">
        <v>8.3400000000000002E-2</v>
      </c>
      <c r="AL300" s="21">
        <v>-0.26640000000000003</v>
      </c>
    </row>
    <row r="301" spans="1:38">
      <c r="A301" s="20">
        <v>0.21199999999999999</v>
      </c>
      <c r="B301" s="20">
        <v>-0.23050000000000001</v>
      </c>
      <c r="C301" s="20">
        <v>-0.13789999999999999</v>
      </c>
      <c r="D301" s="20">
        <v>0.3629</v>
      </c>
      <c r="E301" s="20">
        <v>-0.12889999999999999</v>
      </c>
      <c r="F301" s="20">
        <v>-1.8499999999999999E-2</v>
      </c>
      <c r="G301" s="20">
        <v>-7.0099999999999996E-2</v>
      </c>
      <c r="H301" s="20">
        <v>-0.47089999999999999</v>
      </c>
      <c r="I301" s="20">
        <v>-8.9800000000000005E-2</v>
      </c>
      <c r="J301" s="20">
        <v>-0.2908</v>
      </c>
      <c r="K301" s="20">
        <v>0.1852</v>
      </c>
      <c r="L301" s="20">
        <v>-8.0000000000000004E-4</v>
      </c>
      <c r="M301" s="20">
        <v>0.10440000000000001</v>
      </c>
      <c r="N301" s="20">
        <v>-8.2000000000000003E-2</v>
      </c>
      <c r="O301" s="20">
        <v>0.23449999999999999</v>
      </c>
      <c r="P301" s="20">
        <v>-0.23599999999999999</v>
      </c>
      <c r="Q301" s="20">
        <v>-0.12330000000000001</v>
      </c>
      <c r="R301" s="20">
        <v>0.16550000000000001</v>
      </c>
      <c r="S301" s="20">
        <v>-7.8E-2</v>
      </c>
      <c r="T301" s="20">
        <v>-0.1198</v>
      </c>
      <c r="U301" s="20">
        <v>-9.3799999999999994E-2</v>
      </c>
      <c r="V301" s="20">
        <v>4.2999999999999997E-2</v>
      </c>
      <c r="W301" s="20">
        <v>2.3599999999999999E-2</v>
      </c>
      <c r="X301" s="20">
        <v>9.4600000000000004E-2</v>
      </c>
      <c r="Y301" s="20">
        <v>0.21279999999999999</v>
      </c>
      <c r="Z301" s="20">
        <v>-0.14929999999999999</v>
      </c>
      <c r="AA301" s="20">
        <v>4.4900000000000002E-2</v>
      </c>
      <c r="AB301" s="20">
        <v>6.4600000000000005E-2</v>
      </c>
      <c r="AC301" s="20">
        <v>4.4499999999999998E-2</v>
      </c>
      <c r="AD301" s="20">
        <v>-3.8999999999999998E-3</v>
      </c>
      <c r="AE301" s="20">
        <v>8.9800000000000005E-2</v>
      </c>
      <c r="AF301" s="20">
        <v>0.19270000000000001</v>
      </c>
      <c r="AG301" s="20">
        <v>5.4999999999999997E-3</v>
      </c>
      <c r="AH301" s="20">
        <v>-9.9699999999999997E-2</v>
      </c>
      <c r="AI301" s="20">
        <v>2.9600000000000001E-2</v>
      </c>
      <c r="AJ301" s="20">
        <v>7.9600000000000004E-2</v>
      </c>
      <c r="AK301" s="20">
        <v>0.15490000000000001</v>
      </c>
      <c r="AL301" s="21">
        <v>8.3500000000000005E-2</v>
      </c>
    </row>
    <row r="302" spans="1:38">
      <c r="A302" s="20">
        <v>-0.20080000000000001</v>
      </c>
      <c r="B302" s="20">
        <v>-3.9100000000000003E-2</v>
      </c>
      <c r="C302" s="20">
        <v>-0.1134</v>
      </c>
      <c r="D302" s="20">
        <v>-0.1716</v>
      </c>
      <c r="E302" s="20">
        <v>-0.12</v>
      </c>
      <c r="F302" s="20">
        <v>-9.9900000000000003E-2</v>
      </c>
      <c r="G302" s="20">
        <v>-0.2661</v>
      </c>
      <c r="H302" s="20">
        <v>8.72E-2</v>
      </c>
      <c r="I302" s="20">
        <v>-3.49E-2</v>
      </c>
      <c r="J302" s="20">
        <v>0.18429999999999999</v>
      </c>
      <c r="K302" s="20">
        <v>-6.6199999999999995E-2</v>
      </c>
      <c r="L302" s="20">
        <v>0.18329999999999999</v>
      </c>
      <c r="M302" s="20">
        <v>0.20380000000000001</v>
      </c>
      <c r="N302" s="20">
        <v>0.1159</v>
      </c>
      <c r="O302" s="20">
        <v>-9.0499999999999997E-2</v>
      </c>
      <c r="P302" s="20">
        <v>7.5600000000000001E-2</v>
      </c>
      <c r="Q302" s="20">
        <v>-8.77E-2</v>
      </c>
      <c r="R302" s="20">
        <v>0.24440000000000001</v>
      </c>
      <c r="S302" s="20">
        <v>-2.07E-2</v>
      </c>
      <c r="T302" s="20">
        <v>0.33229999999999998</v>
      </c>
      <c r="U302" s="20">
        <v>7.3499999999999996E-2</v>
      </c>
      <c r="V302" s="20">
        <v>-0.312</v>
      </c>
      <c r="W302" s="20">
        <v>-0.1216</v>
      </c>
      <c r="X302" s="20">
        <v>8.6999999999999994E-3</v>
      </c>
      <c r="Y302" s="20">
        <v>0.12089999999999999</v>
      </c>
      <c r="Z302" s="20">
        <v>-5.4899999999999997E-2</v>
      </c>
      <c r="AA302" s="20">
        <v>-0.16639999999999999</v>
      </c>
      <c r="AB302" s="20">
        <v>-7.9399999999999998E-2</v>
      </c>
      <c r="AC302" s="20">
        <v>-6.6699999999999995E-2</v>
      </c>
      <c r="AD302" s="20">
        <v>-1.01E-2</v>
      </c>
      <c r="AE302" s="20">
        <v>0.23569999999999999</v>
      </c>
      <c r="AF302" s="20">
        <v>0.29930000000000001</v>
      </c>
      <c r="AG302" s="20">
        <v>0.1449</v>
      </c>
      <c r="AH302" s="20">
        <v>0.17319999999999999</v>
      </c>
      <c r="AI302" s="20">
        <v>-0.32619999999999999</v>
      </c>
      <c r="AJ302" s="20">
        <v>-8.1100000000000005E-2</v>
      </c>
      <c r="AK302" s="20">
        <v>-4.8300000000000003E-2</v>
      </c>
      <c r="AL302" s="21">
        <v>8.6999999999999994E-2</v>
      </c>
    </row>
    <row r="303" spans="1:38">
      <c r="A303" s="20">
        <v>-0.44900000000000001</v>
      </c>
      <c r="B303" s="20">
        <v>0.1007</v>
      </c>
      <c r="C303" s="20">
        <v>-2.9399999999999999E-2</v>
      </c>
      <c r="D303" s="20">
        <v>0.23200000000000001</v>
      </c>
      <c r="E303" s="20">
        <v>0.38829999999999998</v>
      </c>
      <c r="F303" s="20">
        <v>-1.0800000000000001E-2</v>
      </c>
      <c r="G303" s="20">
        <v>-0.24410000000000001</v>
      </c>
      <c r="H303" s="20">
        <v>0.18160000000000001</v>
      </c>
      <c r="I303" s="20">
        <v>0.16339999999999999</v>
      </c>
      <c r="J303" s="20">
        <v>6.4999999999999997E-3</v>
      </c>
      <c r="K303" s="20">
        <v>-0.1072</v>
      </c>
      <c r="L303" s="20">
        <v>0.29749999999999999</v>
      </c>
      <c r="M303" s="20">
        <v>0.29299999999999998</v>
      </c>
      <c r="N303" s="20">
        <v>0.1394</v>
      </c>
      <c r="O303" s="20">
        <v>-0.10290000000000001</v>
      </c>
      <c r="P303" s="20">
        <v>-5.16E-2</v>
      </c>
      <c r="Q303" s="20">
        <v>-0.10199999999999999</v>
      </c>
      <c r="R303" s="20">
        <v>1.9099999999999999E-2</v>
      </c>
      <c r="S303" s="20">
        <v>-0.1249</v>
      </c>
      <c r="T303" s="20">
        <v>-0.1244</v>
      </c>
      <c r="U303" s="20">
        <v>-4.3700000000000003E-2</v>
      </c>
      <c r="V303" s="20">
        <v>-5.4000000000000003E-3</v>
      </c>
      <c r="W303" s="20">
        <v>0.17460000000000001</v>
      </c>
      <c r="X303" s="20">
        <v>0.05</v>
      </c>
      <c r="Y303" s="20">
        <v>-1.55E-2</v>
      </c>
      <c r="Z303" s="20">
        <v>-0.25109999999999999</v>
      </c>
      <c r="AA303" s="20">
        <v>-4.8999999999999998E-3</v>
      </c>
      <c r="AB303" s="20">
        <v>6.1899999999999997E-2</v>
      </c>
      <c r="AC303" s="20">
        <v>-6.3700000000000007E-2</v>
      </c>
      <c r="AD303" s="20">
        <v>-2.1499999999999998E-2</v>
      </c>
      <c r="AE303" s="20">
        <v>5.3100000000000001E-2</v>
      </c>
      <c r="AF303" s="20">
        <v>5.7999999999999996E-3</v>
      </c>
      <c r="AG303" s="20">
        <v>-1.1900000000000001E-2</v>
      </c>
      <c r="AH303" s="20">
        <v>-0.1065</v>
      </c>
      <c r="AI303" s="20">
        <v>6.6100000000000006E-2</v>
      </c>
      <c r="AJ303" s="20">
        <v>2.8000000000000001E-2</v>
      </c>
      <c r="AK303" s="20">
        <v>-0.14949999999999999</v>
      </c>
      <c r="AL303" s="21">
        <v>-0.2334</v>
      </c>
    </row>
    <row r="304" spans="1:38">
      <c r="A304" s="20">
        <v>0.39190000000000003</v>
      </c>
      <c r="B304" s="20">
        <v>2.4500000000000001E-2</v>
      </c>
      <c r="C304" s="20">
        <v>-0.19070000000000001</v>
      </c>
      <c r="D304" s="20">
        <v>-7.7700000000000005E-2</v>
      </c>
      <c r="E304" s="20">
        <v>0.1328</v>
      </c>
      <c r="F304" s="20">
        <v>-7.0599999999999996E-2</v>
      </c>
      <c r="G304" s="20">
        <v>2.98E-2</v>
      </c>
      <c r="H304" s="20">
        <v>5.1499999999999997E-2</v>
      </c>
      <c r="I304" s="20">
        <v>4.6699999999999998E-2</v>
      </c>
      <c r="J304" s="20">
        <v>0.25390000000000001</v>
      </c>
      <c r="K304" s="20">
        <v>-0.20499999999999999</v>
      </c>
      <c r="L304" s="20">
        <v>1.46E-2</v>
      </c>
      <c r="M304" s="20">
        <v>0.20860000000000001</v>
      </c>
      <c r="N304" s="20">
        <v>-1.89E-2</v>
      </c>
      <c r="O304" s="20">
        <v>0.41089999999999999</v>
      </c>
      <c r="P304" s="20">
        <v>-7.6600000000000001E-2</v>
      </c>
      <c r="Q304" s="20">
        <v>-0.18</v>
      </c>
      <c r="R304" s="20">
        <v>0.14660000000000001</v>
      </c>
      <c r="S304" s="20">
        <v>-8.5599999999999996E-2</v>
      </c>
      <c r="T304" s="20">
        <v>-0.1071</v>
      </c>
      <c r="U304" s="20">
        <v>9.1000000000000004E-3</v>
      </c>
      <c r="V304" s="20">
        <v>-0.1391</v>
      </c>
      <c r="W304" s="20">
        <v>1.0500000000000001E-2</v>
      </c>
      <c r="X304" s="20">
        <v>0.10100000000000001</v>
      </c>
      <c r="Y304" s="20">
        <v>-0.2114</v>
      </c>
      <c r="Z304" s="20">
        <v>0.27650000000000002</v>
      </c>
      <c r="AA304" s="20">
        <v>7.5899999999999995E-2</v>
      </c>
      <c r="AB304" s="20">
        <v>-4.6199999999999998E-2</v>
      </c>
      <c r="AC304" s="20">
        <v>-6.13E-2</v>
      </c>
      <c r="AD304" s="20">
        <v>4.5999999999999999E-3</v>
      </c>
      <c r="AE304" s="20">
        <v>0.19919999999999999</v>
      </c>
      <c r="AF304" s="20">
        <v>-0.1326</v>
      </c>
      <c r="AG304" s="20">
        <v>-0.2135</v>
      </c>
      <c r="AH304" s="20">
        <v>2.9999999999999997E-4</v>
      </c>
      <c r="AI304" s="20">
        <v>-0.15840000000000001</v>
      </c>
      <c r="AJ304" s="20">
        <v>-0.2369</v>
      </c>
      <c r="AK304" s="20">
        <v>-1.1999999999999999E-3</v>
      </c>
      <c r="AL304" s="21">
        <v>-0.17469999999999999</v>
      </c>
    </row>
    <row r="305" spans="1:38">
      <c r="A305" s="20">
        <v>0.34789999999999999</v>
      </c>
      <c r="B305" s="20">
        <v>-0.21909999999999999</v>
      </c>
      <c r="C305" s="20">
        <v>-0.30330000000000001</v>
      </c>
      <c r="D305" s="20">
        <v>0.33979999999999999</v>
      </c>
      <c r="E305" s="20">
        <v>-5.0799999999999998E-2</v>
      </c>
      <c r="F305" s="20">
        <v>0.1055</v>
      </c>
      <c r="G305" s="20">
        <v>-0.1008</v>
      </c>
      <c r="H305" s="20">
        <v>-0.24199999999999999</v>
      </c>
      <c r="I305" s="20">
        <v>-0.13070000000000001</v>
      </c>
      <c r="J305" s="20">
        <v>-0.30759999999999998</v>
      </c>
      <c r="K305" s="20">
        <v>0.1148</v>
      </c>
      <c r="L305" s="20">
        <v>-7.9500000000000001E-2</v>
      </c>
      <c r="M305" s="20">
        <v>0.19939999999999999</v>
      </c>
      <c r="N305" s="20">
        <v>-0.21060000000000001</v>
      </c>
      <c r="O305" s="20">
        <v>0.25019999999999998</v>
      </c>
      <c r="P305" s="20">
        <v>-0.1047</v>
      </c>
      <c r="Q305" s="20">
        <v>-0.1074</v>
      </c>
      <c r="R305" s="20">
        <v>0.2094</v>
      </c>
      <c r="S305" s="20">
        <v>-6.5199999999999994E-2</v>
      </c>
      <c r="T305" s="20">
        <v>-1.3599999999999999E-2</v>
      </c>
      <c r="U305" s="20">
        <v>-2.0199999999999999E-2</v>
      </c>
      <c r="V305" s="20">
        <v>6.6699999999999995E-2</v>
      </c>
      <c r="W305" s="20">
        <v>4.2299999999999997E-2</v>
      </c>
      <c r="X305" s="20">
        <v>-2.5600000000000001E-2</v>
      </c>
      <c r="Y305" s="20">
        <v>0.1179</v>
      </c>
      <c r="Z305" s="20">
        <v>-0.21410000000000001</v>
      </c>
      <c r="AA305" s="20">
        <v>5.7000000000000002E-2</v>
      </c>
      <c r="AB305" s="20">
        <v>0.11990000000000001</v>
      </c>
      <c r="AC305" s="20">
        <v>-5.4699999999999999E-2</v>
      </c>
      <c r="AD305" s="20">
        <v>1.2E-2</v>
      </c>
      <c r="AE305" s="20">
        <v>0.1167</v>
      </c>
      <c r="AF305" s="20">
        <v>0.1749</v>
      </c>
      <c r="AG305" s="20">
        <v>7.3300000000000004E-2</v>
      </c>
      <c r="AH305" s="20">
        <v>-0.1474</v>
      </c>
      <c r="AI305" s="20">
        <v>-5.3100000000000001E-2</v>
      </c>
      <c r="AJ305" s="20">
        <v>6.6E-3</v>
      </c>
      <c r="AK305" s="20">
        <v>0.16170000000000001</v>
      </c>
      <c r="AL305" s="21">
        <v>-6.4799999999999996E-2</v>
      </c>
    </row>
    <row r="306" spans="1:38">
      <c r="A306" s="20">
        <v>0.2853</v>
      </c>
      <c r="B306" s="20">
        <v>-0.31759999999999999</v>
      </c>
      <c r="C306" s="20">
        <v>0.23960000000000001</v>
      </c>
      <c r="D306" s="20">
        <v>-0.34179999999999999</v>
      </c>
      <c r="E306" s="20">
        <v>0.1033</v>
      </c>
      <c r="F306" s="20">
        <v>-0.13489999999999999</v>
      </c>
      <c r="G306" s="20">
        <v>-0.1226</v>
      </c>
      <c r="H306" s="20">
        <v>-5.8000000000000003E-2</v>
      </c>
      <c r="I306" s="20">
        <v>6.3600000000000004E-2</v>
      </c>
      <c r="J306" s="20">
        <v>-8.0999999999999996E-3</v>
      </c>
      <c r="K306" s="20">
        <v>7.3400000000000007E-2</v>
      </c>
      <c r="L306" s="20">
        <v>0.1152</v>
      </c>
      <c r="M306" s="20">
        <v>3.9E-2</v>
      </c>
      <c r="N306" s="20">
        <v>0.1187</v>
      </c>
      <c r="O306" s="20">
        <v>0.248</v>
      </c>
      <c r="P306" s="20">
        <v>0.11210000000000001</v>
      </c>
      <c r="Q306" s="20">
        <v>-0.26669999999999999</v>
      </c>
      <c r="R306" s="20">
        <v>-2.2100000000000002E-2</v>
      </c>
      <c r="S306" s="20">
        <v>2.3900000000000001E-2</v>
      </c>
      <c r="T306" s="20">
        <v>0.14899999999999999</v>
      </c>
      <c r="U306" s="20">
        <v>-6.5699999999999995E-2</v>
      </c>
      <c r="V306" s="20">
        <v>0.16969999999999999</v>
      </c>
      <c r="W306" s="20">
        <v>5.5199999999999999E-2</v>
      </c>
      <c r="X306" s="20">
        <v>-0.2452</v>
      </c>
      <c r="Y306" s="20">
        <v>0.25650000000000001</v>
      </c>
      <c r="Z306" s="20">
        <v>-0.17530000000000001</v>
      </c>
      <c r="AA306" s="20">
        <v>0.11210000000000001</v>
      </c>
      <c r="AB306" s="20">
        <v>-4.9200000000000001E-2</v>
      </c>
      <c r="AC306" s="20">
        <v>-9.3100000000000002E-2</v>
      </c>
      <c r="AD306" s="20">
        <v>2.18E-2</v>
      </c>
      <c r="AE306" s="20">
        <v>0.16719999999999999</v>
      </c>
      <c r="AF306" s="20">
        <v>-0.2248</v>
      </c>
      <c r="AG306" s="20">
        <v>3.2000000000000002E-3</v>
      </c>
      <c r="AH306" s="20">
        <v>0.17249999999999999</v>
      </c>
      <c r="AI306" s="20">
        <v>-0.13170000000000001</v>
      </c>
      <c r="AJ306" s="20">
        <v>-6.9900000000000004E-2</v>
      </c>
      <c r="AK306" s="20">
        <v>-0.20480000000000001</v>
      </c>
      <c r="AL306" s="21">
        <v>-1.1000000000000001E-3</v>
      </c>
    </row>
    <row r="307" spans="1:38">
      <c r="A307" s="20">
        <v>0.13220000000000001</v>
      </c>
      <c r="B307" s="20">
        <v>8.72E-2</v>
      </c>
      <c r="C307" s="20">
        <v>-0.1138</v>
      </c>
      <c r="D307" s="20">
        <v>0.1389</v>
      </c>
      <c r="E307" s="20">
        <v>0.13270000000000001</v>
      </c>
      <c r="F307" s="20">
        <v>0.32040000000000002</v>
      </c>
      <c r="G307" s="20">
        <v>-1E-3</v>
      </c>
      <c r="H307" s="20">
        <v>0.30249999999999999</v>
      </c>
      <c r="I307" s="20">
        <v>-0.29099999999999998</v>
      </c>
      <c r="J307" s="20">
        <v>1.9400000000000001E-2</v>
      </c>
      <c r="K307" s="20">
        <v>-6.0900000000000003E-2</v>
      </c>
      <c r="L307" s="20">
        <v>-5.3199999999999997E-2</v>
      </c>
      <c r="M307" s="20">
        <v>4.3700000000000003E-2</v>
      </c>
      <c r="N307" s="20">
        <v>-0.25919999999999999</v>
      </c>
      <c r="O307" s="20">
        <v>7.4999999999999997E-3</v>
      </c>
      <c r="P307" s="20">
        <v>8.48E-2</v>
      </c>
      <c r="Q307" s="20">
        <v>-8.2000000000000007E-3</v>
      </c>
      <c r="R307" s="20">
        <v>-0.36730000000000002</v>
      </c>
      <c r="S307" s="20">
        <v>0.13550000000000001</v>
      </c>
      <c r="T307" s="20">
        <v>-5.0999999999999997E-2</v>
      </c>
      <c r="U307" s="20">
        <v>3.9800000000000002E-2</v>
      </c>
      <c r="V307" s="20">
        <v>-0.12920000000000001</v>
      </c>
      <c r="W307" s="20">
        <v>-2.1600000000000001E-2</v>
      </c>
      <c r="X307" s="20">
        <v>-7.9799999999999996E-2</v>
      </c>
      <c r="Y307" s="20">
        <v>0.18140000000000001</v>
      </c>
      <c r="Z307" s="20">
        <v>0.128</v>
      </c>
      <c r="AA307" s="20">
        <v>-1.8599999999999998E-2</v>
      </c>
      <c r="AB307" s="20">
        <v>0.21970000000000001</v>
      </c>
      <c r="AC307" s="20">
        <v>-0.22420000000000001</v>
      </c>
      <c r="AD307" s="20">
        <v>0.22839999999999999</v>
      </c>
      <c r="AE307" s="20">
        <v>6.0600000000000001E-2</v>
      </c>
      <c r="AF307" s="20">
        <v>-0.26250000000000001</v>
      </c>
      <c r="AG307" s="20">
        <v>-6.1100000000000002E-2</v>
      </c>
      <c r="AH307" s="20">
        <v>-0.21099999999999999</v>
      </c>
      <c r="AI307" s="20">
        <v>-0.22270000000000001</v>
      </c>
      <c r="AJ307" s="20">
        <v>5.0999999999999997E-2</v>
      </c>
      <c r="AK307" s="20">
        <v>6.0900000000000003E-2</v>
      </c>
      <c r="AL307" s="21">
        <v>6.9099999999999995E-2</v>
      </c>
    </row>
    <row r="308" spans="1:38">
      <c r="A308" s="20">
        <v>-0.22600000000000001</v>
      </c>
      <c r="B308" s="20">
        <v>0.42120000000000002</v>
      </c>
      <c r="C308" s="20">
        <v>-0.15229999999999999</v>
      </c>
      <c r="D308" s="20">
        <v>8.9099999999999999E-2</v>
      </c>
      <c r="E308" s="20">
        <v>0.29239999999999999</v>
      </c>
      <c r="F308" s="20">
        <v>-0.23730000000000001</v>
      </c>
      <c r="G308" s="20">
        <v>-4.02E-2</v>
      </c>
      <c r="H308" s="20">
        <v>0.1187</v>
      </c>
      <c r="I308" s="20">
        <v>9.9500000000000005E-2</v>
      </c>
      <c r="J308" s="20">
        <v>4.0300000000000002E-2</v>
      </c>
      <c r="K308" s="20">
        <v>0.26119999999999999</v>
      </c>
      <c r="L308" s="20">
        <v>-0.36549999999999999</v>
      </c>
      <c r="M308" s="20">
        <v>-0.2167</v>
      </c>
      <c r="N308" s="20">
        <v>7.0999999999999994E-2</v>
      </c>
      <c r="O308" s="20">
        <v>-1.23E-2</v>
      </c>
      <c r="P308" s="20">
        <v>4.3400000000000001E-2</v>
      </c>
      <c r="Q308" s="20">
        <v>9.0700000000000003E-2</v>
      </c>
      <c r="R308" s="20">
        <v>-0.27839999999999998</v>
      </c>
      <c r="S308" s="20">
        <v>-6.2700000000000006E-2</v>
      </c>
      <c r="T308" s="20">
        <v>7.5399999999999995E-2</v>
      </c>
      <c r="U308" s="20">
        <v>1E-3</v>
      </c>
      <c r="V308" s="20">
        <v>-8.4500000000000006E-2</v>
      </c>
      <c r="W308" s="20">
        <v>-0.15529999999999999</v>
      </c>
      <c r="X308" s="20">
        <v>-4.4499999999999998E-2</v>
      </c>
      <c r="Y308" s="20">
        <v>-0.22989999999999999</v>
      </c>
      <c r="Z308" s="20">
        <v>-4.7600000000000003E-2</v>
      </c>
      <c r="AA308" s="20">
        <v>5.8400000000000001E-2</v>
      </c>
      <c r="AB308" s="20">
        <v>-9.1999999999999998E-3</v>
      </c>
      <c r="AC308" s="20">
        <v>9.1999999999999998E-3</v>
      </c>
      <c r="AD308" s="20">
        <v>-8.1199999999999994E-2</v>
      </c>
      <c r="AE308" s="20">
        <v>0.2059</v>
      </c>
      <c r="AF308" s="20">
        <v>1.8100000000000002E-2</v>
      </c>
      <c r="AG308" s="20">
        <v>9.4299999999999995E-2</v>
      </c>
      <c r="AH308" s="20">
        <v>-9.4299999999999995E-2</v>
      </c>
      <c r="AI308" s="20">
        <v>4.6800000000000001E-2</v>
      </c>
      <c r="AJ308" s="20">
        <v>0.1323</v>
      </c>
      <c r="AK308" s="20">
        <v>-3.3099999999999997E-2</v>
      </c>
      <c r="AL308" s="21">
        <v>0.2009</v>
      </c>
    </row>
    <row r="309" spans="1:38">
      <c r="A309" s="20">
        <v>-0.2656</v>
      </c>
      <c r="B309" s="20">
        <v>-2.6200000000000001E-2</v>
      </c>
      <c r="C309" s="20">
        <v>-1.6400000000000001E-2</v>
      </c>
      <c r="D309" s="20">
        <v>9.74E-2</v>
      </c>
      <c r="E309" s="20">
        <v>-1.77E-2</v>
      </c>
      <c r="F309" s="20">
        <v>-5.2499999999999998E-2</v>
      </c>
      <c r="G309" s="20">
        <v>8.3500000000000005E-2</v>
      </c>
      <c r="H309" s="20">
        <v>0.35</v>
      </c>
      <c r="I309" s="20">
        <v>5.8299999999999998E-2</v>
      </c>
      <c r="J309" s="20">
        <v>-9.4999999999999998E-3</v>
      </c>
      <c r="K309" s="20">
        <v>0.1153</v>
      </c>
      <c r="L309" s="20">
        <v>-0.50080000000000002</v>
      </c>
      <c r="M309" s="20">
        <v>-0.10639999999999999</v>
      </c>
      <c r="N309" s="20">
        <v>0.15190000000000001</v>
      </c>
      <c r="O309" s="20">
        <v>-0.16700000000000001</v>
      </c>
      <c r="P309" s="20">
        <v>-0.2324</v>
      </c>
      <c r="Q309" s="20">
        <v>-0.3029</v>
      </c>
      <c r="R309" s="20">
        <v>0.1396</v>
      </c>
      <c r="S309" s="20">
        <v>4.6100000000000002E-2</v>
      </c>
      <c r="T309" s="20">
        <v>0.21340000000000001</v>
      </c>
      <c r="U309" s="20">
        <v>-7.2800000000000004E-2</v>
      </c>
      <c r="V309" s="20">
        <v>0.15890000000000001</v>
      </c>
      <c r="W309" s="20">
        <v>-1.8200000000000001E-2</v>
      </c>
      <c r="X309" s="20">
        <v>-4.9500000000000002E-2</v>
      </c>
      <c r="Y309" s="20">
        <v>-0.30559999999999998</v>
      </c>
      <c r="Z309" s="20">
        <v>9.5799999999999996E-2</v>
      </c>
      <c r="AA309" s="20">
        <v>0.16800000000000001</v>
      </c>
      <c r="AB309" s="20">
        <v>-9.4000000000000004E-3</v>
      </c>
      <c r="AC309" s="20">
        <v>-3.3799999999999997E-2</v>
      </c>
      <c r="AD309" s="20">
        <v>-2.3E-2</v>
      </c>
      <c r="AE309" s="20">
        <v>3.1199999999999999E-2</v>
      </c>
      <c r="AF309" s="20">
        <v>0.1236</v>
      </c>
      <c r="AG309" s="20">
        <v>2.5999999999999999E-2</v>
      </c>
      <c r="AH309" s="20">
        <v>0.17150000000000001</v>
      </c>
      <c r="AI309" s="20">
        <v>4.5699999999999998E-2</v>
      </c>
      <c r="AJ309" s="20">
        <v>0.14299999999999999</v>
      </c>
      <c r="AK309" s="20">
        <v>-6.9500000000000006E-2</v>
      </c>
      <c r="AL309" s="21">
        <v>6.3799999999999996E-2</v>
      </c>
    </row>
    <row r="310" spans="1:38">
      <c r="A310" s="20">
        <v>-0.3795</v>
      </c>
      <c r="B310" s="20">
        <v>-0.10539999999999999</v>
      </c>
      <c r="C310" s="20">
        <v>-0.13830000000000001</v>
      </c>
      <c r="D310" s="20">
        <v>-2.1399999999999999E-2</v>
      </c>
      <c r="E310" s="20">
        <v>0.21049999999999999</v>
      </c>
      <c r="F310" s="20">
        <v>-0.22189999999999999</v>
      </c>
      <c r="G310" s="20">
        <v>-5.2900000000000003E-2</v>
      </c>
      <c r="H310" s="20">
        <v>4.5400000000000003E-2</v>
      </c>
      <c r="I310" s="20">
        <v>-4.0399999999999998E-2</v>
      </c>
      <c r="J310" s="20">
        <v>0.32979999999999998</v>
      </c>
      <c r="K310" s="20">
        <v>0.13619999999999999</v>
      </c>
      <c r="L310" s="20">
        <v>0.12970000000000001</v>
      </c>
      <c r="M310" s="20">
        <v>7.2900000000000006E-2</v>
      </c>
      <c r="N310" s="20">
        <v>4.6800000000000001E-2</v>
      </c>
      <c r="O310" s="20">
        <v>-0.17399999999999999</v>
      </c>
      <c r="P310" s="20">
        <v>-7.5399999999999995E-2</v>
      </c>
      <c r="Q310" s="20">
        <v>-0.1079</v>
      </c>
      <c r="R310" s="20">
        <v>-0.1229</v>
      </c>
      <c r="S310" s="20">
        <v>-6.2199999999999998E-2</v>
      </c>
      <c r="T310" s="20">
        <v>2.8899999999999999E-2</v>
      </c>
      <c r="U310" s="20">
        <v>0.27479999999999999</v>
      </c>
      <c r="V310" s="20">
        <v>0.15290000000000001</v>
      </c>
      <c r="W310" s="20">
        <v>8.3299999999999999E-2</v>
      </c>
      <c r="X310" s="20">
        <v>-0.16719999999999999</v>
      </c>
      <c r="Y310" s="20">
        <v>0.35089999999999999</v>
      </c>
      <c r="Z310" s="20">
        <v>-0.28949999999999998</v>
      </c>
      <c r="AA310" s="20">
        <v>4.65E-2</v>
      </c>
      <c r="AB310" s="20">
        <v>4.5999999999999999E-3</v>
      </c>
      <c r="AC310" s="20">
        <v>-2.5399999999999999E-2</v>
      </c>
      <c r="AD310" s="20">
        <v>-0.16300000000000001</v>
      </c>
      <c r="AE310" s="20">
        <v>-0.2051</v>
      </c>
      <c r="AF310" s="20">
        <v>0.12330000000000001</v>
      </c>
      <c r="AG310" s="20">
        <v>-3.3599999999999998E-2</v>
      </c>
      <c r="AH310" s="20">
        <v>6.3299999999999995E-2</v>
      </c>
      <c r="AI310" s="20">
        <v>0.08</v>
      </c>
      <c r="AJ310" s="20">
        <v>-7.1000000000000004E-3</v>
      </c>
      <c r="AK310" s="20">
        <v>0.25519999999999998</v>
      </c>
      <c r="AL310" s="21">
        <v>-4.4999999999999998E-2</v>
      </c>
    </row>
    <row r="311" spans="1:38">
      <c r="A311" s="20">
        <v>0.41889999999999999</v>
      </c>
      <c r="B311" s="20">
        <v>-0.33150000000000002</v>
      </c>
      <c r="C311" s="20">
        <v>7.2499999999999995E-2</v>
      </c>
      <c r="D311" s="20">
        <v>-4.02E-2</v>
      </c>
      <c r="E311" s="20">
        <v>-8.6999999999999994E-3</v>
      </c>
      <c r="F311" s="20">
        <v>-0.1555</v>
      </c>
      <c r="G311" s="20">
        <v>-0.27239999999999998</v>
      </c>
      <c r="H311" s="20">
        <v>-0.21240000000000001</v>
      </c>
      <c r="I311" s="20">
        <v>-4.6800000000000001E-2</v>
      </c>
      <c r="J311" s="20">
        <v>0.2195</v>
      </c>
      <c r="K311" s="20">
        <v>-8.3199999999999996E-2</v>
      </c>
      <c r="L311" s="20">
        <v>3.7999999999999999E-2</v>
      </c>
      <c r="M311" s="20">
        <v>-0.15210000000000001</v>
      </c>
      <c r="N311" s="20">
        <v>0.34939999999999999</v>
      </c>
      <c r="O311" s="20">
        <v>-0.2344</v>
      </c>
      <c r="P311" s="20">
        <v>0.19370000000000001</v>
      </c>
      <c r="Q311" s="20">
        <v>0.1845</v>
      </c>
      <c r="R311" s="20">
        <v>-0.1047</v>
      </c>
      <c r="S311" s="20">
        <v>-0.14460000000000001</v>
      </c>
      <c r="T311" s="20">
        <v>4.9099999999999998E-2</v>
      </c>
      <c r="U311" s="20">
        <v>-0.1188</v>
      </c>
      <c r="V311" s="20">
        <v>9.4000000000000004E-3</v>
      </c>
      <c r="W311" s="20">
        <v>1.9599999999999999E-2</v>
      </c>
      <c r="X311" s="20">
        <v>0.21759999999999999</v>
      </c>
      <c r="Y311" s="20">
        <v>-1.5599999999999999E-2</v>
      </c>
      <c r="Z311" s="20">
        <v>2.1000000000000001E-2</v>
      </c>
      <c r="AA311" s="20">
        <v>9.7600000000000006E-2</v>
      </c>
      <c r="AB311" s="20">
        <v>5.4100000000000002E-2</v>
      </c>
      <c r="AC311" s="20">
        <v>-9.7600000000000006E-2</v>
      </c>
      <c r="AD311" s="20">
        <v>5.3600000000000002E-2</v>
      </c>
      <c r="AE311" s="20">
        <v>-0.1328</v>
      </c>
      <c r="AF311" s="20">
        <v>-0.16139999999999999</v>
      </c>
      <c r="AG311" s="20">
        <v>1.49E-2</v>
      </c>
      <c r="AH311" s="20">
        <v>-3.95E-2</v>
      </c>
      <c r="AI311" s="20">
        <v>5.2900000000000003E-2</v>
      </c>
      <c r="AJ311" s="20">
        <v>-4.3700000000000003E-2</v>
      </c>
      <c r="AK311" s="20">
        <v>9.4700000000000006E-2</v>
      </c>
      <c r="AL311" s="21">
        <v>0.2301</v>
      </c>
    </row>
    <row r="312" spans="1:38">
      <c r="A312" s="20">
        <v>-4.8300000000000003E-2</v>
      </c>
      <c r="B312" s="20">
        <v>0.44800000000000001</v>
      </c>
      <c r="C312" s="20">
        <v>-0.1731</v>
      </c>
      <c r="D312" s="20">
        <v>0.15160000000000001</v>
      </c>
      <c r="E312" s="20">
        <v>0.42970000000000003</v>
      </c>
      <c r="F312" s="20">
        <v>-0.13769999999999999</v>
      </c>
      <c r="G312" s="20">
        <v>-0.19520000000000001</v>
      </c>
      <c r="H312" s="20">
        <v>8.8700000000000001E-2</v>
      </c>
      <c r="I312" s="20">
        <v>8.9399999999999993E-2</v>
      </c>
      <c r="J312" s="20">
        <v>3.49E-2</v>
      </c>
      <c r="K312" s="20">
        <v>0.13039999999999999</v>
      </c>
      <c r="L312" s="20">
        <v>-7.6300000000000007E-2</v>
      </c>
      <c r="M312" s="20">
        <v>-0.125</v>
      </c>
      <c r="N312" s="20">
        <v>0.2054</v>
      </c>
      <c r="O312" s="20">
        <v>-8.9099999999999999E-2</v>
      </c>
      <c r="P312" s="20">
        <v>8.9300000000000004E-2</v>
      </c>
      <c r="Q312" s="20">
        <v>9.8500000000000004E-2</v>
      </c>
      <c r="R312" s="20">
        <v>-9.8599999999999993E-2</v>
      </c>
      <c r="S312" s="20">
        <v>-9.4100000000000003E-2</v>
      </c>
      <c r="T312" s="20">
        <v>0.1389</v>
      </c>
      <c r="U312" s="20">
        <v>-0.21909999999999999</v>
      </c>
      <c r="V312" s="20">
        <v>5.62E-2</v>
      </c>
      <c r="W312" s="20">
        <v>-8.2699999999999996E-2</v>
      </c>
      <c r="X312" s="20">
        <v>-0.14810000000000001</v>
      </c>
      <c r="Y312" s="20">
        <v>-0.17249999999999999</v>
      </c>
      <c r="Z312" s="20">
        <v>-0.2298</v>
      </c>
      <c r="AA312" s="20">
        <v>7.6499999999999999E-2</v>
      </c>
      <c r="AB312" s="20">
        <v>-5.7500000000000002E-2</v>
      </c>
      <c r="AC312" s="20">
        <v>9.6600000000000005E-2</v>
      </c>
      <c r="AD312" s="20">
        <v>4.2099999999999999E-2</v>
      </c>
      <c r="AE312" s="20">
        <v>0.1169</v>
      </c>
      <c r="AF312" s="20">
        <v>0.10879999999999999</v>
      </c>
      <c r="AG312" s="20">
        <v>-0.28050000000000003</v>
      </c>
      <c r="AH312" s="20">
        <v>-6.4500000000000002E-2</v>
      </c>
      <c r="AI312" s="20">
        <v>-0.1109</v>
      </c>
      <c r="AJ312" s="20">
        <v>-5.5800000000000002E-2</v>
      </c>
      <c r="AK312" s="20">
        <v>-9.9199999999999997E-2</v>
      </c>
      <c r="AL312" s="21">
        <v>0.1575</v>
      </c>
    </row>
    <row r="313" spans="1:38">
      <c r="A313" s="20">
        <v>0.28189999999999998</v>
      </c>
      <c r="B313" s="20">
        <v>-0.1237</v>
      </c>
      <c r="C313" s="20">
        <v>-8.9999999999999993E-3</v>
      </c>
      <c r="D313" s="20">
        <v>-3.0000000000000001E-3</v>
      </c>
      <c r="E313" s="20">
        <v>8.6800000000000002E-2</v>
      </c>
      <c r="F313" s="20">
        <v>-0.19889999999999999</v>
      </c>
      <c r="G313" s="20">
        <v>8.6E-3</v>
      </c>
      <c r="H313" s="20">
        <v>7.8600000000000003E-2</v>
      </c>
      <c r="I313" s="20">
        <v>5.5899999999999998E-2</v>
      </c>
      <c r="J313" s="20">
        <v>-5.8400000000000001E-2</v>
      </c>
      <c r="K313" s="20">
        <v>8.1600000000000006E-2</v>
      </c>
      <c r="L313" s="20">
        <v>-8.2900000000000001E-2</v>
      </c>
      <c r="M313" s="20">
        <v>-5.8900000000000001E-2</v>
      </c>
      <c r="N313" s="20">
        <v>-0.29170000000000001</v>
      </c>
      <c r="O313" s="20">
        <v>2.9600000000000001E-2</v>
      </c>
      <c r="P313" s="20">
        <v>2.7900000000000001E-2</v>
      </c>
      <c r="Q313" s="20">
        <v>0.2024</v>
      </c>
      <c r="R313" s="20">
        <v>-8.3799999999999999E-2</v>
      </c>
      <c r="S313" s="20">
        <v>-0.28570000000000001</v>
      </c>
      <c r="T313" s="20">
        <v>-0.1457</v>
      </c>
      <c r="U313" s="20">
        <v>6.5299999999999997E-2</v>
      </c>
      <c r="V313" s="20">
        <v>7.22E-2</v>
      </c>
      <c r="W313" s="20">
        <v>0.31709999999999999</v>
      </c>
      <c r="X313" s="20">
        <v>4.7699999999999999E-2</v>
      </c>
      <c r="Y313" s="20">
        <v>0.22989999999999999</v>
      </c>
      <c r="Z313" s="20">
        <v>-0.49840000000000001</v>
      </c>
      <c r="AA313" s="20">
        <v>1.6299999999999999E-2</v>
      </c>
      <c r="AB313" s="20">
        <v>0.217</v>
      </c>
      <c r="AC313" s="20">
        <v>6.0999999999999999E-2</v>
      </c>
      <c r="AD313" s="20">
        <v>-0.19420000000000001</v>
      </c>
      <c r="AE313" s="20">
        <v>1.2E-2</v>
      </c>
      <c r="AF313" s="20">
        <v>0.1048</v>
      </c>
      <c r="AG313" s="20">
        <v>5.9700000000000003E-2</v>
      </c>
      <c r="AH313" s="20">
        <v>-0.13750000000000001</v>
      </c>
      <c r="AI313" s="20">
        <v>-0.12330000000000001</v>
      </c>
      <c r="AJ313" s="20">
        <v>0.1431</v>
      </c>
      <c r="AK313" s="20">
        <v>-3.6999999999999998E-2</v>
      </c>
      <c r="AL313" s="21">
        <v>0.1328</v>
      </c>
    </row>
    <row r="314" spans="1:38">
      <c r="A314" s="20">
        <v>-0.4264</v>
      </c>
      <c r="B314" s="20">
        <v>0.36009999999999998</v>
      </c>
      <c r="C314" s="20">
        <v>-4.1599999999999998E-2</v>
      </c>
      <c r="D314" s="20">
        <v>-4.7399999999999998E-2</v>
      </c>
      <c r="E314" s="20">
        <v>-0.44669999999999999</v>
      </c>
      <c r="F314" s="20">
        <v>0.2666</v>
      </c>
      <c r="G314" s="20">
        <v>0.1978</v>
      </c>
      <c r="H314" s="20">
        <v>-0.189</v>
      </c>
      <c r="I314" s="20">
        <v>-2.1499999999999998E-2</v>
      </c>
      <c r="J314" s="20">
        <v>1.95E-2</v>
      </c>
      <c r="K314" s="20">
        <v>-4.1300000000000003E-2</v>
      </c>
      <c r="L314" s="20">
        <v>5.8799999999999998E-2</v>
      </c>
      <c r="M314" s="20">
        <v>-0.1351</v>
      </c>
      <c r="N314" s="20">
        <v>0.22550000000000001</v>
      </c>
      <c r="O314" s="20">
        <v>-8.2400000000000001E-2</v>
      </c>
      <c r="P314" s="20">
        <v>-4.0399999999999998E-2</v>
      </c>
      <c r="Q314" s="20">
        <v>-7.4700000000000003E-2</v>
      </c>
      <c r="R314" s="20">
        <v>-8.6599999999999996E-2</v>
      </c>
      <c r="S314" s="20">
        <v>0.16059999999999999</v>
      </c>
      <c r="T314" s="20">
        <v>7.8899999999999998E-2</v>
      </c>
      <c r="U314" s="20">
        <v>4.2900000000000001E-2</v>
      </c>
      <c r="V314" s="20">
        <v>-0.2949</v>
      </c>
      <c r="W314" s="20">
        <v>2.5399999999999999E-2</v>
      </c>
      <c r="X314" s="20">
        <v>4.65E-2</v>
      </c>
      <c r="Y314" s="20">
        <v>-0.1062</v>
      </c>
      <c r="Z314" s="20">
        <v>8.6099999999999996E-2</v>
      </c>
      <c r="AA314" s="20">
        <v>-3.3399999999999999E-2</v>
      </c>
      <c r="AB314" s="20">
        <v>-3.2300000000000002E-2</v>
      </c>
      <c r="AC314" s="20">
        <v>-0.13150000000000001</v>
      </c>
      <c r="AD314" s="20">
        <v>8.3900000000000002E-2</v>
      </c>
      <c r="AE314" s="20">
        <v>5.5500000000000001E-2</v>
      </c>
      <c r="AF314" s="20">
        <v>4.0599999999999997E-2</v>
      </c>
      <c r="AG314" s="20">
        <v>-3.7100000000000001E-2</v>
      </c>
      <c r="AH314" s="20">
        <v>7.6600000000000001E-2</v>
      </c>
      <c r="AI314" s="20">
        <v>0.18970000000000001</v>
      </c>
      <c r="AJ314" s="20">
        <v>5.8599999999999999E-2</v>
      </c>
      <c r="AK314" s="20">
        <v>5.6300000000000003E-2</v>
      </c>
      <c r="AL314" s="21">
        <v>0.13800000000000001</v>
      </c>
    </row>
    <row r="315" spans="1:38">
      <c r="A315" s="20">
        <v>-0.30590000000000001</v>
      </c>
      <c r="B315" s="20">
        <v>0.16669999999999999</v>
      </c>
      <c r="C315" s="20">
        <v>-1.3899999999999999E-2</v>
      </c>
      <c r="D315" s="20">
        <v>0.32600000000000001</v>
      </c>
      <c r="E315" s="20">
        <v>0.27339999999999998</v>
      </c>
      <c r="F315" s="20">
        <v>-0.1772</v>
      </c>
      <c r="G315" s="20">
        <v>6.3100000000000003E-2</v>
      </c>
      <c r="H315" s="20">
        <v>-0.27260000000000001</v>
      </c>
      <c r="I315" s="20">
        <v>-5.1000000000000004E-3</v>
      </c>
      <c r="J315" s="20">
        <v>0.1091</v>
      </c>
      <c r="K315" s="20">
        <v>0.1275</v>
      </c>
      <c r="L315" s="20">
        <v>0.38059999999999999</v>
      </c>
      <c r="M315" s="20">
        <v>6.8999999999999999E-3</v>
      </c>
      <c r="N315" s="20">
        <v>8.1500000000000003E-2</v>
      </c>
      <c r="O315" s="20">
        <v>-0.17199999999999999</v>
      </c>
      <c r="P315" s="20">
        <v>-0.21759999999999999</v>
      </c>
      <c r="Q315" s="20">
        <v>4.2299999999999997E-2</v>
      </c>
      <c r="R315" s="20">
        <v>-1.2699999999999999E-2</v>
      </c>
      <c r="S315" s="20">
        <v>-0.19989999999999999</v>
      </c>
      <c r="T315" s="20">
        <v>-0.23300000000000001</v>
      </c>
      <c r="U315" s="20">
        <v>-0.14630000000000001</v>
      </c>
      <c r="V315" s="20">
        <v>-9.7999999999999997E-3</v>
      </c>
      <c r="W315" s="20">
        <v>0.25040000000000001</v>
      </c>
      <c r="X315" s="20">
        <v>5.5100000000000003E-2</v>
      </c>
      <c r="Y315" s="20">
        <v>5.0900000000000001E-2</v>
      </c>
      <c r="Z315" s="20">
        <v>0.221</v>
      </c>
      <c r="AA315" s="20">
        <v>-6.6E-3</v>
      </c>
      <c r="AB315" s="20">
        <v>-0.16619999999999999</v>
      </c>
      <c r="AC315" s="20">
        <v>7.3899999999999993E-2</v>
      </c>
      <c r="AD315" s="20">
        <v>-8.0999999999999996E-3</v>
      </c>
      <c r="AE315" s="20">
        <v>-8.5400000000000004E-2</v>
      </c>
      <c r="AF315" s="20">
        <v>7.22E-2</v>
      </c>
      <c r="AG315" s="20">
        <v>6.6299999999999998E-2</v>
      </c>
      <c r="AH315" s="20">
        <v>-5.0700000000000002E-2</v>
      </c>
      <c r="AI315" s="20">
        <v>-1.1999999999999999E-3</v>
      </c>
      <c r="AJ315" s="20">
        <v>-0.14119999999999999</v>
      </c>
      <c r="AK315" s="20">
        <v>1.0999999999999999E-2</v>
      </c>
      <c r="AL315" s="21">
        <v>-0.15340000000000001</v>
      </c>
    </row>
    <row r="316" spans="1:38">
      <c r="A316" s="20">
        <v>0.10979999999999999</v>
      </c>
      <c r="B316" s="20">
        <v>-0.12970000000000001</v>
      </c>
      <c r="C316" s="20">
        <v>0.40189999999999998</v>
      </c>
      <c r="D316" s="20">
        <v>0.20480000000000001</v>
      </c>
      <c r="E316" s="20">
        <v>-0.2087</v>
      </c>
      <c r="F316" s="20">
        <v>-0.20580000000000001</v>
      </c>
      <c r="G316" s="20">
        <v>0.1182</v>
      </c>
      <c r="H316" s="20">
        <v>0.2757</v>
      </c>
      <c r="I316" s="20">
        <v>-0.13539999999999999</v>
      </c>
      <c r="J316" s="20">
        <v>5.0099999999999999E-2</v>
      </c>
      <c r="K316" s="20">
        <v>2.5000000000000001E-2</v>
      </c>
      <c r="L316" s="20">
        <v>0.1313</v>
      </c>
      <c r="M316" s="20">
        <v>-0.1734</v>
      </c>
      <c r="N316" s="20">
        <v>0.13339999999999999</v>
      </c>
      <c r="O316" s="20">
        <v>6.4600000000000005E-2</v>
      </c>
      <c r="P316" s="20">
        <v>-0.21279999999999999</v>
      </c>
      <c r="Q316" s="20">
        <v>0.19120000000000001</v>
      </c>
      <c r="R316" s="20">
        <v>8.2100000000000006E-2</v>
      </c>
      <c r="S316" s="20">
        <v>-2.8500000000000001E-2</v>
      </c>
      <c r="T316" s="20">
        <v>0.18010000000000001</v>
      </c>
      <c r="U316" s="20">
        <v>-2.81E-2</v>
      </c>
      <c r="V316" s="20">
        <v>-0.13950000000000001</v>
      </c>
      <c r="W316" s="20">
        <v>-0.1943</v>
      </c>
      <c r="X316" s="20">
        <v>-0.28170000000000001</v>
      </c>
      <c r="Y316" s="20">
        <v>-1.83E-2</v>
      </c>
      <c r="Z316" s="20">
        <v>8.0000000000000004E-4</v>
      </c>
      <c r="AA316" s="20">
        <v>-0.19139999999999999</v>
      </c>
      <c r="AB316" s="20">
        <v>-0.1217</v>
      </c>
      <c r="AC316" s="20">
        <v>0.223</v>
      </c>
      <c r="AD316" s="20">
        <v>-5.79E-2</v>
      </c>
      <c r="AE316" s="20">
        <v>1.35E-2</v>
      </c>
      <c r="AF316" s="20">
        <v>2.3199999999999998E-2</v>
      </c>
      <c r="AG316" s="20">
        <v>7.0599999999999996E-2</v>
      </c>
      <c r="AH316" s="20">
        <v>-0.18240000000000001</v>
      </c>
      <c r="AI316" s="20">
        <v>-2.5000000000000001E-2</v>
      </c>
      <c r="AJ316" s="20">
        <v>0.21560000000000001</v>
      </c>
      <c r="AK316" s="20">
        <v>4.1399999999999999E-2</v>
      </c>
      <c r="AL316" s="21">
        <v>-0.2218</v>
      </c>
    </row>
    <row r="317" spans="1:38">
      <c r="A317" s="20">
        <v>0.34639999999999999</v>
      </c>
      <c r="B317" s="20">
        <v>2.7699999999999999E-2</v>
      </c>
      <c r="C317" s="20">
        <v>0.18579999999999999</v>
      </c>
      <c r="D317" s="20">
        <v>0.14399999999999999</v>
      </c>
      <c r="E317" s="20">
        <v>8.3999999999999995E-3</v>
      </c>
      <c r="F317" s="20">
        <v>0.12659999999999999</v>
      </c>
      <c r="G317" s="20">
        <v>-0.20899999999999999</v>
      </c>
      <c r="H317" s="20">
        <v>-0.31240000000000001</v>
      </c>
      <c r="I317" s="20">
        <v>-9.1999999999999998E-2</v>
      </c>
      <c r="J317" s="20">
        <v>0.15090000000000001</v>
      </c>
      <c r="K317" s="20">
        <v>-0.16300000000000001</v>
      </c>
      <c r="L317" s="20">
        <v>0.2198</v>
      </c>
      <c r="M317" s="20">
        <v>-9.11E-2</v>
      </c>
      <c r="N317" s="20">
        <v>0.1356</v>
      </c>
      <c r="O317" s="20">
        <v>-6.8999999999999999E-3</v>
      </c>
      <c r="P317" s="20">
        <v>-4.0599999999999997E-2</v>
      </c>
      <c r="Q317" s="20">
        <v>-0.114</v>
      </c>
      <c r="R317" s="20">
        <v>-0.27300000000000002</v>
      </c>
      <c r="S317" s="20">
        <v>2.7099999999999999E-2</v>
      </c>
      <c r="T317" s="20">
        <v>-7.8799999999999995E-2</v>
      </c>
      <c r="U317" s="20">
        <v>-3.6400000000000002E-2</v>
      </c>
      <c r="V317" s="20">
        <v>2.6200000000000001E-2</v>
      </c>
      <c r="W317" s="20">
        <v>-1.2E-2</v>
      </c>
      <c r="X317" s="20">
        <v>-5.4100000000000002E-2</v>
      </c>
      <c r="Y317" s="20">
        <v>0.1206</v>
      </c>
      <c r="Z317" s="20">
        <v>7.22E-2</v>
      </c>
      <c r="AA317" s="20">
        <v>-0.23630000000000001</v>
      </c>
      <c r="AB317" s="20">
        <v>0.16719999999999999</v>
      </c>
      <c r="AC317" s="20">
        <v>0.1918</v>
      </c>
      <c r="AD317" s="20">
        <v>-0.18279999999999999</v>
      </c>
      <c r="AE317" s="20">
        <v>7.6100000000000001E-2</v>
      </c>
      <c r="AF317" s="20">
        <v>0.20899999999999999</v>
      </c>
      <c r="AG317" s="20">
        <v>2.3199999999999998E-2</v>
      </c>
      <c r="AH317" s="20">
        <v>1.6799999999999999E-2</v>
      </c>
      <c r="AI317" s="20">
        <v>0.15640000000000001</v>
      </c>
      <c r="AJ317" s="20">
        <v>6.13E-2</v>
      </c>
      <c r="AK317" s="20">
        <v>-0.22040000000000001</v>
      </c>
      <c r="AL317" s="21">
        <v>-0.3629</v>
      </c>
    </row>
    <row r="318" spans="1:38">
      <c r="A318" s="20">
        <v>-1.7600000000000001E-2</v>
      </c>
      <c r="B318" s="20">
        <v>0.35349999999999998</v>
      </c>
      <c r="C318" s="20">
        <v>-5.8299999999999998E-2</v>
      </c>
      <c r="D318" s="20">
        <v>-0.10440000000000001</v>
      </c>
      <c r="E318" s="20">
        <v>-0.29759999999999998</v>
      </c>
      <c r="F318" s="20">
        <v>8.3400000000000002E-2</v>
      </c>
      <c r="G318" s="20">
        <v>0.14940000000000001</v>
      </c>
      <c r="H318" s="20">
        <v>-1.0800000000000001E-2</v>
      </c>
      <c r="I318" s="20">
        <v>0.15049999999999999</v>
      </c>
      <c r="J318" s="20">
        <v>-0.12039999999999999</v>
      </c>
      <c r="K318" s="20">
        <v>-0.05</v>
      </c>
      <c r="L318" s="20">
        <v>4.1399999999999999E-2</v>
      </c>
      <c r="M318" s="20">
        <v>-0.14249999999999999</v>
      </c>
      <c r="N318" s="20">
        <v>-0.3468</v>
      </c>
      <c r="O318" s="20">
        <v>0.1401</v>
      </c>
      <c r="P318" s="20">
        <v>-0.19520000000000001</v>
      </c>
      <c r="Q318" s="20">
        <v>-3.5900000000000001E-2</v>
      </c>
      <c r="R318" s="20">
        <v>-9.0700000000000003E-2</v>
      </c>
      <c r="S318" s="20">
        <v>9.2899999999999996E-2</v>
      </c>
      <c r="T318" s="20">
        <v>-0.1012</v>
      </c>
      <c r="U318" s="20">
        <v>0.22389999999999999</v>
      </c>
      <c r="V318" s="20">
        <v>6.5000000000000002E-2</v>
      </c>
      <c r="W318" s="20">
        <v>-0.24410000000000001</v>
      </c>
      <c r="X318" s="20">
        <v>0.1168</v>
      </c>
      <c r="Y318" s="20">
        <v>0.2014</v>
      </c>
      <c r="Z318" s="20">
        <v>0.34399999999999997</v>
      </c>
      <c r="AA318" s="20">
        <v>0.27229999999999999</v>
      </c>
      <c r="AB318" s="20">
        <v>9.6799999999999997E-2</v>
      </c>
      <c r="AC318" s="20">
        <v>-0.1739</v>
      </c>
      <c r="AD318" s="20">
        <v>-1.1900000000000001E-2</v>
      </c>
      <c r="AE318" s="20">
        <v>-4.7699999999999999E-2</v>
      </c>
      <c r="AF318" s="20">
        <v>4.1000000000000003E-3</v>
      </c>
      <c r="AG318" s="20">
        <v>-0.1414</v>
      </c>
      <c r="AH318" s="20">
        <v>-8.2100000000000006E-2</v>
      </c>
      <c r="AI318" s="20">
        <v>-8.5099999999999995E-2</v>
      </c>
      <c r="AJ318" s="20">
        <v>-6.13E-2</v>
      </c>
      <c r="AK318" s="20">
        <v>0.1638</v>
      </c>
      <c r="AL318" s="21">
        <v>-8.4500000000000006E-2</v>
      </c>
    </row>
    <row r="319" spans="1:38">
      <c r="A319" s="20">
        <v>5.28E-2</v>
      </c>
      <c r="B319" s="20">
        <v>-0.2646</v>
      </c>
      <c r="C319" s="20">
        <v>9.8299999999999998E-2</v>
      </c>
      <c r="D319" s="20">
        <v>2.2200000000000001E-2</v>
      </c>
      <c r="E319" s="20">
        <v>-0.17180000000000001</v>
      </c>
      <c r="F319" s="20">
        <v>-7.6799999999999993E-2</v>
      </c>
      <c r="G319" s="20">
        <v>-0.182</v>
      </c>
      <c r="H319" s="20">
        <v>-0.34179999999999999</v>
      </c>
      <c r="I319" s="20">
        <v>8.4099999999999994E-2</v>
      </c>
      <c r="J319" s="20">
        <v>0.1037</v>
      </c>
      <c r="K319" s="20">
        <v>7.2800000000000004E-2</v>
      </c>
      <c r="L319" s="20">
        <v>0.1245</v>
      </c>
      <c r="M319" s="20">
        <v>3.39E-2</v>
      </c>
      <c r="N319" s="20">
        <v>-0.17660000000000001</v>
      </c>
      <c r="O319" s="20">
        <v>0.1867</v>
      </c>
      <c r="P319" s="20">
        <v>-4.5900000000000003E-2</v>
      </c>
      <c r="Q319" s="20">
        <v>-0.13070000000000001</v>
      </c>
      <c r="R319" s="20">
        <v>0.1205</v>
      </c>
      <c r="S319" s="20">
        <v>-8.2299999999999998E-2</v>
      </c>
      <c r="T319" s="20">
        <v>8.3000000000000004E-2</v>
      </c>
      <c r="U319" s="20">
        <v>6.2600000000000003E-2</v>
      </c>
      <c r="V319" s="20">
        <v>4.3299999999999998E-2</v>
      </c>
      <c r="W319" s="20">
        <v>3.2000000000000001E-2</v>
      </c>
      <c r="X319" s="20">
        <v>-8.2600000000000007E-2</v>
      </c>
      <c r="Y319" s="20">
        <v>0.30690000000000001</v>
      </c>
      <c r="Z319" s="20">
        <v>-0.25009999999999999</v>
      </c>
      <c r="AA319" s="20">
        <v>5.7500000000000002E-2</v>
      </c>
      <c r="AB319" s="20">
        <v>-4.5499999999999999E-2</v>
      </c>
      <c r="AC319" s="20">
        <v>-6.4799999999999996E-2</v>
      </c>
      <c r="AD319" s="20">
        <v>-0.27010000000000001</v>
      </c>
      <c r="AE319" s="20">
        <v>0.16089999999999999</v>
      </c>
      <c r="AF319" s="20">
        <v>0.28760000000000002</v>
      </c>
      <c r="AG319" s="20">
        <v>0.1154</v>
      </c>
      <c r="AH319" s="20">
        <v>-0.12189999999999999</v>
      </c>
      <c r="AI319" s="20">
        <v>-0.27410000000000001</v>
      </c>
      <c r="AJ319" s="20">
        <v>7.4999999999999997E-2</v>
      </c>
      <c r="AK319" s="20">
        <v>0.1598</v>
      </c>
      <c r="AL319" s="21">
        <v>0.28720000000000001</v>
      </c>
    </row>
    <row r="320" spans="1:38">
      <c r="A320" s="20">
        <v>0.36349999999999999</v>
      </c>
      <c r="B320" s="20">
        <v>0.223</v>
      </c>
      <c r="C320" s="20">
        <v>-0.1804</v>
      </c>
      <c r="D320" s="20">
        <v>-0.35560000000000003</v>
      </c>
      <c r="E320" s="20">
        <v>0.24529999999999999</v>
      </c>
      <c r="F320" s="20">
        <v>-6.6699999999999995E-2</v>
      </c>
      <c r="G320" s="20">
        <v>0.1356</v>
      </c>
      <c r="H320" s="20">
        <v>-0.1076</v>
      </c>
      <c r="I320" s="20">
        <v>0.21249999999999999</v>
      </c>
      <c r="J320" s="20">
        <v>0.159</v>
      </c>
      <c r="K320" s="20">
        <v>5.6000000000000001E-2</v>
      </c>
      <c r="L320" s="20">
        <v>2.7300000000000001E-2</v>
      </c>
      <c r="M320" s="20">
        <v>8.8499999999999995E-2</v>
      </c>
      <c r="N320" s="20">
        <v>0.16020000000000001</v>
      </c>
      <c r="O320" s="20">
        <v>0.32129999999999997</v>
      </c>
      <c r="P320" s="20">
        <v>-7.5300000000000006E-2</v>
      </c>
      <c r="Q320" s="20">
        <v>3.1E-2</v>
      </c>
      <c r="R320" s="20">
        <v>-2.5000000000000001E-3</v>
      </c>
      <c r="S320" s="20">
        <v>-8.72E-2</v>
      </c>
      <c r="T320" s="20">
        <v>-0.1779</v>
      </c>
      <c r="U320" s="20">
        <v>-1.9099999999999999E-2</v>
      </c>
      <c r="V320" s="20">
        <v>-0.23680000000000001</v>
      </c>
      <c r="W320" s="20">
        <v>8.0000000000000002E-3</v>
      </c>
      <c r="X320" s="20">
        <v>3.5999999999999999E-3</v>
      </c>
      <c r="Y320" s="20">
        <v>-0.1226</v>
      </c>
      <c r="Z320" s="20">
        <v>0.15859999999999999</v>
      </c>
      <c r="AA320" s="20">
        <v>0.1012</v>
      </c>
      <c r="AB320" s="20">
        <v>-0.15559999999999999</v>
      </c>
      <c r="AC320" s="20">
        <v>-5.16E-2</v>
      </c>
      <c r="AD320" s="20">
        <v>-1.14E-2</v>
      </c>
      <c r="AE320" s="20">
        <v>1.5699999999999999E-2</v>
      </c>
      <c r="AF320" s="20">
        <v>-0.1197</v>
      </c>
      <c r="AG320" s="20">
        <v>-0.20960000000000001</v>
      </c>
      <c r="AH320" s="20">
        <v>3.0499999999999999E-2</v>
      </c>
      <c r="AI320" s="20">
        <v>-8.2400000000000001E-2</v>
      </c>
      <c r="AJ320" s="20">
        <v>-0.1923</v>
      </c>
      <c r="AK320" s="20">
        <v>0.14099999999999999</v>
      </c>
      <c r="AL320" s="21">
        <v>-0.2248</v>
      </c>
    </row>
    <row r="321" spans="1:38">
      <c r="A321" s="20">
        <v>0.14729999999999999</v>
      </c>
      <c r="B321" s="20">
        <v>1.1999999999999999E-3</v>
      </c>
      <c r="C321" s="20">
        <v>0.37069999999999997</v>
      </c>
      <c r="D321" s="20">
        <v>-2.1499999999999998E-2</v>
      </c>
      <c r="E321" s="20">
        <v>-3.7699999999999997E-2</v>
      </c>
      <c r="F321" s="20">
        <v>0.1515</v>
      </c>
      <c r="G321" s="20">
        <v>-1.8200000000000001E-2</v>
      </c>
      <c r="H321" s="20">
        <v>0.2104</v>
      </c>
      <c r="I321" s="20">
        <v>-0.2122</v>
      </c>
      <c r="J321" s="20">
        <v>-4.5900000000000003E-2</v>
      </c>
      <c r="K321" s="20">
        <v>-2.7199999999999998E-2</v>
      </c>
      <c r="L321" s="20">
        <v>9.2600000000000002E-2</v>
      </c>
      <c r="M321" s="20">
        <v>-5.8200000000000002E-2</v>
      </c>
      <c r="N321" s="20">
        <v>-0.2334</v>
      </c>
      <c r="O321" s="20">
        <v>0.17499999999999999</v>
      </c>
      <c r="P321" s="20">
        <v>-0.10730000000000001</v>
      </c>
      <c r="Q321" s="20">
        <v>-0.25059999999999999</v>
      </c>
      <c r="R321" s="20">
        <v>2.35E-2</v>
      </c>
      <c r="S321" s="20">
        <v>-3.5700000000000003E-2</v>
      </c>
      <c r="T321" s="20">
        <v>0.24840000000000001</v>
      </c>
      <c r="U321" s="20">
        <v>8.6599999999999996E-2</v>
      </c>
      <c r="V321" s="20">
        <v>-7.9399999999999998E-2</v>
      </c>
      <c r="W321" s="20">
        <v>4.2900000000000001E-2</v>
      </c>
      <c r="X321" s="20">
        <v>-3.3700000000000001E-2</v>
      </c>
      <c r="Y321" s="20">
        <v>0.12759999999999999</v>
      </c>
      <c r="Z321" s="20">
        <v>3.5000000000000001E-3</v>
      </c>
      <c r="AA321" s="20">
        <v>0.1183</v>
      </c>
      <c r="AB321" s="20">
        <v>0.1842</v>
      </c>
      <c r="AC321" s="20">
        <v>-0.12280000000000001</v>
      </c>
      <c r="AD321" s="20">
        <v>-0.20319999999999999</v>
      </c>
      <c r="AE321" s="20">
        <v>0.3337</v>
      </c>
      <c r="AF321" s="20">
        <v>-0.22589999999999999</v>
      </c>
      <c r="AG321" s="20">
        <v>-0.10580000000000001</v>
      </c>
      <c r="AH321" s="20">
        <v>-0.16470000000000001</v>
      </c>
      <c r="AI321" s="20">
        <v>2.5000000000000001E-2</v>
      </c>
      <c r="AJ321" s="20">
        <v>-0.28029999999999999</v>
      </c>
      <c r="AK321" s="20">
        <v>0.14879999999999999</v>
      </c>
      <c r="AL321" s="21">
        <v>-0.22189999999999999</v>
      </c>
    </row>
    <row r="322" spans="1:38">
      <c r="A322" s="20">
        <v>5.6099999999999997E-2</v>
      </c>
      <c r="B322" s="20">
        <v>0.18</v>
      </c>
      <c r="C322" s="20">
        <v>0.2465</v>
      </c>
      <c r="D322" s="20">
        <v>-0.1464</v>
      </c>
      <c r="E322" s="20">
        <v>-0.1469</v>
      </c>
      <c r="F322" s="20">
        <v>0.53490000000000004</v>
      </c>
      <c r="G322" s="20">
        <v>-6.7500000000000004E-2</v>
      </c>
      <c r="H322" s="20">
        <v>-5.0000000000000001E-4</v>
      </c>
      <c r="I322" s="20">
        <v>-0.49220000000000003</v>
      </c>
      <c r="J322" s="20">
        <v>0.12230000000000001</v>
      </c>
      <c r="K322" s="20">
        <v>0.32540000000000002</v>
      </c>
      <c r="L322" s="20">
        <v>-0.16819999999999999</v>
      </c>
      <c r="M322" s="20">
        <v>-6.9900000000000004E-2</v>
      </c>
      <c r="N322" s="20">
        <v>-5.7500000000000002E-2</v>
      </c>
      <c r="O322" s="20">
        <v>-2.75E-2</v>
      </c>
      <c r="P322" s="20">
        <v>-4.9299999999999997E-2</v>
      </c>
      <c r="Q322" s="20">
        <v>-0.1018</v>
      </c>
      <c r="R322" s="20">
        <v>0.1444</v>
      </c>
      <c r="S322" s="20">
        <v>-0.224</v>
      </c>
      <c r="T322" s="20">
        <v>9.6699999999999994E-2</v>
      </c>
      <c r="U322" s="20">
        <v>-9.2499999999999999E-2</v>
      </c>
      <c r="V322" s="20">
        <v>0.1195</v>
      </c>
      <c r="W322" s="20">
        <v>-1.78E-2</v>
      </c>
      <c r="X322" s="20">
        <v>7.3400000000000007E-2</v>
      </c>
      <c r="Y322" s="20">
        <v>-0.1111</v>
      </c>
      <c r="Z322" s="20">
        <v>-2.12E-2</v>
      </c>
      <c r="AA322" s="20">
        <v>2.7099999999999999E-2</v>
      </c>
      <c r="AB322" s="20">
        <v>0.1389</v>
      </c>
      <c r="AC322" s="20">
        <v>1.95E-2</v>
      </c>
      <c r="AD322" s="20">
        <v>1.44E-2</v>
      </c>
      <c r="AE322" s="20">
        <v>-2.5000000000000001E-3</v>
      </c>
      <c r="AF322" s="20">
        <v>-2.8000000000000001E-2</v>
      </c>
      <c r="AG322" s="20">
        <v>-4.8399999999999999E-2</v>
      </c>
      <c r="AH322" s="20">
        <v>-1.9E-2</v>
      </c>
      <c r="AI322" s="20">
        <v>-4.9399999999999999E-2</v>
      </c>
      <c r="AJ322" s="20">
        <v>-4.6899999999999997E-2</v>
      </c>
      <c r="AK322" s="20">
        <v>-6.9599999999999995E-2</v>
      </c>
      <c r="AL322" s="21">
        <v>-3.95E-2</v>
      </c>
    </row>
    <row r="323" spans="1:38">
      <c r="A323" s="20">
        <v>-8.7300000000000003E-2</v>
      </c>
      <c r="B323" s="20">
        <v>-0.49230000000000002</v>
      </c>
      <c r="C323" s="20">
        <v>-0.222</v>
      </c>
      <c r="D323" s="20">
        <v>0.16389999999999999</v>
      </c>
      <c r="E323" s="20">
        <v>5.0299999999999997E-2</v>
      </c>
      <c r="F323" s="20">
        <v>4.48E-2</v>
      </c>
      <c r="G323" s="20">
        <v>1.6899999999999998E-2</v>
      </c>
      <c r="H323" s="20">
        <v>0.11459999999999999</v>
      </c>
      <c r="I323" s="20">
        <v>-0.1152</v>
      </c>
      <c r="J323" s="20">
        <v>0.28199999999999997</v>
      </c>
      <c r="K323" s="20">
        <v>-1.95E-2</v>
      </c>
      <c r="L323" s="20">
        <v>-9.8299999999999998E-2</v>
      </c>
      <c r="M323" s="20">
        <v>-6.2300000000000001E-2</v>
      </c>
      <c r="N323" s="20">
        <v>0.19600000000000001</v>
      </c>
      <c r="O323" s="20">
        <v>-0.18820000000000001</v>
      </c>
      <c r="P323" s="20">
        <v>0.1938</v>
      </c>
      <c r="Q323" s="20">
        <v>2.86E-2</v>
      </c>
      <c r="R323" s="20">
        <v>0.3453</v>
      </c>
      <c r="S323" s="20">
        <v>7.9500000000000001E-2</v>
      </c>
      <c r="T323" s="20">
        <v>6.8500000000000005E-2</v>
      </c>
      <c r="U323" s="20">
        <v>2.92E-2</v>
      </c>
      <c r="V323" s="20">
        <v>-0.15090000000000001</v>
      </c>
      <c r="W323" s="20">
        <v>0.159</v>
      </c>
      <c r="X323" s="20">
        <v>-8.3999999999999995E-3</v>
      </c>
      <c r="Y323" s="20">
        <v>5.16E-2</v>
      </c>
      <c r="Z323" s="20">
        <v>-1E-3</v>
      </c>
      <c r="AA323" s="20">
        <v>-0.18240000000000001</v>
      </c>
      <c r="AB323" s="20">
        <v>-5.0599999999999999E-2</v>
      </c>
      <c r="AC323" s="20">
        <v>-8.5400000000000004E-2</v>
      </c>
      <c r="AD323" s="20">
        <v>-0.18079999999999999</v>
      </c>
      <c r="AE323" s="20">
        <v>3.1800000000000002E-2</v>
      </c>
      <c r="AF323" s="20">
        <v>2.8899999999999999E-2</v>
      </c>
      <c r="AG323" s="20">
        <v>0.1701</v>
      </c>
      <c r="AH323" s="20">
        <v>0.26319999999999999</v>
      </c>
      <c r="AI323" s="20">
        <v>-6.2E-2</v>
      </c>
      <c r="AJ323" s="20">
        <v>-0.1895</v>
      </c>
      <c r="AK323" s="20">
        <v>5.8700000000000002E-2</v>
      </c>
      <c r="AL323" s="21">
        <v>-0.1895</v>
      </c>
    </row>
    <row r="324" spans="1:38">
      <c r="A324" s="20">
        <v>0.2838</v>
      </c>
      <c r="B324" s="20">
        <v>-4.07E-2</v>
      </c>
      <c r="C324" s="20">
        <v>8.0199999999999994E-2</v>
      </c>
      <c r="D324" s="20">
        <v>6.6799999999999998E-2</v>
      </c>
      <c r="E324" s="20">
        <v>3.7000000000000002E-3</v>
      </c>
      <c r="F324" s="20">
        <v>0.20130000000000001</v>
      </c>
      <c r="G324" s="20">
        <v>-5.3E-3</v>
      </c>
      <c r="H324" s="20">
        <v>0.1145</v>
      </c>
      <c r="I324" s="20">
        <v>7.4499999999999997E-2</v>
      </c>
      <c r="J324" s="20">
        <v>0.21340000000000001</v>
      </c>
      <c r="K324" s="20">
        <v>1.9099999999999999E-2</v>
      </c>
      <c r="L324" s="20">
        <v>-0.2387</v>
      </c>
      <c r="M324" s="20">
        <v>0.35339999999999999</v>
      </c>
      <c r="N324" s="20">
        <v>-4.8399999999999999E-2</v>
      </c>
      <c r="O324" s="20">
        <v>-0.46510000000000001</v>
      </c>
      <c r="P324" s="20">
        <v>-4.9000000000000002E-2</v>
      </c>
      <c r="Q324" s="20">
        <v>6.5100000000000005E-2</v>
      </c>
      <c r="R324" s="20">
        <v>-0.16900000000000001</v>
      </c>
      <c r="S324" s="20">
        <v>3.4500000000000003E-2</v>
      </c>
      <c r="T324" s="20">
        <v>-0.25669999999999998</v>
      </c>
      <c r="U324" s="20">
        <v>0.1037</v>
      </c>
      <c r="V324" s="20">
        <v>5.1900000000000002E-2</v>
      </c>
      <c r="W324" s="20">
        <v>-6.6799999999999998E-2</v>
      </c>
      <c r="X324" s="20">
        <v>0.13739999999999999</v>
      </c>
      <c r="Y324" s="20">
        <v>-5.6500000000000002E-2</v>
      </c>
      <c r="Z324" s="20">
        <v>5.7599999999999998E-2</v>
      </c>
      <c r="AA324" s="20">
        <v>0.13300000000000001</v>
      </c>
      <c r="AB324" s="20">
        <v>0.14000000000000001</v>
      </c>
      <c r="AC324" s="20">
        <v>-8.0399999999999999E-2</v>
      </c>
      <c r="AD324" s="20">
        <v>3.78E-2</v>
      </c>
      <c r="AE324" s="20">
        <v>-8.48E-2</v>
      </c>
      <c r="AF324" s="20">
        <v>8.6E-3</v>
      </c>
      <c r="AG324" s="20">
        <v>-6.9000000000000006E-2</v>
      </c>
      <c r="AH324" s="20">
        <v>-0.15229999999999999</v>
      </c>
      <c r="AI324" s="20">
        <v>-0.2427</v>
      </c>
      <c r="AJ324" s="20">
        <v>-0.2213</v>
      </c>
      <c r="AK324" s="20">
        <v>-0.151</v>
      </c>
      <c r="AL324" s="21">
        <v>0.21099999999999999</v>
      </c>
    </row>
    <row r="325" spans="1:38">
      <c r="A325" s="20">
        <v>-0.34410000000000002</v>
      </c>
      <c r="B325" s="20">
        <v>0.1827</v>
      </c>
      <c r="C325" s="20">
        <v>-0.43509999999999999</v>
      </c>
      <c r="D325" s="20">
        <v>9.6299999999999997E-2</v>
      </c>
      <c r="E325" s="20">
        <v>3.8399999999999997E-2</v>
      </c>
      <c r="F325" s="20">
        <v>0.2286</v>
      </c>
      <c r="G325" s="20">
        <v>-2.7E-2</v>
      </c>
      <c r="H325" s="20">
        <v>5.7200000000000001E-2</v>
      </c>
      <c r="I325" s="20">
        <v>-0.1303</v>
      </c>
      <c r="J325" s="20">
        <v>-3.8199999999999998E-2</v>
      </c>
      <c r="K325" s="20">
        <v>-0.19070000000000001</v>
      </c>
      <c r="L325" s="20">
        <v>0.2094</v>
      </c>
      <c r="M325" s="20">
        <v>-3.4000000000000002E-2</v>
      </c>
      <c r="N325" s="20">
        <v>0.11550000000000001</v>
      </c>
      <c r="O325" s="20">
        <v>-4.24E-2</v>
      </c>
      <c r="P325" s="20">
        <v>0.10050000000000001</v>
      </c>
      <c r="Q325" s="20">
        <v>-3.7999999999999999E-2</v>
      </c>
      <c r="R325" s="20">
        <v>3.6200000000000003E-2</v>
      </c>
      <c r="S325" s="20">
        <v>0.31480000000000002</v>
      </c>
      <c r="T325" s="20">
        <v>-0.11550000000000001</v>
      </c>
      <c r="U325" s="20">
        <v>7.6100000000000001E-2</v>
      </c>
      <c r="V325" s="20">
        <v>-8.3299999999999999E-2</v>
      </c>
      <c r="W325" s="20">
        <v>1.1599999999999999E-2</v>
      </c>
      <c r="X325" s="20">
        <v>-8.2900000000000001E-2</v>
      </c>
      <c r="Y325" s="20">
        <v>1.6400000000000001E-2</v>
      </c>
      <c r="Z325" s="20">
        <v>-4.7E-2</v>
      </c>
      <c r="AA325" s="20">
        <v>9.7999999999999997E-3</v>
      </c>
      <c r="AB325" s="20">
        <v>4.58E-2</v>
      </c>
      <c r="AC325" s="20">
        <v>-3.56E-2</v>
      </c>
      <c r="AD325" s="20">
        <v>0.1235</v>
      </c>
      <c r="AE325" s="20">
        <v>-7.7999999999999996E-3</v>
      </c>
      <c r="AF325" s="20">
        <v>-0.23599999999999999</v>
      </c>
      <c r="AG325" s="20">
        <v>-0.25180000000000002</v>
      </c>
      <c r="AH325" s="20">
        <v>0.245</v>
      </c>
      <c r="AI325" s="20">
        <v>2.76E-2</v>
      </c>
      <c r="AJ325" s="20">
        <v>0.17929999999999999</v>
      </c>
      <c r="AK325" s="20">
        <v>-0.21279999999999999</v>
      </c>
      <c r="AL325" s="21">
        <v>0.23080000000000001</v>
      </c>
    </row>
    <row r="326" spans="1:38">
      <c r="A326" s="20">
        <v>0.2747</v>
      </c>
      <c r="B326" s="20">
        <v>-0.318</v>
      </c>
      <c r="C326" s="20">
        <v>-9.6600000000000005E-2</v>
      </c>
      <c r="D326" s="20">
        <v>2.5899999999999999E-2</v>
      </c>
      <c r="E326" s="20">
        <v>-9.3899999999999997E-2</v>
      </c>
      <c r="F326" s="20">
        <v>-0.25650000000000001</v>
      </c>
      <c r="G326" s="20">
        <v>-0.1157</v>
      </c>
      <c r="H326" s="20">
        <v>0.1832</v>
      </c>
      <c r="I326" s="20">
        <v>-9.1000000000000004E-3</v>
      </c>
      <c r="J326" s="20">
        <v>0.32600000000000001</v>
      </c>
      <c r="K326" s="20">
        <v>-6.7400000000000002E-2</v>
      </c>
      <c r="L326" s="20">
        <v>9.98E-2</v>
      </c>
      <c r="M326" s="20">
        <v>0.28120000000000001</v>
      </c>
      <c r="N326" s="20">
        <v>-0.21909999999999999</v>
      </c>
      <c r="O326" s="20">
        <v>-6.9500000000000006E-2</v>
      </c>
      <c r="P326" s="20">
        <v>0.19409999999999999</v>
      </c>
      <c r="Q326" s="20">
        <v>-0.20910000000000001</v>
      </c>
      <c r="R326" s="20">
        <v>6.4500000000000002E-2</v>
      </c>
      <c r="S326" s="20">
        <v>6.1999999999999998E-3</v>
      </c>
      <c r="T326" s="20">
        <v>2.7000000000000001E-3</v>
      </c>
      <c r="U326" s="20">
        <v>-2.0899999999999998E-2</v>
      </c>
      <c r="V326" s="20">
        <v>0.10390000000000001</v>
      </c>
      <c r="W326" s="20">
        <v>-0.27860000000000001</v>
      </c>
      <c r="X326" s="20">
        <v>-7.5399999999999995E-2</v>
      </c>
      <c r="Y326" s="20">
        <v>-5.33E-2</v>
      </c>
      <c r="Z326" s="20">
        <v>3.0599999999999999E-2</v>
      </c>
      <c r="AA326" s="20">
        <v>1.24E-2</v>
      </c>
      <c r="AB326" s="20">
        <v>-0.17580000000000001</v>
      </c>
      <c r="AC326" s="20">
        <v>-1.5299999999999999E-2</v>
      </c>
      <c r="AD326" s="20">
        <v>0.4476</v>
      </c>
      <c r="AE326" s="20">
        <v>1.77E-2</v>
      </c>
      <c r="AF326" s="20">
        <v>3.1199999999999999E-2</v>
      </c>
      <c r="AG326" s="20">
        <v>-9.3100000000000002E-2</v>
      </c>
      <c r="AH326" s="20">
        <v>8.4199999999999997E-2</v>
      </c>
      <c r="AI326" s="20">
        <v>-7.1000000000000004E-3</v>
      </c>
      <c r="AJ326" s="20">
        <v>2.3300000000000001E-2</v>
      </c>
      <c r="AK326" s="20">
        <v>2.8000000000000001E-2</v>
      </c>
      <c r="AL326" s="21">
        <v>-7.1599999999999997E-2</v>
      </c>
    </row>
    <row r="327" spans="1:38">
      <c r="A327" s="20">
        <v>0.35980000000000001</v>
      </c>
      <c r="B327" s="20">
        <v>-0.33139999999999997</v>
      </c>
      <c r="C327" s="20">
        <v>-0.1018</v>
      </c>
      <c r="D327" s="20">
        <v>0.14419999999999999</v>
      </c>
      <c r="E327" s="20">
        <v>-3.8899999999999997E-2</v>
      </c>
      <c r="F327" s="20">
        <v>-0.10879999999999999</v>
      </c>
      <c r="G327" s="20">
        <v>-0.11269999999999999</v>
      </c>
      <c r="H327" s="20">
        <v>0.2223</v>
      </c>
      <c r="I327" s="20">
        <v>3.73E-2</v>
      </c>
      <c r="J327" s="20">
        <v>0.18340000000000001</v>
      </c>
      <c r="K327" s="20">
        <v>-0.2079</v>
      </c>
      <c r="L327" s="20">
        <v>0.1138</v>
      </c>
      <c r="M327" s="20">
        <v>0.1414</v>
      </c>
      <c r="N327" s="20">
        <v>-0.30809999999999998</v>
      </c>
      <c r="O327" s="20">
        <v>-6.0199999999999997E-2</v>
      </c>
      <c r="P327" s="20">
        <v>0.2079</v>
      </c>
      <c r="Q327" s="20">
        <v>-0.32290000000000002</v>
      </c>
      <c r="R327" s="20">
        <v>-5.91E-2</v>
      </c>
      <c r="S327" s="20">
        <v>-0.11459999999999999</v>
      </c>
      <c r="T327" s="20">
        <v>6.6400000000000001E-2</v>
      </c>
      <c r="U327" s="20">
        <v>2.4899999999999999E-2</v>
      </c>
      <c r="V327" s="20">
        <v>0.122</v>
      </c>
      <c r="W327" s="20">
        <v>-0.17599999999999999</v>
      </c>
      <c r="X327" s="20">
        <v>2.8799999999999999E-2</v>
      </c>
      <c r="Y327" s="20">
        <v>-0.15579999999999999</v>
      </c>
      <c r="Z327" s="20">
        <v>-0.12859999999999999</v>
      </c>
      <c r="AA327" s="20">
        <v>2.1399999999999999E-2</v>
      </c>
      <c r="AB327" s="20">
        <v>-0.1026</v>
      </c>
      <c r="AC327" s="20">
        <v>9.2899999999999996E-2</v>
      </c>
      <c r="AD327" s="20">
        <v>0.28210000000000002</v>
      </c>
      <c r="AE327" s="20">
        <v>-5.5199999999999999E-2</v>
      </c>
      <c r="AF327" s="20">
        <v>-7.3800000000000004E-2</v>
      </c>
      <c r="AG327" s="20">
        <v>7.9299999999999995E-2</v>
      </c>
      <c r="AH327" s="20">
        <v>0.1119</v>
      </c>
      <c r="AI327" s="20">
        <v>-4.0800000000000003E-2</v>
      </c>
      <c r="AJ327" s="20">
        <v>0.22539999999999999</v>
      </c>
      <c r="AK327" s="20">
        <v>8.0799999999999997E-2</v>
      </c>
      <c r="AL327" s="21">
        <v>-4.6600000000000003E-2</v>
      </c>
    </row>
    <row r="328" spans="1:38">
      <c r="A328" s="20">
        <v>-2.3999999999999998E-3</v>
      </c>
      <c r="B328" s="20">
        <v>5.62E-2</v>
      </c>
      <c r="C328" s="20">
        <v>7.1999999999999995E-2</v>
      </c>
      <c r="D328" s="20">
        <v>3.5499999999999997E-2</v>
      </c>
      <c r="E328" s="20">
        <v>-8.7300000000000003E-2</v>
      </c>
      <c r="F328" s="20">
        <v>7.5300000000000006E-2</v>
      </c>
      <c r="G328" s="20">
        <v>0.1368</v>
      </c>
      <c r="H328" s="20">
        <v>-0.12189999999999999</v>
      </c>
      <c r="I328" s="20">
        <v>-0.15840000000000001</v>
      </c>
      <c r="J328" s="20">
        <v>-0.18140000000000001</v>
      </c>
      <c r="K328" s="20">
        <v>-9.9299999999999999E-2</v>
      </c>
      <c r="L328" s="20">
        <v>1.49E-2</v>
      </c>
      <c r="M328" s="20">
        <v>-0.12379999999999999</v>
      </c>
      <c r="N328" s="20">
        <v>-0.1085</v>
      </c>
      <c r="O328" s="20">
        <v>7.9200000000000007E-2</v>
      </c>
      <c r="P328" s="20">
        <v>6.8199999999999997E-2</v>
      </c>
      <c r="Q328" s="20">
        <v>-0.1094</v>
      </c>
      <c r="R328" s="20">
        <v>0.1003</v>
      </c>
      <c r="S328" s="20">
        <v>0.22800000000000001</v>
      </c>
      <c r="T328" s="20">
        <v>0.31819999999999998</v>
      </c>
      <c r="U328" s="20">
        <v>-8.1600000000000006E-2</v>
      </c>
      <c r="V328" s="20">
        <v>0.16750000000000001</v>
      </c>
      <c r="W328" s="20">
        <v>8.7800000000000003E-2</v>
      </c>
      <c r="X328" s="20">
        <v>7.1999999999999998E-3</v>
      </c>
      <c r="Y328" s="20">
        <v>-6.9099999999999995E-2</v>
      </c>
      <c r="Z328" s="20">
        <v>-0.25440000000000002</v>
      </c>
      <c r="AA328" s="20">
        <v>-0.19819999999999999</v>
      </c>
      <c r="AB328" s="20">
        <v>-8.7800000000000003E-2</v>
      </c>
      <c r="AC328" s="20">
        <v>-8.4000000000000005E-2</v>
      </c>
      <c r="AD328" s="20">
        <v>-8.9300000000000004E-2</v>
      </c>
      <c r="AE328" s="20">
        <v>0.28749999999999998</v>
      </c>
      <c r="AF328" s="20">
        <v>6.8199999999999997E-2</v>
      </c>
      <c r="AG328" s="20">
        <v>-0.3024</v>
      </c>
      <c r="AH328" s="20">
        <v>7.2499999999999995E-2</v>
      </c>
      <c r="AI328" s="20">
        <v>0.46939999999999998</v>
      </c>
      <c r="AJ328" s="20">
        <v>-0.1368</v>
      </c>
      <c r="AK328" s="20">
        <v>-0.20250000000000001</v>
      </c>
      <c r="AL328" s="21">
        <v>0.1555</v>
      </c>
    </row>
    <row r="329" spans="1:38">
      <c r="A329" s="20">
        <v>0.41889999999999999</v>
      </c>
      <c r="B329" s="20">
        <v>-0.23449999999999999</v>
      </c>
      <c r="C329" s="20">
        <v>3.5999999999999999E-3</v>
      </c>
      <c r="D329" s="20">
        <v>0.15590000000000001</v>
      </c>
      <c r="E329" s="20">
        <v>-8.5400000000000004E-2</v>
      </c>
      <c r="F329" s="20">
        <v>-4.6300000000000001E-2</v>
      </c>
      <c r="G329" s="20">
        <v>0.1154</v>
      </c>
      <c r="H329" s="20">
        <v>-0.1022</v>
      </c>
      <c r="I329" s="20">
        <v>-0.24579999999999999</v>
      </c>
      <c r="J329" s="20">
        <v>-3.32E-2</v>
      </c>
      <c r="K329" s="20">
        <v>-0.22170000000000001</v>
      </c>
      <c r="L329" s="20">
        <v>0.29630000000000001</v>
      </c>
      <c r="M329" s="20">
        <v>1.8E-3</v>
      </c>
      <c r="N329" s="20">
        <v>-0.31990000000000002</v>
      </c>
      <c r="O329" s="20">
        <v>5.6800000000000003E-2</v>
      </c>
      <c r="P329" s="20">
        <v>-0.13769999999999999</v>
      </c>
      <c r="Q329" s="20">
        <v>-0.15720000000000001</v>
      </c>
      <c r="R329" s="20">
        <v>-0.14180000000000001</v>
      </c>
      <c r="S329" s="20">
        <v>3.3599999999999998E-2</v>
      </c>
      <c r="T329" s="20">
        <v>4.4999999999999998E-2</v>
      </c>
      <c r="U329" s="20">
        <v>0.1172</v>
      </c>
      <c r="V329" s="20">
        <v>0.28439999999999999</v>
      </c>
      <c r="W329" s="20">
        <v>-6.1800000000000001E-2</v>
      </c>
      <c r="X329" s="20">
        <v>5.8599999999999999E-2</v>
      </c>
      <c r="Y329" s="20">
        <v>0.129</v>
      </c>
      <c r="Z329" s="20">
        <v>0.1041</v>
      </c>
      <c r="AA329" s="20">
        <v>0.1009</v>
      </c>
      <c r="AB329" s="20">
        <v>2.23E-2</v>
      </c>
      <c r="AC329" s="20">
        <v>-0.14180000000000001</v>
      </c>
      <c r="AD329" s="20">
        <v>-0.20860000000000001</v>
      </c>
      <c r="AE329" s="20">
        <v>2.41E-2</v>
      </c>
      <c r="AF329" s="20">
        <v>0.2122</v>
      </c>
      <c r="AG329" s="20">
        <v>0.20860000000000001</v>
      </c>
      <c r="AH329" s="20">
        <v>-0.1</v>
      </c>
      <c r="AI329" s="20">
        <v>9.3600000000000003E-2</v>
      </c>
      <c r="AJ329" s="20">
        <v>-0.1409</v>
      </c>
      <c r="AK329" s="20">
        <v>-9.6299999999999997E-2</v>
      </c>
      <c r="AL329" s="21">
        <v>-2.0400000000000001E-2</v>
      </c>
    </row>
    <row r="330" spans="1:38">
      <c r="A330" s="20">
        <v>-0.25669999999999998</v>
      </c>
      <c r="B330" s="20">
        <v>0.29809999999999998</v>
      </c>
      <c r="C330" s="20">
        <v>0.1183</v>
      </c>
      <c r="D330" s="20">
        <v>0.1041</v>
      </c>
      <c r="E330" s="20">
        <v>-4.2299999999999997E-2</v>
      </c>
      <c r="F330" s="20">
        <v>0.1368</v>
      </c>
      <c r="G330" s="20">
        <v>-0.29899999999999999</v>
      </c>
      <c r="H330" s="20">
        <v>5.9200000000000003E-2</v>
      </c>
      <c r="I330" s="20">
        <v>0.29430000000000001</v>
      </c>
      <c r="J330" s="20">
        <v>-2.0500000000000001E-2</v>
      </c>
      <c r="K330" s="20">
        <v>4.7399999999999998E-2</v>
      </c>
      <c r="L330" s="20">
        <v>3.3999999999999998E-3</v>
      </c>
      <c r="M330" s="20">
        <v>0.17879999999999999</v>
      </c>
      <c r="N330" s="20">
        <v>-2.12E-2</v>
      </c>
      <c r="O330" s="20">
        <v>-0.20630000000000001</v>
      </c>
      <c r="P330" s="20">
        <v>0.1181</v>
      </c>
      <c r="Q330" s="20">
        <v>0.23180000000000001</v>
      </c>
      <c r="R330" s="20">
        <v>-0.15579999999999999</v>
      </c>
      <c r="S330" s="20">
        <v>0.22409999999999999</v>
      </c>
      <c r="T330" s="20">
        <v>-0.1202</v>
      </c>
      <c r="U330" s="20">
        <v>-0.112</v>
      </c>
      <c r="V330" s="20">
        <v>-6.88E-2</v>
      </c>
      <c r="W330" s="20">
        <v>1.78E-2</v>
      </c>
      <c r="X330" s="20">
        <v>-0.1467</v>
      </c>
      <c r="Y330" s="20">
        <v>-7.0000000000000007E-2</v>
      </c>
      <c r="Z330" s="20">
        <v>9.1800000000000007E-2</v>
      </c>
      <c r="AA330" s="20">
        <v>0.1067</v>
      </c>
      <c r="AB330" s="20">
        <v>0.30430000000000001</v>
      </c>
      <c r="AC330" s="20">
        <v>-2.1100000000000001E-2</v>
      </c>
      <c r="AD330" s="20">
        <v>-0.30370000000000003</v>
      </c>
      <c r="AE330" s="20">
        <v>-1.2200000000000001E-2</v>
      </c>
      <c r="AF330" s="20">
        <v>5.74E-2</v>
      </c>
      <c r="AG330" s="20">
        <v>-0.25080000000000002</v>
      </c>
      <c r="AH330" s="20">
        <v>0.1082</v>
      </c>
      <c r="AI330" s="20">
        <v>-4.9500000000000002E-2</v>
      </c>
      <c r="AJ330" s="20">
        <v>-5.8599999999999999E-2</v>
      </c>
      <c r="AK330" s="20">
        <v>-0.2233</v>
      </c>
      <c r="AL330" s="21">
        <v>-5.6500000000000002E-2</v>
      </c>
    </row>
    <row r="331" spans="1:38">
      <c r="A331" s="20">
        <v>0.1229</v>
      </c>
      <c r="B331" s="20">
        <v>-8.8999999999999996E-2</v>
      </c>
      <c r="C331" s="20">
        <v>8.5300000000000001E-2</v>
      </c>
      <c r="D331" s="20">
        <v>1.78E-2</v>
      </c>
      <c r="E331" s="20">
        <v>-0.16650000000000001</v>
      </c>
      <c r="F331" s="20">
        <v>-0.23630000000000001</v>
      </c>
      <c r="G331" s="20">
        <v>0.30919999999999997</v>
      </c>
      <c r="H331" s="20">
        <v>5.0700000000000002E-2</v>
      </c>
      <c r="I331" s="20">
        <v>-0.23069999999999999</v>
      </c>
      <c r="J331" s="20">
        <v>-0.1016</v>
      </c>
      <c r="K331" s="20">
        <v>-0.12889999999999999</v>
      </c>
      <c r="L331" s="20">
        <v>-0.18459999999999999</v>
      </c>
      <c r="M331" s="20">
        <v>-0.29220000000000002</v>
      </c>
      <c r="N331" s="20">
        <v>-0.1663</v>
      </c>
      <c r="O331" s="20">
        <v>0.15679999999999999</v>
      </c>
      <c r="P331" s="20">
        <v>-3.7100000000000001E-2</v>
      </c>
      <c r="Q331" s="20">
        <v>0.40250000000000002</v>
      </c>
      <c r="R331" s="20">
        <v>0.1036</v>
      </c>
      <c r="S331" s="20">
        <v>0.16600000000000001</v>
      </c>
      <c r="T331" s="20">
        <v>3.7600000000000001E-2</v>
      </c>
      <c r="U331" s="20">
        <v>8.3299999999999999E-2</v>
      </c>
      <c r="V331" s="20">
        <v>0.23019999999999999</v>
      </c>
      <c r="W331" s="20">
        <v>0.23119999999999999</v>
      </c>
      <c r="X331" s="20">
        <v>3.7100000000000001E-2</v>
      </c>
      <c r="Y331" s="20">
        <v>4.5600000000000002E-2</v>
      </c>
      <c r="Z331" s="20">
        <v>2.23E-2</v>
      </c>
      <c r="AA331" s="20">
        <v>0.1028</v>
      </c>
      <c r="AB331" s="20">
        <v>4.36E-2</v>
      </c>
      <c r="AC331" s="20">
        <v>4.8399999999999999E-2</v>
      </c>
      <c r="AD331" s="20">
        <v>-0.13789999999999999</v>
      </c>
      <c r="AE331" s="20">
        <v>-9.4299999999999995E-2</v>
      </c>
      <c r="AF331" s="20">
        <v>0.1038</v>
      </c>
      <c r="AG331" s="20">
        <v>9.1999999999999998E-2</v>
      </c>
      <c r="AH331" s="20">
        <v>3.6600000000000001E-2</v>
      </c>
      <c r="AI331" s="20">
        <v>-0.2084</v>
      </c>
      <c r="AJ331" s="20">
        <v>-2.53E-2</v>
      </c>
      <c r="AK331" s="20">
        <v>-0.12970000000000001</v>
      </c>
      <c r="AL331" s="21">
        <v>-0.30170000000000002</v>
      </c>
    </row>
    <row r="332" spans="1:38">
      <c r="A332" s="20">
        <v>0.3332</v>
      </c>
      <c r="B332" s="20">
        <v>-0.1091</v>
      </c>
      <c r="C332" s="20">
        <v>7.3499999999999996E-2</v>
      </c>
      <c r="D332" s="20">
        <v>-0.18290000000000001</v>
      </c>
      <c r="E332" s="20">
        <v>-0.1719</v>
      </c>
      <c r="F332" s="20">
        <v>-8.2799999999999999E-2</v>
      </c>
      <c r="G332" s="20">
        <v>-0.1804</v>
      </c>
      <c r="H332" s="20">
        <v>-0.1396</v>
      </c>
      <c r="I332" s="20">
        <v>0.1061</v>
      </c>
      <c r="J332" s="20">
        <v>0.29010000000000002</v>
      </c>
      <c r="K332" s="20">
        <v>0.113</v>
      </c>
      <c r="L332" s="20">
        <v>-0.1484</v>
      </c>
      <c r="M332" s="20">
        <v>-7.2400000000000006E-2</v>
      </c>
      <c r="N332" s="20">
        <v>2.6100000000000002E-2</v>
      </c>
      <c r="O332" s="20">
        <v>-0.28599999999999998</v>
      </c>
      <c r="P332" s="20">
        <v>2.0299999999999999E-2</v>
      </c>
      <c r="Q332" s="20">
        <v>4.3299999999999998E-2</v>
      </c>
      <c r="R332" s="20">
        <v>0.31430000000000002</v>
      </c>
      <c r="S332" s="20">
        <v>-4.2200000000000001E-2</v>
      </c>
      <c r="T332" s="20">
        <v>-0.2109</v>
      </c>
      <c r="U332" s="20">
        <v>-4.0599999999999997E-2</v>
      </c>
      <c r="V332" s="20">
        <v>8.5000000000000006E-2</v>
      </c>
      <c r="W332" s="20">
        <v>0.2482</v>
      </c>
      <c r="X332" s="20">
        <v>8.6699999999999999E-2</v>
      </c>
      <c r="Y332" s="20">
        <v>-1.01E-2</v>
      </c>
      <c r="Z332" s="20">
        <v>-0.2495</v>
      </c>
      <c r="AA332" s="20">
        <v>-0.12970000000000001</v>
      </c>
      <c r="AB332" s="20">
        <v>0.1492</v>
      </c>
      <c r="AC332" s="20">
        <v>1.5100000000000001E-2</v>
      </c>
      <c r="AD332" s="20">
        <v>-4.7699999999999999E-2</v>
      </c>
      <c r="AE332" s="20">
        <v>0.184</v>
      </c>
      <c r="AF332" s="20">
        <v>-3.6700000000000003E-2</v>
      </c>
      <c r="AG332" s="20">
        <v>-5.4800000000000001E-2</v>
      </c>
      <c r="AH332" s="20">
        <v>-0.24410000000000001</v>
      </c>
      <c r="AI332" s="20">
        <v>9.98E-2</v>
      </c>
      <c r="AJ332" s="20">
        <v>0.21879999999999999</v>
      </c>
      <c r="AK332" s="20">
        <v>0.1651</v>
      </c>
      <c r="AL332" s="21">
        <v>-0.1404</v>
      </c>
    </row>
    <row r="333" spans="1:38">
      <c r="A333" s="20">
        <v>0.2361</v>
      </c>
      <c r="B333" s="20">
        <v>-0.27479999999999999</v>
      </c>
      <c r="C333" s="20">
        <v>-0.105</v>
      </c>
      <c r="D333" s="20">
        <v>7.9799999999999996E-2</v>
      </c>
      <c r="E333" s="20">
        <v>-5.1700000000000003E-2</v>
      </c>
      <c r="F333" s="20">
        <v>-7.4999999999999997E-3</v>
      </c>
      <c r="G333" s="20">
        <v>-0.1195</v>
      </c>
      <c r="H333" s="20">
        <v>4.4499999999999998E-2</v>
      </c>
      <c r="I333" s="20">
        <v>-0.1239</v>
      </c>
      <c r="J333" s="20">
        <v>0.41689999999999999</v>
      </c>
      <c r="K333" s="20">
        <v>-1.2999999999999999E-3</v>
      </c>
      <c r="L333" s="20">
        <v>-0.37780000000000002</v>
      </c>
      <c r="M333" s="20">
        <v>9.2200000000000004E-2</v>
      </c>
      <c r="N333" s="20">
        <v>6.8699999999999997E-2</v>
      </c>
      <c r="O333" s="20">
        <v>-0.39929999999999999</v>
      </c>
      <c r="P333" s="20">
        <v>9.2999999999999999E-2</v>
      </c>
      <c r="Q333" s="20">
        <v>0.2099</v>
      </c>
      <c r="R333" s="20">
        <v>0.12670000000000001</v>
      </c>
      <c r="S333" s="20">
        <v>0.15939999999999999</v>
      </c>
      <c r="T333" s="20">
        <v>-0.13539999999999999</v>
      </c>
      <c r="U333" s="20">
        <v>6.9699999999999998E-2</v>
      </c>
      <c r="V333" s="20">
        <v>-6.9800000000000001E-2</v>
      </c>
      <c r="W333" s="20">
        <v>-1.37E-2</v>
      </c>
      <c r="X333" s="20">
        <v>1.77E-2</v>
      </c>
      <c r="Y333" s="20">
        <v>-0.17979999999999999</v>
      </c>
      <c r="Z333" s="20">
        <v>7.3200000000000001E-2</v>
      </c>
      <c r="AA333" s="20">
        <v>-1.34E-2</v>
      </c>
      <c r="AB333" s="20">
        <v>0.20830000000000001</v>
      </c>
      <c r="AC333" s="20">
        <v>-6.0999999999999999E-2</v>
      </c>
      <c r="AD333" s="20">
        <v>0.13059999999999999</v>
      </c>
      <c r="AE333" s="20">
        <v>9.2700000000000005E-2</v>
      </c>
      <c r="AF333" s="20">
        <v>-6.1499999999999999E-2</v>
      </c>
      <c r="AG333" s="20">
        <v>-0.17230000000000001</v>
      </c>
      <c r="AH333" s="20">
        <v>-5.3499999999999999E-2</v>
      </c>
      <c r="AI333" s="20">
        <v>-6.2899999999999998E-2</v>
      </c>
      <c r="AJ333" s="20">
        <v>-8.1100000000000005E-2</v>
      </c>
      <c r="AK333" s="20">
        <v>0.21479999999999999</v>
      </c>
      <c r="AL333" s="21">
        <v>3.6600000000000001E-2</v>
      </c>
    </row>
    <row r="334" spans="1:38">
      <c r="A334" s="20">
        <v>0.44679999999999997</v>
      </c>
      <c r="B334" s="20">
        <v>-0.17879999999999999</v>
      </c>
      <c r="C334" s="20">
        <v>7.1300000000000002E-2</v>
      </c>
      <c r="D334" s="20">
        <v>-1.15E-2</v>
      </c>
      <c r="E334" s="20">
        <v>5.8700000000000002E-2</v>
      </c>
      <c r="F334" s="20">
        <v>-0.1573</v>
      </c>
      <c r="G334" s="20">
        <v>0</v>
      </c>
      <c r="H334" s="20">
        <v>5.9799999999999999E-2</v>
      </c>
      <c r="I334" s="20">
        <v>-0.16470000000000001</v>
      </c>
      <c r="J334" s="20">
        <v>3.78E-2</v>
      </c>
      <c r="K334" s="20">
        <v>-0.13320000000000001</v>
      </c>
      <c r="L334" s="20">
        <v>5.6099999999999997E-2</v>
      </c>
      <c r="M334" s="20">
        <v>0.1663</v>
      </c>
      <c r="N334" s="20">
        <v>-0.4405</v>
      </c>
      <c r="O334" s="20">
        <v>0.1017</v>
      </c>
      <c r="P334" s="20">
        <v>-0.27429999999999999</v>
      </c>
      <c r="Q334" s="20">
        <v>0</v>
      </c>
      <c r="R334" s="20">
        <v>4.5100000000000001E-2</v>
      </c>
      <c r="S334" s="20">
        <v>-4.8800000000000003E-2</v>
      </c>
      <c r="T334" s="20">
        <v>0.24329999999999999</v>
      </c>
      <c r="U334" s="20">
        <v>0.26850000000000002</v>
      </c>
      <c r="V334" s="20">
        <v>-4.3499999999999997E-2</v>
      </c>
      <c r="W334" s="20">
        <v>-0.16309999999999999</v>
      </c>
      <c r="X334" s="20">
        <v>-0.1028</v>
      </c>
      <c r="Y334" s="20">
        <v>3.8800000000000001E-2</v>
      </c>
      <c r="Z334" s="20">
        <v>-1.0500000000000001E-2</v>
      </c>
      <c r="AA334" s="20">
        <v>-7.0300000000000001E-2</v>
      </c>
      <c r="AB334" s="20">
        <v>9.9599999999999994E-2</v>
      </c>
      <c r="AC334" s="20">
        <v>9.9099999999999994E-2</v>
      </c>
      <c r="AD334" s="20">
        <v>-0.13270000000000001</v>
      </c>
      <c r="AE334" s="20">
        <v>0.1133</v>
      </c>
      <c r="AF334" s="20">
        <v>5.0000000000000001E-4</v>
      </c>
      <c r="AG334" s="20">
        <v>-2.0500000000000001E-2</v>
      </c>
      <c r="AH334" s="20">
        <v>-0.15210000000000001</v>
      </c>
      <c r="AI334" s="20">
        <v>7.7600000000000002E-2</v>
      </c>
      <c r="AJ334" s="20">
        <v>0.182</v>
      </c>
      <c r="AK334" s="20">
        <v>0.17780000000000001</v>
      </c>
      <c r="AL334" s="21">
        <v>-0.2208</v>
      </c>
    </row>
    <row r="335" spans="1:38">
      <c r="A335" s="20">
        <v>0.29859999999999998</v>
      </c>
      <c r="B335" s="20">
        <v>-0.20669999999999999</v>
      </c>
      <c r="C335" s="20">
        <v>0.31869999999999998</v>
      </c>
      <c r="D335" s="20">
        <v>-1.77E-2</v>
      </c>
      <c r="E335" s="20">
        <v>4.4200000000000003E-2</v>
      </c>
      <c r="F335" s="20">
        <v>-5.9900000000000002E-2</v>
      </c>
      <c r="G335" s="20">
        <v>0.11</v>
      </c>
      <c r="H335" s="20">
        <v>-7.6600000000000001E-2</v>
      </c>
      <c r="I335" s="20">
        <v>-0.25040000000000001</v>
      </c>
      <c r="J335" s="20">
        <v>7.46E-2</v>
      </c>
      <c r="K335" s="20">
        <v>-2.9499999999999998E-2</v>
      </c>
      <c r="L335" s="20">
        <v>8.1500000000000003E-2</v>
      </c>
      <c r="M335" s="20">
        <v>-3.8300000000000001E-2</v>
      </c>
      <c r="N335" s="20">
        <v>-0.34470000000000001</v>
      </c>
      <c r="O335" s="20">
        <v>0.1336</v>
      </c>
      <c r="P335" s="20">
        <v>-2.46E-2</v>
      </c>
      <c r="Q335" s="20">
        <v>-0.1159</v>
      </c>
      <c r="R335" s="20">
        <v>-2.8999999999999998E-3</v>
      </c>
      <c r="S335" s="20">
        <v>-0.1517</v>
      </c>
      <c r="T335" s="20">
        <v>0.1105</v>
      </c>
      <c r="U335" s="20">
        <v>0.22739999999999999</v>
      </c>
      <c r="V335" s="20">
        <v>0.31519999999999998</v>
      </c>
      <c r="W335" s="20">
        <v>3.5400000000000001E-2</v>
      </c>
      <c r="X335" s="20">
        <v>6.2899999999999998E-2</v>
      </c>
      <c r="Y335" s="20">
        <v>0.15809999999999999</v>
      </c>
      <c r="Z335" s="20">
        <v>-0.23369999999999999</v>
      </c>
      <c r="AA335" s="20">
        <v>-6.1899999999999997E-2</v>
      </c>
      <c r="AB335" s="20">
        <v>0.16839999999999999</v>
      </c>
      <c r="AC335" s="20">
        <v>-0.16300000000000001</v>
      </c>
      <c r="AD335" s="20">
        <v>-0.29220000000000002</v>
      </c>
      <c r="AE335" s="20">
        <v>0.24210000000000001</v>
      </c>
      <c r="AF335" s="20">
        <v>1E-3</v>
      </c>
      <c r="AG335" s="20">
        <v>6.5799999999999997E-2</v>
      </c>
      <c r="AH335" s="20">
        <v>-0.12470000000000001</v>
      </c>
      <c r="AI335" s="20">
        <v>-0.12670000000000001</v>
      </c>
      <c r="AJ335" s="20">
        <v>-5.8900000000000001E-2</v>
      </c>
      <c r="AK335" s="20">
        <v>-3.44E-2</v>
      </c>
      <c r="AL335" s="21">
        <v>-1.8200000000000001E-2</v>
      </c>
    </row>
    <row r="336" spans="1:38">
      <c r="A336" s="20">
        <v>0.48699999999999999</v>
      </c>
      <c r="B336" s="20">
        <v>-0.2888</v>
      </c>
      <c r="C336" s="20">
        <v>4.8300000000000003E-2</v>
      </c>
      <c r="D336" s="20">
        <v>-0.45129999999999998</v>
      </c>
      <c r="E336" s="20">
        <v>0.19</v>
      </c>
      <c r="F336" s="20">
        <v>-0.3201</v>
      </c>
      <c r="G336" s="20">
        <v>-3.1099999999999999E-2</v>
      </c>
      <c r="H336" s="20">
        <v>-4.1599999999999998E-2</v>
      </c>
      <c r="I336" s="20">
        <v>-8.2400000000000001E-2</v>
      </c>
      <c r="J336" s="20">
        <v>-2.8500000000000001E-2</v>
      </c>
      <c r="K336" s="20">
        <v>0.11119999999999999</v>
      </c>
      <c r="L336" s="20">
        <v>-1.9800000000000002E-2</v>
      </c>
      <c r="M336" s="20">
        <v>0.33989999999999998</v>
      </c>
      <c r="N336" s="20">
        <v>-0.1928</v>
      </c>
      <c r="O336" s="20">
        <v>0.12989999999999999</v>
      </c>
      <c r="P336" s="20">
        <v>-4.36E-2</v>
      </c>
      <c r="Q336" s="20">
        <v>-4.7699999999999999E-2</v>
      </c>
      <c r="R336" s="20">
        <v>-1.8700000000000001E-2</v>
      </c>
      <c r="S336" s="20">
        <v>6.93E-2</v>
      </c>
      <c r="T336" s="20">
        <v>-2.64E-2</v>
      </c>
      <c r="U336" s="20">
        <v>-7.4000000000000003E-3</v>
      </c>
      <c r="V336" s="20">
        <v>-7.2400000000000006E-2</v>
      </c>
      <c r="W336" s="20">
        <v>-2.7E-2</v>
      </c>
      <c r="X336" s="20">
        <v>8.2000000000000007E-3</v>
      </c>
      <c r="Y336" s="20">
        <v>-0.1094</v>
      </c>
      <c r="Z336" s="20">
        <v>4.9000000000000002E-2</v>
      </c>
      <c r="AA336" s="20">
        <v>-1.6899999999999998E-2</v>
      </c>
      <c r="AB336" s="20">
        <v>0.1235</v>
      </c>
      <c r="AC336" s="20">
        <v>-2.5700000000000001E-2</v>
      </c>
      <c r="AD336" s="20">
        <v>0.1774</v>
      </c>
      <c r="AE336" s="20">
        <v>7.4200000000000002E-2</v>
      </c>
      <c r="AF336" s="20">
        <v>0.1183</v>
      </c>
      <c r="AG336" s="20">
        <v>-8.6300000000000002E-2</v>
      </c>
      <c r="AH336" s="20">
        <v>-1.3899999999999999E-2</v>
      </c>
      <c r="AI336" s="20">
        <v>8.4699999999999998E-2</v>
      </c>
      <c r="AJ336" s="20">
        <v>0.03</v>
      </c>
      <c r="AK336" s="20">
        <v>6.8500000000000005E-2</v>
      </c>
      <c r="AL336" s="21">
        <v>-0.15559999999999999</v>
      </c>
    </row>
    <row r="337" spans="1:38">
      <c r="A337" s="20">
        <v>0.33489999999999998</v>
      </c>
      <c r="B337" s="20">
        <v>-8.7599999999999997E-2</v>
      </c>
      <c r="C337" s="20">
        <v>1.17E-2</v>
      </c>
      <c r="D337" s="20">
        <v>0.15110000000000001</v>
      </c>
      <c r="E337" s="20">
        <v>-7.7299999999999994E-2</v>
      </c>
      <c r="F337" s="20">
        <v>-0.17399999999999999</v>
      </c>
      <c r="G337" s="20">
        <v>-0.2215</v>
      </c>
      <c r="H337" s="20">
        <v>-0.18260000000000001</v>
      </c>
      <c r="I337" s="20">
        <v>-6.1999999999999998E-3</v>
      </c>
      <c r="J337" s="20">
        <v>0.30580000000000002</v>
      </c>
      <c r="K337" s="20">
        <v>0.10150000000000001</v>
      </c>
      <c r="L337" s="20">
        <v>-0.2414</v>
      </c>
      <c r="M337" s="20">
        <v>9.1200000000000003E-2</v>
      </c>
      <c r="N337" s="20">
        <v>-6.0600000000000001E-2</v>
      </c>
      <c r="O337" s="20">
        <v>-0.43159999999999998</v>
      </c>
      <c r="P337" s="20">
        <v>0.15110000000000001</v>
      </c>
      <c r="Q337" s="20">
        <v>-0.1368</v>
      </c>
      <c r="R337" s="20">
        <v>8.6199999999999999E-2</v>
      </c>
      <c r="S337" s="20">
        <v>0.1585</v>
      </c>
      <c r="T337" s="20">
        <v>-0.1263</v>
      </c>
      <c r="U337" s="20">
        <v>0.2268</v>
      </c>
      <c r="V337" s="20">
        <v>6.0600000000000001E-2</v>
      </c>
      <c r="W337" s="20">
        <v>4.8500000000000001E-2</v>
      </c>
      <c r="X337" s="20">
        <v>-0.121</v>
      </c>
      <c r="Y337" s="20">
        <v>0.15679999999999999</v>
      </c>
      <c r="Z337" s="20">
        <v>8.0699999999999994E-2</v>
      </c>
      <c r="AA337" s="20">
        <v>-4.9399999999999999E-2</v>
      </c>
      <c r="AB337" s="20">
        <v>7.5700000000000003E-2</v>
      </c>
      <c r="AC337" s="20">
        <v>9.3799999999999994E-2</v>
      </c>
      <c r="AD337" s="20">
        <v>-9.74E-2</v>
      </c>
      <c r="AE337" s="20">
        <v>-0.19309999999999999</v>
      </c>
      <c r="AF337" s="20">
        <v>-6.4000000000000003E-3</v>
      </c>
      <c r="AG337" s="20">
        <v>-6.9199999999999998E-2</v>
      </c>
      <c r="AH337" s="20">
        <v>3.32E-2</v>
      </c>
      <c r="AI337" s="20">
        <v>0.16569999999999999</v>
      </c>
      <c r="AJ337" s="20">
        <v>-0.20749999999999999</v>
      </c>
      <c r="AK337" s="20">
        <v>0.2051</v>
      </c>
      <c r="AL337" s="21">
        <v>-5.04E-2</v>
      </c>
    </row>
    <row r="338" spans="1:38">
      <c r="A338" s="20">
        <v>0.19409999999999999</v>
      </c>
      <c r="B338" s="20">
        <v>-0.18429999999999999</v>
      </c>
      <c r="C338" s="20">
        <v>-0.1341</v>
      </c>
      <c r="D338" s="20">
        <v>-0.30149999999999999</v>
      </c>
      <c r="E338" s="20">
        <v>-2.9700000000000001E-2</v>
      </c>
      <c r="F338" s="20">
        <v>-4.5699999999999998E-2</v>
      </c>
      <c r="G338" s="20">
        <v>0.13350000000000001</v>
      </c>
      <c r="H338" s="20">
        <v>1.34E-2</v>
      </c>
      <c r="I338" s="20">
        <v>-0.34339999999999998</v>
      </c>
      <c r="J338" s="20">
        <v>0.12970000000000001</v>
      </c>
      <c r="K338" s="20">
        <v>8.6699999999999999E-2</v>
      </c>
      <c r="L338" s="20">
        <v>0.1457</v>
      </c>
      <c r="M338" s="20">
        <v>0.11990000000000001</v>
      </c>
      <c r="N338" s="20">
        <v>0.1143</v>
      </c>
      <c r="O338" s="20">
        <v>0.33329999999999999</v>
      </c>
      <c r="P338" s="20">
        <v>5.8799999999999998E-2</v>
      </c>
      <c r="Q338" s="20">
        <v>0.1822</v>
      </c>
      <c r="R338" s="20">
        <v>5.8999999999999999E-3</v>
      </c>
      <c r="S338" s="20">
        <v>3.6200000000000003E-2</v>
      </c>
      <c r="T338" s="20">
        <v>8.2199999999999995E-2</v>
      </c>
      <c r="U338" s="20">
        <v>-6.2600000000000003E-2</v>
      </c>
      <c r="V338" s="20">
        <v>-1.9300000000000001E-2</v>
      </c>
      <c r="W338" s="20">
        <v>-0.19969999999999999</v>
      </c>
      <c r="X338" s="20">
        <v>0.35489999999999999</v>
      </c>
      <c r="Y338" s="20">
        <v>4.1799999999999997E-2</v>
      </c>
      <c r="Z338" s="20">
        <v>-4.7800000000000002E-2</v>
      </c>
      <c r="AA338" s="20">
        <v>-2.9100000000000001E-2</v>
      </c>
      <c r="AB338" s="20">
        <v>-5.3699999999999998E-2</v>
      </c>
      <c r="AC338" s="20">
        <v>-0.1371</v>
      </c>
      <c r="AD338" s="20">
        <v>4.2099999999999999E-2</v>
      </c>
      <c r="AE338" s="20">
        <v>-0.1721</v>
      </c>
      <c r="AF338" s="20">
        <v>0.27100000000000002</v>
      </c>
      <c r="AG338" s="20">
        <v>-8.7499999999999994E-2</v>
      </c>
      <c r="AH338" s="20">
        <v>-4.99E-2</v>
      </c>
      <c r="AI338" s="20">
        <v>9.7299999999999998E-2</v>
      </c>
      <c r="AJ338" s="20">
        <v>-0.24629999999999999</v>
      </c>
      <c r="AK338" s="20">
        <v>-2.7900000000000001E-2</v>
      </c>
      <c r="AL338" s="21">
        <v>-0.26290000000000002</v>
      </c>
    </row>
    <row r="339" spans="1:38">
      <c r="A339" s="20">
        <v>0.2026</v>
      </c>
      <c r="B339" s="20">
        <v>9.8400000000000001E-2</v>
      </c>
      <c r="C339" s="20">
        <v>0.31640000000000001</v>
      </c>
      <c r="D339" s="20">
        <v>0.1144</v>
      </c>
      <c r="E339" s="20">
        <v>-0.371</v>
      </c>
      <c r="F339" s="20">
        <v>0.1643</v>
      </c>
      <c r="G339" s="20">
        <v>9.4500000000000001E-2</v>
      </c>
      <c r="H339" s="20">
        <v>-0.2606</v>
      </c>
      <c r="I339" s="20">
        <v>8.2199999999999995E-2</v>
      </c>
      <c r="J339" s="20">
        <v>-8.0199999999999994E-2</v>
      </c>
      <c r="K339" s="20">
        <v>-0.32440000000000002</v>
      </c>
      <c r="L339" s="20">
        <v>-6.0900000000000003E-2</v>
      </c>
      <c r="M339" s="20">
        <v>3.7000000000000002E-3</v>
      </c>
      <c r="N339" s="20">
        <v>0.2137</v>
      </c>
      <c r="O339" s="20">
        <v>-0.1239</v>
      </c>
      <c r="P339" s="20">
        <v>-7.1199999999999999E-2</v>
      </c>
      <c r="Q339" s="20">
        <v>-6.6E-3</v>
      </c>
      <c r="R339" s="20">
        <v>-0.129</v>
      </c>
      <c r="S339" s="20">
        <v>-4.5900000000000003E-2</v>
      </c>
      <c r="T339" s="20">
        <v>1.2500000000000001E-2</v>
      </c>
      <c r="U339" s="20">
        <v>7.4399999999999994E-2</v>
      </c>
      <c r="V339" s="20">
        <v>-8.9599999999999999E-2</v>
      </c>
      <c r="W339" s="20">
        <v>5.1299999999999998E-2</v>
      </c>
      <c r="X339" s="20">
        <v>-0.1163</v>
      </c>
      <c r="Y339" s="20">
        <v>0.17899999999999999</v>
      </c>
      <c r="Z339" s="20">
        <v>2.4E-2</v>
      </c>
      <c r="AA339" s="20">
        <v>0.1187</v>
      </c>
      <c r="AB339" s="20">
        <v>-0.1216</v>
      </c>
      <c r="AC339" s="20">
        <v>-4.9200000000000001E-2</v>
      </c>
      <c r="AD339" s="20">
        <v>0.2452</v>
      </c>
      <c r="AE339" s="20">
        <v>-8.5300000000000001E-2</v>
      </c>
      <c r="AF339" s="20">
        <v>-1.1900000000000001E-2</v>
      </c>
      <c r="AG339" s="20">
        <v>-0.1202</v>
      </c>
      <c r="AH339" s="20">
        <v>-0.20979999999999999</v>
      </c>
      <c r="AI339" s="20">
        <v>0.14810000000000001</v>
      </c>
      <c r="AJ339" s="20">
        <v>-6.54E-2</v>
      </c>
      <c r="AK339" s="20">
        <v>-0.14799999999999999</v>
      </c>
      <c r="AL339" s="21">
        <v>0.34589999999999999</v>
      </c>
    </row>
    <row r="340" spans="1:38">
      <c r="A340" s="20">
        <v>0.1045</v>
      </c>
      <c r="B340" s="20">
        <v>-0.2041</v>
      </c>
      <c r="C340" s="20">
        <v>-0.1026</v>
      </c>
      <c r="D340" s="20">
        <v>-8.2400000000000001E-2</v>
      </c>
      <c r="E340" s="20">
        <v>-9.9299999999999999E-2</v>
      </c>
      <c r="F340" s="20">
        <v>-0.25380000000000003</v>
      </c>
      <c r="G340" s="20">
        <v>2.9999999999999997E-4</v>
      </c>
      <c r="H340" s="20">
        <v>0.1191</v>
      </c>
      <c r="I340" s="20">
        <v>-0.1191</v>
      </c>
      <c r="J340" s="20">
        <v>9.2600000000000002E-2</v>
      </c>
      <c r="K340" s="20">
        <v>-0.28820000000000001</v>
      </c>
      <c r="L340" s="20">
        <v>-7.3000000000000001E-3</v>
      </c>
      <c r="M340" s="20">
        <v>0.1449</v>
      </c>
      <c r="N340" s="20">
        <v>-3.7400000000000003E-2</v>
      </c>
      <c r="O340" s="20">
        <v>1.3899999999999999E-2</v>
      </c>
      <c r="P340" s="20">
        <v>0.2908</v>
      </c>
      <c r="Q340" s="20">
        <v>-6.6E-3</v>
      </c>
      <c r="R340" s="20">
        <v>0.2782</v>
      </c>
      <c r="S340" s="20">
        <v>-8.2100000000000006E-2</v>
      </c>
      <c r="T340" s="20">
        <v>-5.3900000000000003E-2</v>
      </c>
      <c r="U340" s="20">
        <v>6.9800000000000001E-2</v>
      </c>
      <c r="V340" s="20">
        <v>-8.9300000000000004E-2</v>
      </c>
      <c r="W340" s="20">
        <v>0.2104</v>
      </c>
      <c r="X340" s="20">
        <v>0.25380000000000003</v>
      </c>
      <c r="Y340" s="20">
        <v>0.1426</v>
      </c>
      <c r="Z340" s="20">
        <v>0.13270000000000001</v>
      </c>
      <c r="AA340" s="20">
        <v>-0.14460000000000001</v>
      </c>
      <c r="AB340" s="20">
        <v>-0.27789999999999998</v>
      </c>
      <c r="AC340" s="20">
        <v>-0.1135</v>
      </c>
      <c r="AD340" s="20">
        <v>0.2286</v>
      </c>
      <c r="AE340" s="20">
        <v>0.35399999999999998</v>
      </c>
      <c r="AF340" s="20">
        <v>7.6E-3</v>
      </c>
      <c r="AG340" s="20">
        <v>-0.1429</v>
      </c>
      <c r="AH340" s="20">
        <v>-0.14660000000000001</v>
      </c>
      <c r="AI340" s="20">
        <v>-0.12670000000000001</v>
      </c>
      <c r="AJ340" s="20">
        <v>0.12939999999999999</v>
      </c>
      <c r="AK340" s="20">
        <v>-0.11940000000000001</v>
      </c>
      <c r="AL340" s="21">
        <v>-6.6500000000000004E-2</v>
      </c>
    </row>
    <row r="341" spans="1:38">
      <c r="A341" s="20">
        <v>3.4700000000000002E-2</v>
      </c>
      <c r="B341" s="20">
        <v>-0.40179999999999999</v>
      </c>
      <c r="C341" s="20">
        <v>-2.29E-2</v>
      </c>
      <c r="D341" s="20">
        <v>-0.45400000000000001</v>
      </c>
      <c r="E341" s="20">
        <v>0.27550000000000002</v>
      </c>
      <c r="F341" s="20">
        <v>4.87E-2</v>
      </c>
      <c r="G341" s="20">
        <v>0.17249999999999999</v>
      </c>
      <c r="H341" s="20">
        <v>-5.9799999999999999E-2</v>
      </c>
      <c r="I341" s="20">
        <v>7.7299999999999994E-2</v>
      </c>
      <c r="J341" s="20">
        <v>-0.1095</v>
      </c>
      <c r="K341" s="20">
        <v>0.26550000000000001</v>
      </c>
      <c r="L341" s="20">
        <v>1.43E-2</v>
      </c>
      <c r="M341" s="20">
        <v>5.2200000000000003E-2</v>
      </c>
      <c r="N341" s="20">
        <v>-0.26939999999999997</v>
      </c>
      <c r="O341" s="20">
        <v>0</v>
      </c>
      <c r="P341" s="20">
        <v>-0.15920000000000001</v>
      </c>
      <c r="Q341" s="20">
        <v>-7.9399999999999998E-2</v>
      </c>
      <c r="R341" s="20">
        <v>-0.1517</v>
      </c>
      <c r="S341" s="20">
        <v>0.10630000000000001</v>
      </c>
      <c r="T341" s="20">
        <v>-0.12520000000000001</v>
      </c>
      <c r="U341" s="20">
        <v>3.3300000000000003E-2</v>
      </c>
      <c r="V341" s="20">
        <v>-3.5799999999999998E-2</v>
      </c>
      <c r="W341" s="20">
        <v>0.1077</v>
      </c>
      <c r="X341" s="20">
        <v>0.14810000000000001</v>
      </c>
      <c r="Y341" s="20">
        <v>-0.13769999999999999</v>
      </c>
      <c r="Z341" s="20">
        <v>-9.9500000000000005E-2</v>
      </c>
      <c r="AA341" s="20">
        <v>-6.0100000000000001E-2</v>
      </c>
      <c r="AB341" s="20">
        <v>0.10299999999999999</v>
      </c>
      <c r="AC341" s="20">
        <v>-0.2064</v>
      </c>
      <c r="AD341" s="20">
        <v>7.1999999999999998E-3</v>
      </c>
      <c r="AE341" s="20">
        <v>0.1789</v>
      </c>
      <c r="AF341" s="20">
        <v>9.3700000000000006E-2</v>
      </c>
      <c r="AG341" s="20">
        <v>5.33E-2</v>
      </c>
      <c r="AH341" s="20">
        <v>-8.8999999999999999E-3</v>
      </c>
      <c r="AI341" s="20">
        <v>0.22539999999999999</v>
      </c>
      <c r="AJ341" s="20">
        <v>0.1542</v>
      </c>
      <c r="AK341" s="20">
        <v>0.16850000000000001</v>
      </c>
      <c r="AL341" s="21">
        <v>7.1599999999999997E-2</v>
      </c>
    </row>
    <row r="342" spans="1:38">
      <c r="A342" s="20">
        <v>0.1799</v>
      </c>
      <c r="B342" s="20">
        <v>-0.2298</v>
      </c>
      <c r="C342" s="20">
        <v>0.41249999999999998</v>
      </c>
      <c r="D342" s="20">
        <v>-0.1739</v>
      </c>
      <c r="E342" s="20">
        <v>-0.2036</v>
      </c>
      <c r="F342" s="20">
        <v>-0.1043</v>
      </c>
      <c r="G342" s="20">
        <v>-9.8299999999999998E-2</v>
      </c>
      <c r="H342" s="20">
        <v>0.16669999999999999</v>
      </c>
      <c r="I342" s="20">
        <v>7.0000000000000007E-2</v>
      </c>
      <c r="J342" s="20">
        <v>-3.2500000000000001E-2</v>
      </c>
      <c r="K342" s="20">
        <v>-0.17710000000000001</v>
      </c>
      <c r="L342" s="20">
        <v>-7.1199999999999999E-2</v>
      </c>
      <c r="M342" s="20">
        <v>0.33410000000000001</v>
      </c>
      <c r="N342" s="20">
        <v>6.3600000000000004E-2</v>
      </c>
      <c r="O342" s="20">
        <v>0.32429999999999998</v>
      </c>
      <c r="P342" s="20">
        <v>0.1484</v>
      </c>
      <c r="Q342" s="20">
        <v>-0.15379999999999999</v>
      </c>
      <c r="R342" s="20">
        <v>-0.16300000000000001</v>
      </c>
      <c r="S342" s="20">
        <v>-0.1663</v>
      </c>
      <c r="T342" s="20">
        <v>9.8299999999999998E-2</v>
      </c>
      <c r="U342" s="20">
        <v>0.16830000000000001</v>
      </c>
      <c r="V342" s="20">
        <v>-9.3299999999999994E-2</v>
      </c>
      <c r="W342" s="20">
        <v>-0.12839999999999999</v>
      </c>
      <c r="X342" s="20">
        <v>0.1193</v>
      </c>
      <c r="Y342" s="20">
        <v>9.8500000000000004E-2</v>
      </c>
      <c r="Z342" s="20">
        <v>-0.20960000000000001</v>
      </c>
      <c r="AA342" s="20">
        <v>8.48E-2</v>
      </c>
      <c r="AB342" s="20">
        <v>-6.5799999999999997E-2</v>
      </c>
      <c r="AC342" s="20">
        <v>-0.11990000000000001</v>
      </c>
      <c r="AD342" s="20">
        <v>-0.2122</v>
      </c>
      <c r="AE342" s="20">
        <v>-2.2100000000000002E-2</v>
      </c>
      <c r="AF342" s="20">
        <v>3.7499999999999999E-2</v>
      </c>
      <c r="AG342" s="20">
        <v>-9.8500000000000004E-2</v>
      </c>
      <c r="AH342" s="20">
        <v>2.8899999999999999E-2</v>
      </c>
      <c r="AI342" s="20">
        <v>-5.0700000000000002E-2</v>
      </c>
      <c r="AJ342" s="20">
        <v>0.19289999999999999</v>
      </c>
      <c r="AK342" s="20">
        <v>-3.3500000000000002E-2</v>
      </c>
      <c r="AL342" s="21">
        <v>7.9200000000000007E-2</v>
      </c>
    </row>
    <row r="343" spans="1:38">
      <c r="A343" s="20">
        <v>0.49020000000000002</v>
      </c>
      <c r="B343" s="20">
        <v>6.2700000000000006E-2</v>
      </c>
      <c r="C343" s="20">
        <v>-0.1353</v>
      </c>
      <c r="D343" s="20">
        <v>0.3649</v>
      </c>
      <c r="E343" s="20">
        <v>1.9E-3</v>
      </c>
      <c r="F343" s="20">
        <v>8.1100000000000005E-2</v>
      </c>
      <c r="G343" s="20">
        <v>1.6000000000000001E-3</v>
      </c>
      <c r="H343" s="20">
        <v>-0.29680000000000001</v>
      </c>
      <c r="I343" s="20">
        <v>8.9300000000000004E-2</v>
      </c>
      <c r="J343" s="20">
        <v>-5.4699999999999999E-2</v>
      </c>
      <c r="K343" s="20">
        <v>6.4399999999999999E-2</v>
      </c>
      <c r="L343" s="20">
        <v>-0.10639999999999999</v>
      </c>
      <c r="M343" s="20">
        <v>0.1694</v>
      </c>
      <c r="N343" s="20">
        <v>-0.1095</v>
      </c>
      <c r="O343" s="20">
        <v>0.1048</v>
      </c>
      <c r="P343" s="20">
        <v>-0.2364</v>
      </c>
      <c r="Q343" s="20">
        <v>5.5999999999999999E-3</v>
      </c>
      <c r="R343" s="20">
        <v>6.25E-2</v>
      </c>
      <c r="S343" s="20">
        <v>-0.10829999999999999</v>
      </c>
      <c r="T343" s="20">
        <v>-0.2087</v>
      </c>
      <c r="U343" s="20">
        <v>-0.2185</v>
      </c>
      <c r="V343" s="20">
        <v>-0.13750000000000001</v>
      </c>
      <c r="W343" s="20">
        <v>-6.1100000000000002E-2</v>
      </c>
      <c r="X343" s="20">
        <v>0.1069</v>
      </c>
      <c r="Y343" s="20">
        <v>0.1154</v>
      </c>
      <c r="Z343" s="20">
        <v>7.2800000000000004E-2</v>
      </c>
      <c r="AA343" s="20">
        <v>4.2999999999999997E-2</v>
      </c>
      <c r="AB343" s="20">
        <v>-0.2571</v>
      </c>
      <c r="AC343" s="20">
        <v>0.1173</v>
      </c>
      <c r="AD343" s="20">
        <v>3.27E-2</v>
      </c>
      <c r="AE343" s="20">
        <v>0.18770000000000001</v>
      </c>
      <c r="AF343" s="20">
        <v>2.23E-2</v>
      </c>
      <c r="AG343" s="20">
        <v>0.1168</v>
      </c>
      <c r="AH343" s="20">
        <v>-0.184</v>
      </c>
      <c r="AI343" s="20">
        <v>-0.1948</v>
      </c>
      <c r="AJ343" s="20">
        <v>-7.3000000000000001E-3</v>
      </c>
      <c r="AK343" s="20">
        <v>7.9399999999999998E-2</v>
      </c>
      <c r="AL343" s="21">
        <v>-7.5700000000000003E-2</v>
      </c>
    </row>
    <row r="344" spans="1:38">
      <c r="A344" s="20">
        <v>0.34239999999999998</v>
      </c>
      <c r="B344" s="20">
        <v>-0.3805</v>
      </c>
      <c r="C344" s="20">
        <v>0.19719999999999999</v>
      </c>
      <c r="D344" s="20">
        <v>-0.29680000000000001</v>
      </c>
      <c r="E344" s="20">
        <v>0.25319999999999998</v>
      </c>
      <c r="F344" s="20">
        <v>-0.24740000000000001</v>
      </c>
      <c r="G344" s="20">
        <v>-6.7400000000000002E-2</v>
      </c>
      <c r="H344" s="20">
        <v>-0.16370000000000001</v>
      </c>
      <c r="I344" s="20">
        <v>8.2900000000000001E-2</v>
      </c>
      <c r="J344" s="20">
        <v>-0.28760000000000002</v>
      </c>
      <c r="K344" s="20">
        <v>0.2616</v>
      </c>
      <c r="L344" s="20">
        <v>-6.6600000000000006E-2</v>
      </c>
      <c r="M344" s="20">
        <v>0.16830000000000001</v>
      </c>
      <c r="N344" s="20">
        <v>-0.15989999999999999</v>
      </c>
      <c r="O344" s="20">
        <v>7.6600000000000001E-2</v>
      </c>
      <c r="P344" s="20">
        <v>-0.1285</v>
      </c>
      <c r="Q344" s="20">
        <v>-0.19209999999999999</v>
      </c>
      <c r="R344" s="20">
        <v>0.1042</v>
      </c>
      <c r="S344" s="20">
        <v>-6.7000000000000002E-3</v>
      </c>
      <c r="T344" s="20">
        <v>0.13519999999999999</v>
      </c>
      <c r="U344" s="20">
        <v>0.1172</v>
      </c>
      <c r="V344" s="20">
        <v>-9.0800000000000006E-2</v>
      </c>
      <c r="W344" s="20">
        <v>5.8999999999999999E-3</v>
      </c>
      <c r="X344" s="20">
        <v>-0.1193</v>
      </c>
      <c r="Y344" s="20">
        <v>7.7899999999999997E-2</v>
      </c>
      <c r="Z344" s="20">
        <v>-9.6699999999999994E-2</v>
      </c>
      <c r="AA344" s="20">
        <v>0.1009</v>
      </c>
      <c r="AB344" s="20">
        <v>2.9700000000000001E-2</v>
      </c>
      <c r="AC344" s="20">
        <v>0.1113</v>
      </c>
      <c r="AD344" s="20">
        <v>-0.1226</v>
      </c>
      <c r="AE344" s="20">
        <v>8.0000000000000004E-4</v>
      </c>
      <c r="AF344" s="20">
        <v>5.4800000000000001E-2</v>
      </c>
      <c r="AG344" s="20">
        <v>8.4099999999999994E-2</v>
      </c>
      <c r="AH344" s="20">
        <v>4.9799999999999997E-2</v>
      </c>
      <c r="AI344" s="20">
        <v>0.12429999999999999</v>
      </c>
      <c r="AJ344" s="20">
        <v>0.15909999999999999</v>
      </c>
      <c r="AK344" s="20">
        <v>-5.0599999999999999E-2</v>
      </c>
      <c r="AL344" s="21">
        <v>-5.8999999999999997E-2</v>
      </c>
    </row>
    <row r="345" spans="1:38">
      <c r="A345" s="20">
        <v>-2.1600000000000001E-2</v>
      </c>
      <c r="B345" s="20">
        <v>-6.8900000000000003E-2</v>
      </c>
      <c r="C345" s="20">
        <v>6.0900000000000003E-2</v>
      </c>
      <c r="D345" s="20">
        <v>0.1573</v>
      </c>
      <c r="E345" s="20">
        <v>0.1293</v>
      </c>
      <c r="F345" s="20">
        <v>0.3135</v>
      </c>
      <c r="G345" s="20">
        <v>0.1356</v>
      </c>
      <c r="H345" s="20">
        <v>9.7799999999999998E-2</v>
      </c>
      <c r="I345" s="20">
        <v>-2.6499999999999999E-2</v>
      </c>
      <c r="J345" s="20">
        <v>-0.1062</v>
      </c>
      <c r="K345" s="20">
        <v>-0.44080000000000003</v>
      </c>
      <c r="L345" s="20">
        <v>4.3299999999999998E-2</v>
      </c>
      <c r="M345" s="20">
        <v>0.1547</v>
      </c>
      <c r="N345" s="20">
        <v>2.4799999999999999E-2</v>
      </c>
      <c r="O345" s="20">
        <v>-0.13250000000000001</v>
      </c>
      <c r="P345" s="20">
        <v>-0.29399999999999998</v>
      </c>
      <c r="Q345" s="20">
        <v>1.7999999999999999E-2</v>
      </c>
      <c r="R345" s="20">
        <v>-2.1399999999999999E-2</v>
      </c>
      <c r="S345" s="20">
        <v>-0.31929999999999997</v>
      </c>
      <c r="T345" s="20">
        <v>-9.3799999999999994E-2</v>
      </c>
      <c r="U345" s="20">
        <v>-0.12559999999999999</v>
      </c>
      <c r="V345" s="20">
        <v>2.24E-2</v>
      </c>
      <c r="W345" s="20">
        <v>0.28079999999999999</v>
      </c>
      <c r="X345" s="20">
        <v>-6.5600000000000006E-2</v>
      </c>
      <c r="Y345" s="20">
        <v>5.2699999999999997E-2</v>
      </c>
      <c r="Z345" s="20">
        <v>0.11360000000000001</v>
      </c>
      <c r="AA345" s="20">
        <v>0.2195</v>
      </c>
      <c r="AB345" s="20">
        <v>-0.38019999999999998</v>
      </c>
      <c r="AC345" s="20">
        <v>0.13300000000000001</v>
      </c>
      <c r="AD345" s="20">
        <v>2.3999999999999998E-3</v>
      </c>
      <c r="AE345" s="20">
        <v>-8.2199999999999995E-2</v>
      </c>
      <c r="AF345" s="20">
        <v>0.1215</v>
      </c>
      <c r="AG345" s="20">
        <v>-1.49E-2</v>
      </c>
      <c r="AH345" s="20">
        <v>-1.5599999999999999E-2</v>
      </c>
      <c r="AI345" s="20">
        <v>0.1022</v>
      </c>
      <c r="AJ345" s="20">
        <v>-5.6500000000000002E-2</v>
      </c>
      <c r="AK345" s="20">
        <v>-3.1899999999999998E-2</v>
      </c>
      <c r="AL345" s="21">
        <v>0.1139</v>
      </c>
    </row>
    <row r="346" spans="1:38">
      <c r="A346" s="20">
        <v>-0.13200000000000001</v>
      </c>
      <c r="B346" s="20">
        <v>0.3458</v>
      </c>
      <c r="C346" s="20">
        <v>-9.9599999999999994E-2</v>
      </c>
      <c r="D346" s="20">
        <v>-2.24E-2</v>
      </c>
      <c r="E346" s="20">
        <v>9.7199999999999995E-2</v>
      </c>
      <c r="F346" s="20">
        <v>-0.25080000000000002</v>
      </c>
      <c r="G346" s="20">
        <v>2.5100000000000001E-2</v>
      </c>
      <c r="H346" s="20">
        <v>0.2064</v>
      </c>
      <c r="I346" s="20">
        <v>0.18479999999999999</v>
      </c>
      <c r="J346" s="20">
        <v>-0.2011</v>
      </c>
      <c r="K346" s="20">
        <v>-1.7600000000000001E-2</v>
      </c>
      <c r="L346" s="20">
        <v>6.4999999999999997E-3</v>
      </c>
      <c r="M346" s="20">
        <v>8.4400000000000003E-2</v>
      </c>
      <c r="N346" s="20">
        <v>-3.73E-2</v>
      </c>
      <c r="O346" s="20">
        <v>-6.8699999999999997E-2</v>
      </c>
      <c r="P346" s="20">
        <v>0.23649999999999999</v>
      </c>
      <c r="Q346" s="20">
        <v>9.5399999999999999E-2</v>
      </c>
      <c r="R346" s="20">
        <v>-0.2104</v>
      </c>
      <c r="S346" s="20">
        <v>-0.26850000000000002</v>
      </c>
      <c r="T346" s="20">
        <v>2.93E-2</v>
      </c>
      <c r="U346" s="20">
        <v>-0.254</v>
      </c>
      <c r="V346" s="20">
        <v>0.19159999999999999</v>
      </c>
      <c r="W346" s="20">
        <v>-2.7900000000000001E-2</v>
      </c>
      <c r="X346" s="20">
        <v>-0.1081</v>
      </c>
      <c r="Y346" s="20">
        <v>-1.01E-2</v>
      </c>
      <c r="Z346" s="20">
        <v>-7.0000000000000007E-2</v>
      </c>
      <c r="AA346" s="20">
        <v>0.09</v>
      </c>
      <c r="AB346" s="20">
        <v>4.0300000000000002E-2</v>
      </c>
      <c r="AC346" s="20">
        <v>0.2452</v>
      </c>
      <c r="AD346" s="20">
        <v>0.20399999999999999</v>
      </c>
      <c r="AE346" s="20">
        <v>0.1336</v>
      </c>
      <c r="AF346" s="20">
        <v>5.5E-2</v>
      </c>
      <c r="AG346" s="20">
        <v>-2.7000000000000001E-3</v>
      </c>
      <c r="AH346" s="20">
        <v>-0.3901</v>
      </c>
      <c r="AI346" s="20">
        <v>-0.1502</v>
      </c>
      <c r="AJ346" s="20">
        <v>5.5100000000000003E-2</v>
      </c>
      <c r="AK346" s="20">
        <v>-0.13769999999999999</v>
      </c>
      <c r="AL346" s="21">
        <v>0.13739999999999999</v>
      </c>
    </row>
    <row r="347" spans="1:38">
      <c r="A347" s="20">
        <v>0.16639999999999999</v>
      </c>
      <c r="B347" s="20">
        <v>2.6800000000000001E-2</v>
      </c>
      <c r="C347" s="20">
        <v>0.19950000000000001</v>
      </c>
      <c r="D347" s="20">
        <v>-9.2999999999999999E-2</v>
      </c>
      <c r="E347" s="20">
        <v>2.8500000000000001E-2</v>
      </c>
      <c r="F347" s="20">
        <v>8.1299999999999997E-2</v>
      </c>
      <c r="G347" s="20">
        <v>-6.7299999999999999E-2</v>
      </c>
      <c r="H347" s="20">
        <v>-0.48309999999999997</v>
      </c>
      <c r="I347" s="20">
        <v>-0.1173</v>
      </c>
      <c r="J347" s="20">
        <v>-8.5599999999999996E-2</v>
      </c>
      <c r="K347" s="20">
        <v>0.17180000000000001</v>
      </c>
      <c r="L347" s="20">
        <v>-8.5300000000000001E-2</v>
      </c>
      <c r="M347" s="20">
        <v>4.4200000000000003E-2</v>
      </c>
      <c r="N347" s="20">
        <v>0.18010000000000001</v>
      </c>
      <c r="O347" s="20">
        <v>0.26140000000000002</v>
      </c>
      <c r="P347" s="20">
        <v>-0.1404</v>
      </c>
      <c r="Q347" s="20">
        <v>-0.11409999999999999</v>
      </c>
      <c r="R347" s="20">
        <v>7.7000000000000002E-3</v>
      </c>
      <c r="S347" s="20">
        <v>-0.2477</v>
      </c>
      <c r="T347" s="20">
        <v>-0.1978</v>
      </c>
      <c r="U347" s="20">
        <v>2.1700000000000001E-2</v>
      </c>
      <c r="V347" s="20">
        <v>-0.13980000000000001</v>
      </c>
      <c r="W347" s="20">
        <v>2.7400000000000001E-2</v>
      </c>
      <c r="X347" s="20">
        <v>2.8500000000000001E-2</v>
      </c>
      <c r="Y347" s="20">
        <v>-0.1033</v>
      </c>
      <c r="Z347" s="20">
        <v>-1.6799999999999999E-2</v>
      </c>
      <c r="AA347" s="20">
        <v>-0.22520000000000001</v>
      </c>
      <c r="AB347" s="20">
        <v>0.2172</v>
      </c>
      <c r="AC347" s="20">
        <v>0.3039</v>
      </c>
      <c r="AD347" s="20">
        <v>0.1487</v>
      </c>
      <c r="AE347" s="20">
        <v>-6.88E-2</v>
      </c>
      <c r="AF347" s="20">
        <v>0.28510000000000002</v>
      </c>
      <c r="AG347" s="20">
        <v>1.1000000000000001E-3</v>
      </c>
      <c r="AH347" s="20">
        <v>0.16270000000000001</v>
      </c>
      <c r="AI347" s="20">
        <v>3.7999999999999999E-2</v>
      </c>
      <c r="AJ347" s="20">
        <v>1.5100000000000001E-2</v>
      </c>
      <c r="AK347" s="20">
        <v>-0.11409999999999999</v>
      </c>
      <c r="AL347" s="21">
        <v>-0.10929999999999999</v>
      </c>
    </row>
    <row r="348" spans="1:38">
      <c r="A348" s="20">
        <v>0.27650000000000002</v>
      </c>
      <c r="B348" s="20">
        <v>-0.30120000000000002</v>
      </c>
      <c r="C348" s="20">
        <v>4.5100000000000001E-2</v>
      </c>
      <c r="D348" s="20">
        <v>-0.34010000000000001</v>
      </c>
      <c r="E348" s="20">
        <v>0.25540000000000002</v>
      </c>
      <c r="F348" s="20">
        <v>-0.1101</v>
      </c>
      <c r="G348" s="20">
        <v>-0.14530000000000001</v>
      </c>
      <c r="H348" s="20">
        <v>-0.1769</v>
      </c>
      <c r="I348" s="20">
        <v>4.1399999999999999E-2</v>
      </c>
      <c r="J348" s="20">
        <v>-0.28410000000000002</v>
      </c>
      <c r="K348" s="20">
        <v>0.39929999999999999</v>
      </c>
      <c r="L348" s="20">
        <v>8.5000000000000006E-2</v>
      </c>
      <c r="M348" s="20">
        <v>0.26490000000000002</v>
      </c>
      <c r="N348" s="20">
        <v>-9.0800000000000006E-2</v>
      </c>
      <c r="O348" s="20">
        <v>-4.5100000000000001E-2</v>
      </c>
      <c r="P348" s="20">
        <v>-8.5400000000000004E-2</v>
      </c>
      <c r="Q348" s="20">
        <v>-0.16200000000000001</v>
      </c>
      <c r="R348" s="20">
        <v>1.4500000000000001E-2</v>
      </c>
      <c r="S348" s="20">
        <v>-0.04</v>
      </c>
      <c r="T348" s="20">
        <v>9.74E-2</v>
      </c>
      <c r="U348" s="20">
        <v>0.1777</v>
      </c>
      <c r="V348" s="20">
        <v>-9.3399999999999997E-2</v>
      </c>
      <c r="W348" s="20">
        <v>5.3400000000000003E-2</v>
      </c>
      <c r="X348" s="20">
        <v>-0.19040000000000001</v>
      </c>
      <c r="Y348" s="20">
        <v>0.20569999999999999</v>
      </c>
      <c r="Z348" s="20">
        <v>-0.12859999999999999</v>
      </c>
      <c r="AA348" s="20">
        <v>6.83E-2</v>
      </c>
      <c r="AB348" s="20">
        <v>5.6000000000000001E-2</v>
      </c>
      <c r="AC348" s="20">
        <v>3.78E-2</v>
      </c>
      <c r="AD348" s="20">
        <v>-0.13039999999999999</v>
      </c>
      <c r="AE348" s="20">
        <v>-4.7000000000000002E-3</v>
      </c>
      <c r="AF348" s="20">
        <v>0.14899999999999999</v>
      </c>
      <c r="AG348" s="20">
        <v>1.78E-2</v>
      </c>
      <c r="AH348" s="20">
        <v>1.8E-3</v>
      </c>
      <c r="AI348" s="20">
        <v>-4.6899999999999997E-2</v>
      </c>
      <c r="AJ348" s="20">
        <v>4.9099999999999998E-2</v>
      </c>
      <c r="AK348" s="20">
        <v>0.13189999999999999</v>
      </c>
      <c r="AL348" s="21">
        <v>-4.3999999999999997E-2</v>
      </c>
    </row>
    <row r="349" spans="1:38">
      <c r="A349" s="20">
        <v>0.1008</v>
      </c>
      <c r="B349" s="20">
        <v>0.41149999999999998</v>
      </c>
      <c r="C349" s="20">
        <v>0.30830000000000002</v>
      </c>
      <c r="D349" s="20">
        <v>0.16350000000000001</v>
      </c>
      <c r="E349" s="20">
        <v>-1.9599999999999999E-2</v>
      </c>
      <c r="F349" s="20">
        <v>4.3400000000000001E-2</v>
      </c>
      <c r="G349" s="20">
        <v>1.7000000000000001E-2</v>
      </c>
      <c r="H349" s="20">
        <v>7.1000000000000004E-3</v>
      </c>
      <c r="I349" s="20">
        <v>0.1</v>
      </c>
      <c r="J349" s="20">
        <v>-0.10879999999999999</v>
      </c>
      <c r="K349" s="20">
        <v>2.8299999999999999E-2</v>
      </c>
      <c r="L349" s="20">
        <v>2.58E-2</v>
      </c>
      <c r="M349" s="20">
        <v>-1.4500000000000001E-2</v>
      </c>
      <c r="N349" s="20">
        <v>0.1308</v>
      </c>
      <c r="O349" s="20">
        <v>0.105</v>
      </c>
      <c r="P349" s="20">
        <v>-5.3100000000000001E-2</v>
      </c>
      <c r="Q349" s="20">
        <v>-6.93E-2</v>
      </c>
      <c r="R349" s="20">
        <v>-0.22770000000000001</v>
      </c>
      <c r="S349" s="20">
        <v>0.17610000000000001</v>
      </c>
      <c r="T349" s="20">
        <v>-0.36749999999999999</v>
      </c>
      <c r="U349" s="20">
        <v>-0.17730000000000001</v>
      </c>
      <c r="V349" s="20">
        <v>-0.32079999999999997</v>
      </c>
      <c r="W349" s="20">
        <v>-0.1021</v>
      </c>
      <c r="X349" s="20">
        <v>-0.1827</v>
      </c>
      <c r="Y349" s="20">
        <v>7.4800000000000005E-2</v>
      </c>
      <c r="Z349" s="20">
        <v>5.7000000000000002E-3</v>
      </c>
      <c r="AA349" s="20">
        <v>2.1299999999999999E-2</v>
      </c>
      <c r="AB349" s="20">
        <v>0.36220000000000002</v>
      </c>
      <c r="AC349" s="20">
        <v>-6.3600000000000004E-2</v>
      </c>
      <c r="AD349" s="20">
        <v>-0.12130000000000001</v>
      </c>
      <c r="AE349" s="20">
        <v>-0.2281</v>
      </c>
      <c r="AF349" s="20">
        <v>-4.9599999999999998E-2</v>
      </c>
      <c r="AG349" s="20">
        <v>3.6600000000000001E-2</v>
      </c>
      <c r="AH349" s="20">
        <v>0.112</v>
      </c>
      <c r="AI349" s="20">
        <v>-0.12839999999999999</v>
      </c>
      <c r="AJ349" s="20">
        <v>5.1999999999999998E-3</v>
      </c>
      <c r="AK349" s="20">
        <v>-8.9999999999999998E-4</v>
      </c>
      <c r="AL349" s="21">
        <v>1.8E-3</v>
      </c>
    </row>
    <row r="350" spans="1:38">
      <c r="A350" s="20">
        <v>7.6E-3</v>
      </c>
      <c r="B350" s="20">
        <v>0.1976</v>
      </c>
      <c r="C350" s="20">
        <v>-0.1087</v>
      </c>
      <c r="D350" s="20">
        <v>0.27339999999999998</v>
      </c>
      <c r="E350" s="20">
        <v>0.30349999999999999</v>
      </c>
      <c r="F350" s="20">
        <v>-8.9999999999999993E-3</v>
      </c>
      <c r="G350" s="20">
        <v>-0.23569999999999999</v>
      </c>
      <c r="H350" s="20">
        <v>-0.1603</v>
      </c>
      <c r="I350" s="20">
        <v>9.9699999999999997E-2</v>
      </c>
      <c r="J350" s="20">
        <v>-0.17019999999999999</v>
      </c>
      <c r="K350" s="20">
        <v>0.33589999999999998</v>
      </c>
      <c r="L350" s="20">
        <v>4.9399999999999999E-2</v>
      </c>
      <c r="M350" s="20">
        <v>7.3200000000000001E-2</v>
      </c>
      <c r="N350" s="20">
        <v>0.44180000000000003</v>
      </c>
      <c r="O350" s="20">
        <v>-2.7000000000000001E-3</v>
      </c>
      <c r="P350" s="20">
        <v>2.3300000000000001E-2</v>
      </c>
      <c r="Q350" s="20">
        <v>0.11310000000000001</v>
      </c>
      <c r="R350" s="20">
        <v>8.9999999999999993E-3</v>
      </c>
      <c r="S350" s="20">
        <v>-4.0000000000000001E-3</v>
      </c>
      <c r="T350" s="20">
        <v>6.9099999999999995E-2</v>
      </c>
      <c r="U350" s="20">
        <v>-0.123</v>
      </c>
      <c r="V350" s="20">
        <v>-4.8500000000000001E-2</v>
      </c>
      <c r="W350" s="20">
        <v>-6.6500000000000004E-2</v>
      </c>
      <c r="X350" s="20">
        <v>-0.15</v>
      </c>
      <c r="Y350" s="20">
        <v>-0.12839999999999999</v>
      </c>
      <c r="Z350" s="20">
        <v>1.66E-2</v>
      </c>
      <c r="AA350" s="20">
        <v>-4.36E-2</v>
      </c>
      <c r="AB350" s="20">
        <v>0.1109</v>
      </c>
      <c r="AC350" s="20">
        <v>6.7299999999999999E-2</v>
      </c>
      <c r="AD350" s="20">
        <v>-0.31879999999999997</v>
      </c>
      <c r="AE350" s="20">
        <v>2.4199999999999999E-2</v>
      </c>
      <c r="AF350" s="20">
        <v>-4.7600000000000003E-2</v>
      </c>
      <c r="AG350" s="20">
        <v>-0.22409999999999999</v>
      </c>
      <c r="AH350" s="20">
        <v>-0.1971</v>
      </c>
      <c r="AI350" s="20">
        <v>-9.1600000000000001E-2</v>
      </c>
      <c r="AJ350" s="20">
        <v>7.3599999999999999E-2</v>
      </c>
      <c r="AK350" s="20">
        <v>4.8899999999999999E-2</v>
      </c>
      <c r="AL350" s="21">
        <v>-0.1958</v>
      </c>
    </row>
    <row r="351" spans="1:38">
      <c r="A351" s="20">
        <v>0.22750000000000001</v>
      </c>
      <c r="B351" s="20">
        <v>0.34539999999999998</v>
      </c>
      <c r="C351" s="20">
        <v>-0.12690000000000001</v>
      </c>
      <c r="D351" s="20">
        <v>-0.2145</v>
      </c>
      <c r="E351" s="20">
        <v>0.1794</v>
      </c>
      <c r="F351" s="20">
        <v>-7.1800000000000003E-2</v>
      </c>
      <c r="G351" s="20">
        <v>7.1400000000000005E-2</v>
      </c>
      <c r="H351" s="20">
        <v>-0.1176</v>
      </c>
      <c r="I351" s="20">
        <v>-5.2200000000000003E-2</v>
      </c>
      <c r="J351" s="20">
        <v>0.1076</v>
      </c>
      <c r="K351" s="20">
        <v>8.5400000000000004E-2</v>
      </c>
      <c r="L351" s="20">
        <v>-5.62E-2</v>
      </c>
      <c r="M351" s="20">
        <v>-0.23</v>
      </c>
      <c r="N351" s="20">
        <v>8.3099999999999993E-2</v>
      </c>
      <c r="O351" s="20">
        <v>0.1278</v>
      </c>
      <c r="P351" s="20">
        <v>9.1700000000000004E-2</v>
      </c>
      <c r="Q351" s="20">
        <v>-0.16389999999999999</v>
      </c>
      <c r="R351" s="20">
        <v>0.41170000000000001</v>
      </c>
      <c r="S351" s="20">
        <v>-5.3499999999999999E-2</v>
      </c>
      <c r="T351" s="20">
        <v>-0.15509999999999999</v>
      </c>
      <c r="U351" s="20">
        <v>-0.32269999999999999</v>
      </c>
      <c r="V351" s="20">
        <v>8.6699999999999999E-2</v>
      </c>
      <c r="W351" s="20">
        <v>-0.13500000000000001</v>
      </c>
      <c r="X351" s="20">
        <v>-0.14729999999999999</v>
      </c>
      <c r="Y351" s="20">
        <v>-2.8799999999999999E-2</v>
      </c>
      <c r="Z351" s="20">
        <v>0.22900000000000001</v>
      </c>
      <c r="AA351" s="20">
        <v>0.1908</v>
      </c>
      <c r="AB351" s="20">
        <v>-0.11990000000000001</v>
      </c>
      <c r="AC351" s="20">
        <v>-0.25230000000000002</v>
      </c>
      <c r="AD351" s="20">
        <v>-7.8299999999999995E-2</v>
      </c>
      <c r="AE351" s="20">
        <v>-0.1</v>
      </c>
      <c r="AF351" s="20">
        <v>5.6399999999999999E-2</v>
      </c>
      <c r="AG351" s="20">
        <v>0.15329999999999999</v>
      </c>
      <c r="AH351" s="20">
        <v>1.9E-2</v>
      </c>
      <c r="AI351" s="20">
        <v>1.52E-2</v>
      </c>
      <c r="AJ351" s="20">
        <v>-1.12E-2</v>
      </c>
      <c r="AK351" s="20">
        <v>6.3899999999999998E-2</v>
      </c>
      <c r="AL351" s="21">
        <v>-0.1053</v>
      </c>
    </row>
    <row r="352" spans="1:38">
      <c r="A352" s="20">
        <v>0.4163</v>
      </c>
      <c r="B352" s="20">
        <v>-0.33900000000000002</v>
      </c>
      <c r="C352" s="20">
        <v>5.7000000000000002E-2</v>
      </c>
      <c r="D352" s="20">
        <v>-0.13880000000000001</v>
      </c>
      <c r="E352" s="20">
        <v>0.1454</v>
      </c>
      <c r="F352" s="20">
        <v>4.0000000000000001E-3</v>
      </c>
      <c r="G352" s="20">
        <v>2.3E-2</v>
      </c>
      <c r="H352" s="20">
        <v>-3.0999999999999999E-3</v>
      </c>
      <c r="I352" s="20">
        <v>-0.1653</v>
      </c>
      <c r="J352" s="20">
        <v>-0.15029999999999999</v>
      </c>
      <c r="K352" s="20">
        <v>1.6400000000000001E-2</v>
      </c>
      <c r="L352" s="20">
        <v>0.23780000000000001</v>
      </c>
      <c r="M352" s="20">
        <v>-6.1999999999999998E-3</v>
      </c>
      <c r="N352" s="20">
        <v>-0.1215</v>
      </c>
      <c r="O352" s="20">
        <v>6.9800000000000001E-2</v>
      </c>
      <c r="P352" s="20">
        <v>-6.5000000000000002E-2</v>
      </c>
      <c r="Q352" s="20">
        <v>5.2200000000000003E-2</v>
      </c>
      <c r="R352" s="20">
        <v>-0.1047</v>
      </c>
      <c r="S352" s="20">
        <v>-3.7600000000000001E-2</v>
      </c>
      <c r="T352" s="20">
        <v>0.13389999999999999</v>
      </c>
      <c r="U352" s="20">
        <v>-2.3E-2</v>
      </c>
      <c r="V352" s="20">
        <v>0.27529999999999999</v>
      </c>
      <c r="W352" s="20">
        <v>-0.14360000000000001</v>
      </c>
      <c r="X352" s="20">
        <v>0.3226</v>
      </c>
      <c r="Y352" s="20">
        <v>5.2200000000000003E-2</v>
      </c>
      <c r="Z352" s="20">
        <v>-8.6599999999999996E-2</v>
      </c>
      <c r="AA352" s="20">
        <v>-7.3400000000000007E-2</v>
      </c>
      <c r="AB352" s="20">
        <v>0.08</v>
      </c>
      <c r="AC352" s="20">
        <v>-0.10780000000000001</v>
      </c>
      <c r="AD352" s="20">
        <v>-0.2616</v>
      </c>
      <c r="AE352" s="20">
        <v>-0.16789999999999999</v>
      </c>
      <c r="AF352" s="20">
        <v>0.21299999999999999</v>
      </c>
      <c r="AG352" s="20">
        <v>-0.1724</v>
      </c>
      <c r="AH352" s="20">
        <v>-0.19359999999999999</v>
      </c>
      <c r="AI352" s="20">
        <v>0.21959999999999999</v>
      </c>
      <c r="AJ352" s="20">
        <v>-3.8899999999999997E-2</v>
      </c>
      <c r="AK352" s="20">
        <v>0.1012</v>
      </c>
      <c r="AL352" s="21">
        <v>-5.3E-3</v>
      </c>
    </row>
    <row r="353" spans="1:38">
      <c r="A353" s="20">
        <v>-0.16450000000000001</v>
      </c>
      <c r="B353" s="20">
        <v>-0.1847</v>
      </c>
      <c r="C353" s="20">
        <v>0.1361</v>
      </c>
      <c r="D353" s="20">
        <v>-0.18679999999999999</v>
      </c>
      <c r="E353" s="20">
        <v>-0.1736</v>
      </c>
      <c r="F353" s="20">
        <v>3.3E-3</v>
      </c>
      <c r="G353" s="20">
        <v>-0.21609999999999999</v>
      </c>
      <c r="H353" s="20">
        <v>-0.1167</v>
      </c>
      <c r="I353" s="20">
        <v>0.52990000000000004</v>
      </c>
      <c r="J353" s="20">
        <v>0.3296</v>
      </c>
      <c r="K353" s="20">
        <v>-6.3799999999999996E-2</v>
      </c>
      <c r="L353" s="20">
        <v>0.13239999999999999</v>
      </c>
      <c r="M353" s="20">
        <v>-2.06E-2</v>
      </c>
      <c r="N353" s="20">
        <v>-0.15279999999999999</v>
      </c>
      <c r="O353" s="20">
        <v>0.1246</v>
      </c>
      <c r="P353" s="20">
        <v>6.0299999999999999E-2</v>
      </c>
      <c r="Q353" s="20">
        <v>7.6399999999999996E-2</v>
      </c>
      <c r="R353" s="20">
        <v>0.2109</v>
      </c>
      <c r="S353" s="20">
        <v>-0.1193</v>
      </c>
      <c r="T353" s="20">
        <v>0.16900000000000001</v>
      </c>
      <c r="U353" s="20">
        <v>5.4199999999999998E-2</v>
      </c>
      <c r="V353" s="20">
        <v>5.62E-2</v>
      </c>
      <c r="W353" s="20">
        <v>-6.9900000000000004E-2</v>
      </c>
      <c r="X353" s="20">
        <v>-9.1999999999999998E-2</v>
      </c>
      <c r="Y353" s="20">
        <v>6.3600000000000004E-2</v>
      </c>
      <c r="Z353" s="20">
        <v>-7.0499999999999993E-2</v>
      </c>
      <c r="AA353" s="20">
        <v>0.21940000000000001</v>
      </c>
      <c r="AB353" s="20">
        <v>8.0500000000000002E-2</v>
      </c>
      <c r="AC353" s="20">
        <v>-0.24460000000000001</v>
      </c>
      <c r="AD353" s="20">
        <v>-7.7499999999999999E-2</v>
      </c>
      <c r="AE353" s="20">
        <v>-2.2100000000000002E-2</v>
      </c>
      <c r="AF353" s="20">
        <v>2.3900000000000001E-2</v>
      </c>
      <c r="AG353" s="20">
        <v>0.1278</v>
      </c>
      <c r="AH353" s="20">
        <v>-0.13300000000000001</v>
      </c>
      <c r="AI353" s="20">
        <v>-0.14499999999999999</v>
      </c>
      <c r="AJ353" s="20">
        <v>8.1799999999999998E-2</v>
      </c>
      <c r="AK353" s="20">
        <v>-3.95E-2</v>
      </c>
      <c r="AL353" s="21">
        <v>-0.186</v>
      </c>
    </row>
    <row r="354" spans="1:38">
      <c r="A354" s="20">
        <v>8.3999999999999995E-3</v>
      </c>
      <c r="B354" s="20">
        <v>-0.46729999999999999</v>
      </c>
      <c r="C354" s="20">
        <v>9.7000000000000003E-2</v>
      </c>
      <c r="D354" s="20">
        <v>-0.45929999999999999</v>
      </c>
      <c r="E354" s="20">
        <v>5.7200000000000001E-2</v>
      </c>
      <c r="F354" s="20">
        <v>0.2306</v>
      </c>
      <c r="G354" s="20">
        <v>-5.1000000000000004E-3</v>
      </c>
      <c r="H354" s="20">
        <v>-7.4200000000000002E-2</v>
      </c>
      <c r="I354" s="20">
        <v>0.3725</v>
      </c>
      <c r="J354" s="20">
        <v>-0.1045</v>
      </c>
      <c r="K354" s="20">
        <v>-2.3E-3</v>
      </c>
      <c r="L354" s="20">
        <v>4.2999999999999997E-2</v>
      </c>
      <c r="M354" s="20">
        <v>4.9799999999999997E-2</v>
      </c>
      <c r="N354" s="20">
        <v>-4.3299999999999998E-2</v>
      </c>
      <c r="O354" s="20">
        <v>-0.03</v>
      </c>
      <c r="P354" s="20">
        <v>-0.25669999999999998</v>
      </c>
      <c r="Q354" s="20">
        <v>2.0199999999999999E-2</v>
      </c>
      <c r="R354" s="20">
        <v>-2.4E-2</v>
      </c>
      <c r="S354" s="20">
        <v>0.10680000000000001</v>
      </c>
      <c r="T354" s="20">
        <v>-2.23E-2</v>
      </c>
      <c r="U354" s="20">
        <v>-0.13450000000000001</v>
      </c>
      <c r="V354" s="20">
        <v>0.19339999999999999</v>
      </c>
      <c r="W354" s="20">
        <v>0.14499999999999999</v>
      </c>
      <c r="X354" s="20">
        <v>3.9600000000000003E-2</v>
      </c>
      <c r="Y354" s="20">
        <v>-0.14940000000000001</v>
      </c>
      <c r="Z354" s="20">
        <v>-0.10290000000000001</v>
      </c>
      <c r="AA354" s="20">
        <v>2.3699999999999999E-2</v>
      </c>
      <c r="AB354" s="20">
        <v>0.16869999999999999</v>
      </c>
      <c r="AC354" s="20">
        <v>3.5000000000000001E-3</v>
      </c>
      <c r="AD354" s="20">
        <v>-3.1899999999999998E-2</v>
      </c>
      <c r="AE354" s="20">
        <v>0.2185</v>
      </c>
      <c r="AF354" s="20">
        <v>7.1999999999999998E-3</v>
      </c>
      <c r="AG354" s="20">
        <v>5.6500000000000002E-2</v>
      </c>
      <c r="AH354" s="20">
        <v>-0.13150000000000001</v>
      </c>
      <c r="AI354" s="20">
        <v>4.2799999999999998E-2</v>
      </c>
      <c r="AJ354" s="20">
        <v>-6.3100000000000003E-2</v>
      </c>
      <c r="AK354" s="20">
        <v>0.22009999999999999</v>
      </c>
      <c r="AL354" s="21">
        <v>-8.6E-3</v>
      </c>
    </row>
    <row r="355" spans="1:38">
      <c r="A355" s="20">
        <v>-1.54E-2</v>
      </c>
      <c r="B355" s="20">
        <v>0.17419999999999999</v>
      </c>
      <c r="C355" s="20">
        <v>0.2656</v>
      </c>
      <c r="D355" s="20">
        <v>-0.13270000000000001</v>
      </c>
      <c r="E355" s="20">
        <v>0.37069999999999997</v>
      </c>
      <c r="F355" s="20">
        <v>-0.1426</v>
      </c>
      <c r="G355" s="20">
        <v>4.4999999999999998E-2</v>
      </c>
      <c r="H355" s="20">
        <v>-0.31659999999999999</v>
      </c>
      <c r="I355" s="20">
        <v>5.4399999999999997E-2</v>
      </c>
      <c r="J355" s="20">
        <v>-0.16309999999999999</v>
      </c>
      <c r="K355" s="20">
        <v>0.32540000000000002</v>
      </c>
      <c r="L355" s="20">
        <v>7.9399999999999998E-2</v>
      </c>
      <c r="M355" s="20">
        <v>4.6699999999999998E-2</v>
      </c>
      <c r="N355" s="20">
        <v>0.27560000000000001</v>
      </c>
      <c r="O355" s="20">
        <v>-4.2999999999999997E-2</v>
      </c>
      <c r="P355" s="20">
        <v>-3.0999999999999999E-3</v>
      </c>
      <c r="Q355" s="20">
        <v>-2.2200000000000001E-2</v>
      </c>
      <c r="R355" s="20">
        <v>-0.21299999999999999</v>
      </c>
      <c r="S355" s="20">
        <v>8.3000000000000001E-3</v>
      </c>
      <c r="T355" s="20">
        <v>-2.9999999999999997E-4</v>
      </c>
      <c r="U355" s="20">
        <v>2.6200000000000001E-2</v>
      </c>
      <c r="V355" s="20">
        <v>-8.14E-2</v>
      </c>
      <c r="W355" s="20">
        <v>9.6500000000000002E-2</v>
      </c>
      <c r="X355" s="20">
        <v>-8.6800000000000002E-2</v>
      </c>
      <c r="Y355" s="20">
        <v>-9.2799999999999994E-2</v>
      </c>
      <c r="Z355" s="20">
        <v>8.2600000000000007E-2</v>
      </c>
      <c r="AA355" s="20">
        <v>0.3009</v>
      </c>
      <c r="AB355" s="20">
        <v>-3.1E-2</v>
      </c>
      <c r="AC355" s="20">
        <v>-0.1033</v>
      </c>
      <c r="AD355" s="20">
        <v>-0.26050000000000001</v>
      </c>
      <c r="AE355" s="20">
        <v>-0.19700000000000001</v>
      </c>
      <c r="AF355" s="20">
        <v>-0.16400000000000001</v>
      </c>
      <c r="AG355" s="20">
        <v>6.6100000000000006E-2</v>
      </c>
      <c r="AH355" s="20">
        <v>-0.16139999999999999</v>
      </c>
      <c r="AI355" s="20">
        <v>-0.15690000000000001</v>
      </c>
      <c r="AJ355" s="20">
        <v>0.111</v>
      </c>
      <c r="AK355" s="20">
        <v>9.8199999999999996E-2</v>
      </c>
      <c r="AL355" s="21">
        <v>-3.4200000000000001E-2</v>
      </c>
    </row>
    <row r="356" spans="1:38">
      <c r="A356" s="20">
        <v>0.437</v>
      </c>
      <c r="B356" s="20">
        <v>-0.435</v>
      </c>
      <c r="C356" s="20">
        <v>-0.12520000000000001</v>
      </c>
      <c r="D356" s="20">
        <v>0.14149999999999999</v>
      </c>
      <c r="E356" s="20">
        <v>0.31259999999999999</v>
      </c>
      <c r="F356" s="20">
        <v>4.9599999999999998E-2</v>
      </c>
      <c r="G356" s="20">
        <v>-0.1085</v>
      </c>
      <c r="H356" s="20">
        <v>-0.1134</v>
      </c>
      <c r="I356" s="20">
        <v>-2.93E-2</v>
      </c>
      <c r="J356" s="20">
        <v>0.21629999999999999</v>
      </c>
      <c r="K356" s="20">
        <v>-9.5100000000000004E-2</v>
      </c>
      <c r="L356" s="20">
        <v>-3.78E-2</v>
      </c>
      <c r="M356" s="20">
        <v>-1.26E-2</v>
      </c>
      <c r="N356" s="20">
        <v>-0.22770000000000001</v>
      </c>
      <c r="O356" s="20">
        <v>-6.9099999999999995E-2</v>
      </c>
      <c r="P356" s="20">
        <v>-6.1800000000000001E-2</v>
      </c>
      <c r="Q356" s="20">
        <v>-0.1232</v>
      </c>
      <c r="R356" s="20">
        <v>1.14E-2</v>
      </c>
      <c r="S356" s="20">
        <v>-1.83E-2</v>
      </c>
      <c r="T356" s="20">
        <v>-3.7400000000000003E-2</v>
      </c>
      <c r="U356" s="20">
        <v>8.5400000000000004E-2</v>
      </c>
      <c r="V356" s="20">
        <v>4.19E-2</v>
      </c>
      <c r="W356" s="20">
        <v>-0.12640000000000001</v>
      </c>
      <c r="X356" s="20">
        <v>2.7199999999999998E-2</v>
      </c>
      <c r="Y356" s="20">
        <v>-0.1268</v>
      </c>
      <c r="Z356" s="20">
        <v>-0.22109999999999999</v>
      </c>
      <c r="AA356" s="20">
        <v>0.1094</v>
      </c>
      <c r="AB356" s="20">
        <v>0.122</v>
      </c>
      <c r="AC356" s="20">
        <v>6.9500000000000006E-2</v>
      </c>
      <c r="AD356" s="20">
        <v>0.14269999999999999</v>
      </c>
      <c r="AE356" s="20">
        <v>9.7999999999999997E-3</v>
      </c>
      <c r="AF356" s="20">
        <v>-0.1915</v>
      </c>
      <c r="AG356" s="20">
        <v>4.5100000000000001E-2</v>
      </c>
      <c r="AH356" s="20">
        <v>-6.83E-2</v>
      </c>
      <c r="AI356" s="20">
        <v>-0.15690000000000001</v>
      </c>
      <c r="AJ356" s="20">
        <v>0.23250000000000001</v>
      </c>
      <c r="AK356" s="20">
        <v>0.16550000000000001</v>
      </c>
      <c r="AL356" s="21">
        <v>0.17680000000000001</v>
      </c>
    </row>
    <row r="357" spans="1:38">
      <c r="A357" s="20">
        <v>3.9399999999999998E-2</v>
      </c>
      <c r="B357" s="20">
        <v>0.35749999999999998</v>
      </c>
      <c r="C357" s="20">
        <v>-0.24179999999999999</v>
      </c>
      <c r="D357" s="20">
        <v>0.13500000000000001</v>
      </c>
      <c r="E357" s="20">
        <v>-5.8000000000000003E-2</v>
      </c>
      <c r="F357" s="20">
        <v>2.0799999999999999E-2</v>
      </c>
      <c r="G357" s="20">
        <v>9.1999999999999998E-2</v>
      </c>
      <c r="H357" s="20">
        <v>-9.1899999999999996E-2</v>
      </c>
      <c r="I357" s="20">
        <v>0.18459999999999999</v>
      </c>
      <c r="J357" s="20">
        <v>2.8E-3</v>
      </c>
      <c r="K357" s="20">
        <v>0.17269999999999999</v>
      </c>
      <c r="L357" s="20">
        <v>-0.20810000000000001</v>
      </c>
      <c r="M357" s="20">
        <v>-0.27839999999999998</v>
      </c>
      <c r="N357" s="20">
        <v>-0.29830000000000001</v>
      </c>
      <c r="O357" s="20">
        <v>0.1605</v>
      </c>
      <c r="P357" s="20">
        <v>0.15690000000000001</v>
      </c>
      <c r="Q357" s="20">
        <v>0.1734</v>
      </c>
      <c r="R357" s="20">
        <v>-9.5500000000000002E-2</v>
      </c>
      <c r="S357" s="20">
        <v>0.18940000000000001</v>
      </c>
      <c r="T357" s="20">
        <v>0.1802</v>
      </c>
      <c r="U357" s="20">
        <v>9.1600000000000001E-2</v>
      </c>
      <c r="V357" s="20">
        <v>-9.7199999999999995E-2</v>
      </c>
      <c r="W357" s="20">
        <v>9.3100000000000002E-2</v>
      </c>
      <c r="X357" s="20">
        <v>-6.1600000000000002E-2</v>
      </c>
      <c r="Y357" s="20">
        <v>-0.14829999999999999</v>
      </c>
      <c r="Z357" s="20">
        <v>-0.25669999999999998</v>
      </c>
      <c r="AA357" s="20">
        <v>3.9100000000000003E-2</v>
      </c>
      <c r="AB357" s="20">
        <v>1.2999999999999999E-3</v>
      </c>
      <c r="AC357" s="20">
        <v>0.1196</v>
      </c>
      <c r="AD357" s="20">
        <v>4.9200000000000001E-2</v>
      </c>
      <c r="AE357" s="20">
        <v>-0.25879999999999997</v>
      </c>
      <c r="AF357" s="20">
        <v>0.11260000000000001</v>
      </c>
      <c r="AG357" s="20">
        <v>9.1300000000000006E-2</v>
      </c>
      <c r="AH357" s="20">
        <v>-8.48E-2</v>
      </c>
      <c r="AI357" s="20">
        <v>4.6300000000000001E-2</v>
      </c>
      <c r="AJ357" s="20">
        <v>-0.32840000000000003</v>
      </c>
      <c r="AK357" s="20">
        <v>8.9999999999999998E-4</v>
      </c>
      <c r="AL357" s="21">
        <v>-4.0000000000000001E-3</v>
      </c>
    </row>
    <row r="358" spans="1:38">
      <c r="A358" s="20">
        <v>0.2382</v>
      </c>
      <c r="B358" s="20">
        <v>-0.41870000000000002</v>
      </c>
      <c r="C358" s="20">
        <v>0.1249</v>
      </c>
      <c r="D358" s="20">
        <v>-0.43309999999999998</v>
      </c>
      <c r="E358" s="20">
        <v>0.1946</v>
      </c>
      <c r="F358" s="20">
        <v>-0.153</v>
      </c>
      <c r="G358" s="20">
        <v>-0.1714</v>
      </c>
      <c r="H358" s="20">
        <v>3.3599999999999998E-2</v>
      </c>
      <c r="I358" s="20">
        <v>-8.1600000000000006E-2</v>
      </c>
      <c r="J358" s="20">
        <v>-4.7300000000000002E-2</v>
      </c>
      <c r="K358" s="20">
        <v>0.2631</v>
      </c>
      <c r="L358" s="20">
        <v>-1.77E-2</v>
      </c>
      <c r="M358" s="20">
        <v>0.12559999999999999</v>
      </c>
      <c r="N358" s="20">
        <v>1.26E-2</v>
      </c>
      <c r="O358" s="20">
        <v>-0.23280000000000001</v>
      </c>
      <c r="P358" s="20">
        <v>0.1032</v>
      </c>
      <c r="Q358" s="20">
        <v>-4.87E-2</v>
      </c>
      <c r="R358" s="20">
        <v>-3.1E-2</v>
      </c>
      <c r="S358" s="20">
        <v>7.2900000000000006E-2</v>
      </c>
      <c r="T358" s="20">
        <v>3.9E-2</v>
      </c>
      <c r="U358" s="20">
        <v>2.8999999999999998E-3</v>
      </c>
      <c r="V358" s="20">
        <v>-0.1386</v>
      </c>
      <c r="W358" s="20">
        <v>-2.8199999999999999E-2</v>
      </c>
      <c r="X358" s="20">
        <v>0.30430000000000001</v>
      </c>
      <c r="Y358" s="20">
        <v>0.1173</v>
      </c>
      <c r="Z358" s="20">
        <v>-3.7900000000000003E-2</v>
      </c>
      <c r="AA358" s="20">
        <v>-6.2100000000000002E-2</v>
      </c>
      <c r="AB358" s="20">
        <v>-1.0500000000000001E-2</v>
      </c>
      <c r="AC358" s="20">
        <v>-2.92E-2</v>
      </c>
      <c r="AD358" s="20">
        <v>-2.5000000000000001E-3</v>
      </c>
      <c r="AE358" s="20">
        <v>7.9000000000000001E-2</v>
      </c>
      <c r="AF358" s="20">
        <v>0.32340000000000002</v>
      </c>
      <c r="AG358" s="20">
        <v>-1.26E-2</v>
      </c>
      <c r="AH358" s="20">
        <v>-5.4000000000000003E-3</v>
      </c>
      <c r="AI358" s="20">
        <v>-0.1144</v>
      </c>
      <c r="AJ358" s="20">
        <v>-0.12130000000000001</v>
      </c>
      <c r="AK358" s="20">
        <v>-2.35E-2</v>
      </c>
      <c r="AL358" s="21">
        <v>0.17760000000000001</v>
      </c>
    </row>
    <row r="359" spans="1:38">
      <c r="A359" s="20">
        <v>0.48159999999999997</v>
      </c>
      <c r="B359" s="20">
        <v>-0.22359999999999999</v>
      </c>
      <c r="C359" s="20">
        <v>0.19789999999999999</v>
      </c>
      <c r="D359" s="20">
        <v>-0.21010000000000001</v>
      </c>
      <c r="E359" s="20">
        <v>0.10829999999999999</v>
      </c>
      <c r="F359" s="20">
        <v>-0.27189999999999998</v>
      </c>
      <c r="G359" s="20">
        <v>-0.2087</v>
      </c>
      <c r="H359" s="20">
        <v>-9.2399999999999996E-2</v>
      </c>
      <c r="I359" s="20">
        <v>0.1149</v>
      </c>
      <c r="J359" s="20">
        <v>0.17780000000000001</v>
      </c>
      <c r="K359" s="20">
        <v>5.9700000000000003E-2</v>
      </c>
      <c r="L359" s="20">
        <v>4.2700000000000002E-2</v>
      </c>
      <c r="M359" s="20">
        <v>-0.1472</v>
      </c>
      <c r="N359" s="20">
        <v>-2.7799999999999998E-2</v>
      </c>
      <c r="O359" s="20">
        <v>-0.40489999999999998</v>
      </c>
      <c r="P359" s="20">
        <v>-1.32E-2</v>
      </c>
      <c r="Q359" s="20">
        <v>-1.84E-2</v>
      </c>
      <c r="R359" s="20">
        <v>0.19689999999999999</v>
      </c>
      <c r="S359" s="20">
        <v>3.44E-2</v>
      </c>
      <c r="T359" s="20">
        <v>4.2700000000000002E-2</v>
      </c>
      <c r="U359" s="20">
        <v>3.8899999999999997E-2</v>
      </c>
      <c r="V359" s="20">
        <v>-0.14829999999999999</v>
      </c>
      <c r="W359" s="20">
        <v>8.4699999999999998E-2</v>
      </c>
      <c r="X359" s="20">
        <v>-4.4999999999999997E-3</v>
      </c>
      <c r="Y359" s="20">
        <v>0.1201</v>
      </c>
      <c r="Z359" s="20">
        <v>8.3000000000000001E-3</v>
      </c>
      <c r="AA359" s="20">
        <v>-0.1542</v>
      </c>
      <c r="AB359" s="20">
        <v>-0.1104</v>
      </c>
      <c r="AC359" s="20">
        <v>-7.22E-2</v>
      </c>
      <c r="AD359" s="20">
        <v>0.17050000000000001</v>
      </c>
      <c r="AE359" s="20">
        <v>0.22470000000000001</v>
      </c>
      <c r="AF359" s="20">
        <v>6.3500000000000001E-2</v>
      </c>
      <c r="AG359" s="20">
        <v>-3.0999999999999999E-3</v>
      </c>
      <c r="AH359" s="20">
        <v>-0.17810000000000001</v>
      </c>
      <c r="AI359" s="20">
        <v>6.6699999999999995E-2</v>
      </c>
      <c r="AJ359" s="20">
        <v>-5.04E-2</v>
      </c>
      <c r="AK359" s="20">
        <v>9.69E-2</v>
      </c>
      <c r="AL359" s="21">
        <v>2.0999999999999999E-3</v>
      </c>
    </row>
    <row r="360" spans="1:38">
      <c r="A360" s="20">
        <v>-0.45760000000000001</v>
      </c>
      <c r="B360" s="20">
        <v>-7.0000000000000007E-2</v>
      </c>
      <c r="C360" s="20">
        <v>-0.33250000000000002</v>
      </c>
      <c r="D360" s="20">
        <v>-0.1148</v>
      </c>
      <c r="E360" s="20">
        <v>-0.1618</v>
      </c>
      <c r="F360" s="20">
        <v>0.19070000000000001</v>
      </c>
      <c r="G360" s="20">
        <v>0.10730000000000001</v>
      </c>
      <c r="H360" s="20">
        <v>0.32940000000000003</v>
      </c>
      <c r="I360" s="20">
        <v>-0.19739999999999999</v>
      </c>
      <c r="J360" s="20">
        <v>-2.6200000000000001E-2</v>
      </c>
      <c r="K360" s="20">
        <v>1.0699999999999999E-2</v>
      </c>
      <c r="L360" s="20">
        <v>4.8800000000000003E-2</v>
      </c>
      <c r="M360" s="20">
        <v>7.8700000000000006E-2</v>
      </c>
      <c r="N360" s="20">
        <v>0.15709999999999999</v>
      </c>
      <c r="O360" s="20">
        <v>8.0000000000000004E-4</v>
      </c>
      <c r="P360" s="20">
        <v>-2.76E-2</v>
      </c>
      <c r="Q360" s="20">
        <v>-9.2600000000000002E-2</v>
      </c>
      <c r="R360" s="20">
        <v>0.23699999999999999</v>
      </c>
      <c r="S360" s="20">
        <v>0.25590000000000002</v>
      </c>
      <c r="T360" s="20">
        <v>-5.2499999999999998E-2</v>
      </c>
      <c r="U360" s="20">
        <v>4.5999999999999999E-2</v>
      </c>
      <c r="V360" s="20">
        <v>-0.18329999999999999</v>
      </c>
      <c r="W360" s="20">
        <v>-0.12609999999999999</v>
      </c>
      <c r="X360" s="20">
        <v>0.18779999999999999</v>
      </c>
      <c r="Y360" s="20">
        <v>7.0999999999999994E-2</v>
      </c>
      <c r="Z360" s="20">
        <v>1.6400000000000001E-2</v>
      </c>
      <c r="AA360" s="20">
        <v>-0.1114</v>
      </c>
      <c r="AB360" s="20">
        <v>1.6999999999999999E-3</v>
      </c>
      <c r="AC360" s="20">
        <v>1.8200000000000001E-2</v>
      </c>
      <c r="AD360" s="20">
        <v>7.2499999999999995E-2</v>
      </c>
      <c r="AE360" s="20">
        <v>0.2097</v>
      </c>
      <c r="AF360" s="20">
        <v>0.1608</v>
      </c>
      <c r="AG360" s="20">
        <v>-2.2700000000000001E-2</v>
      </c>
      <c r="AH360" s="20">
        <v>0.1862</v>
      </c>
      <c r="AI360" s="20">
        <v>-0.17549999999999999</v>
      </c>
      <c r="AJ360" s="20">
        <v>-9.1899999999999996E-2</v>
      </c>
      <c r="AK360" s="20">
        <v>-0.1343</v>
      </c>
      <c r="AL360" s="21">
        <v>-1.21E-2</v>
      </c>
    </row>
    <row r="361" spans="1:38">
      <c r="A361" s="20">
        <v>-8.8200000000000001E-2</v>
      </c>
      <c r="B361" s="20">
        <v>-0.1065</v>
      </c>
      <c r="C361" s="20">
        <v>-0.24299999999999999</v>
      </c>
      <c r="D361" s="20">
        <v>-3.5299999999999998E-2</v>
      </c>
      <c r="E361" s="20">
        <v>-5.57E-2</v>
      </c>
      <c r="F361" s="20">
        <v>6.8699999999999997E-2</v>
      </c>
      <c r="G361" s="20">
        <v>-0.2828</v>
      </c>
      <c r="H361" s="20">
        <v>-0.14349999999999999</v>
      </c>
      <c r="I361" s="20">
        <v>0.11899999999999999</v>
      </c>
      <c r="J361" s="20">
        <v>0.18609999999999999</v>
      </c>
      <c r="K361" s="20">
        <v>4.3700000000000003E-2</v>
      </c>
      <c r="L361" s="20">
        <v>0.22650000000000001</v>
      </c>
      <c r="M361" s="20">
        <v>-0.26590000000000003</v>
      </c>
      <c r="N361" s="20">
        <v>-7.2900000000000006E-2</v>
      </c>
      <c r="O361" s="20">
        <v>-8.6400000000000005E-2</v>
      </c>
      <c r="P361" s="20">
        <v>0.17080000000000001</v>
      </c>
      <c r="Q361" s="20">
        <v>0.1245</v>
      </c>
      <c r="R361" s="20">
        <v>0.13270000000000001</v>
      </c>
      <c r="S361" s="20">
        <v>1.1299999999999999E-2</v>
      </c>
      <c r="T361" s="20">
        <v>-8.1500000000000003E-2</v>
      </c>
      <c r="U361" s="20">
        <v>0.18210000000000001</v>
      </c>
      <c r="V361" s="20">
        <v>-0.1148</v>
      </c>
      <c r="W361" s="20">
        <v>-0.36799999999999999</v>
      </c>
      <c r="X361" s="20">
        <v>0.1731</v>
      </c>
      <c r="Y361" s="20">
        <v>0.26679999999999998</v>
      </c>
      <c r="Z361" s="20">
        <v>0.23910000000000001</v>
      </c>
      <c r="AA361" s="20">
        <v>6.3500000000000001E-2</v>
      </c>
      <c r="AB361" s="20">
        <v>-6.7199999999999996E-2</v>
      </c>
      <c r="AC361" s="20">
        <v>-5.3E-3</v>
      </c>
      <c r="AD361" s="20">
        <v>-2.46E-2</v>
      </c>
      <c r="AE361" s="20">
        <v>7.1900000000000006E-2</v>
      </c>
      <c r="AF361" s="20">
        <v>-0.28050000000000003</v>
      </c>
      <c r="AG361" s="20">
        <v>-0.121</v>
      </c>
      <c r="AH361" s="20">
        <v>-4.7699999999999999E-2</v>
      </c>
      <c r="AI361" s="20">
        <v>-8.4199999999999997E-2</v>
      </c>
      <c r="AJ361" s="20">
        <v>8.1500000000000003E-2</v>
      </c>
      <c r="AK361" s="20">
        <v>0.27150000000000002</v>
      </c>
      <c r="AL361" s="21">
        <v>0.14230000000000001</v>
      </c>
    </row>
    <row r="362" spans="1:38">
      <c r="A362" s="20">
        <v>0.1913</v>
      </c>
      <c r="B362" s="20">
        <v>-4.5999999999999999E-2</v>
      </c>
      <c r="C362" s="20">
        <v>0.16220000000000001</v>
      </c>
      <c r="D362" s="20">
        <v>-0.25490000000000002</v>
      </c>
      <c r="E362" s="20">
        <v>3.7699999999999997E-2</v>
      </c>
      <c r="F362" s="20">
        <v>-0.3211</v>
      </c>
      <c r="G362" s="20">
        <v>-1.04E-2</v>
      </c>
      <c r="H362" s="20">
        <v>-0.10249999999999999</v>
      </c>
      <c r="I362" s="20">
        <v>0.10929999999999999</v>
      </c>
      <c r="J362" s="20">
        <v>0.27179999999999999</v>
      </c>
      <c r="K362" s="20">
        <v>-7.9899999999999999E-2</v>
      </c>
      <c r="L362" s="20">
        <v>5.67E-2</v>
      </c>
      <c r="M362" s="20">
        <v>0.17649999999999999</v>
      </c>
      <c r="N362" s="20">
        <v>-9.8599999999999993E-2</v>
      </c>
      <c r="O362" s="20">
        <v>0.29470000000000002</v>
      </c>
      <c r="P362" s="20">
        <v>7.7200000000000005E-2</v>
      </c>
      <c r="Q362" s="20">
        <v>-0.2029</v>
      </c>
      <c r="R362" s="20">
        <v>0.2742</v>
      </c>
      <c r="S362" s="20">
        <v>-1.6899999999999998E-2</v>
      </c>
      <c r="T362" s="20">
        <v>-0.20469999999999999</v>
      </c>
      <c r="U362" s="20">
        <v>-6.3E-2</v>
      </c>
      <c r="V362" s="20">
        <v>-0.15060000000000001</v>
      </c>
      <c r="W362" s="20">
        <v>-0.10580000000000001</v>
      </c>
      <c r="X362" s="20">
        <v>0.1981</v>
      </c>
      <c r="Y362" s="20">
        <v>-8.4099999999999994E-2</v>
      </c>
      <c r="Z362" s="20">
        <v>0.29170000000000001</v>
      </c>
      <c r="AA362" s="20">
        <v>-8.9999999999999998E-4</v>
      </c>
      <c r="AB362" s="20">
        <v>0.12509999999999999</v>
      </c>
      <c r="AC362" s="20">
        <v>8.6699999999999999E-2</v>
      </c>
      <c r="AD362" s="20">
        <v>-3.3E-3</v>
      </c>
      <c r="AE362" s="20">
        <v>5.1400000000000001E-2</v>
      </c>
      <c r="AF362" s="20">
        <v>2.7E-2</v>
      </c>
      <c r="AG362" s="20">
        <v>-0.2097</v>
      </c>
      <c r="AH362" s="20">
        <v>-4.3999999999999997E-2</v>
      </c>
      <c r="AI362" s="20">
        <v>0.1227</v>
      </c>
      <c r="AJ362" s="20">
        <v>-0.254</v>
      </c>
      <c r="AK362" s="20">
        <v>-0.14349999999999999</v>
      </c>
      <c r="AL362" s="21">
        <v>-0.15890000000000001</v>
      </c>
    </row>
    <row r="363" spans="1:38">
      <c r="A363" s="20">
        <v>0.16639999999999999</v>
      </c>
      <c r="B363" s="20">
        <v>6.5799999999999997E-2</v>
      </c>
      <c r="C363" s="20">
        <v>0.1716</v>
      </c>
      <c r="D363" s="20">
        <v>5.7200000000000001E-2</v>
      </c>
      <c r="E363" s="20">
        <v>-0.24210000000000001</v>
      </c>
      <c r="F363" s="20">
        <v>0.2777</v>
      </c>
      <c r="G363" s="20">
        <v>7.7000000000000002E-3</v>
      </c>
      <c r="H363" s="20">
        <v>0.35830000000000001</v>
      </c>
      <c r="I363" s="20">
        <v>7.4499999999999997E-2</v>
      </c>
      <c r="J363" s="20">
        <v>-0.10440000000000001</v>
      </c>
      <c r="K363" s="20">
        <v>-0.36</v>
      </c>
      <c r="L363" s="20">
        <v>-0.10440000000000001</v>
      </c>
      <c r="M363" s="20">
        <v>0.4753</v>
      </c>
      <c r="N363" s="20">
        <v>-8.5000000000000006E-2</v>
      </c>
      <c r="O363" s="20">
        <v>-5.1799999999999999E-2</v>
      </c>
      <c r="P363" s="20">
        <v>-9.8699999999999996E-2</v>
      </c>
      <c r="Q363" s="20">
        <v>0.15160000000000001</v>
      </c>
      <c r="R363" s="20">
        <v>1.7100000000000001E-2</v>
      </c>
      <c r="S363" s="20">
        <v>-3.8E-3</v>
      </c>
      <c r="T363" s="20">
        <v>-0.1507</v>
      </c>
      <c r="U363" s="20">
        <v>-6.3899999999999998E-2</v>
      </c>
      <c r="V363" s="20">
        <v>-0.21479999999999999</v>
      </c>
      <c r="W363" s="20">
        <v>-0.11990000000000001</v>
      </c>
      <c r="X363" s="20">
        <v>8.0500000000000002E-2</v>
      </c>
      <c r="Y363" s="20">
        <v>6.7999999999999996E-3</v>
      </c>
      <c r="Z363" s="20">
        <v>-0.1108</v>
      </c>
      <c r="AA363" s="20">
        <v>0.15820000000000001</v>
      </c>
      <c r="AB363" s="20">
        <v>-7.6200000000000004E-2</v>
      </c>
      <c r="AC363" s="20">
        <v>-2.8899999999999999E-2</v>
      </c>
      <c r="AD363" s="20">
        <v>-0.1666</v>
      </c>
      <c r="AE363" s="20">
        <v>-0.20380000000000001</v>
      </c>
      <c r="AF363" s="20">
        <v>0.1285</v>
      </c>
      <c r="AG363" s="20">
        <v>-8.8700000000000001E-2</v>
      </c>
      <c r="AH363" s="20">
        <v>5.79E-2</v>
      </c>
      <c r="AI363" s="20">
        <v>-7.22E-2</v>
      </c>
      <c r="AJ363" s="20">
        <v>1.06E-2</v>
      </c>
      <c r="AK363" s="20">
        <v>1.34E-2</v>
      </c>
      <c r="AL363" s="21">
        <v>6.9900000000000004E-2</v>
      </c>
    </row>
    <row r="364" spans="1:38">
      <c r="A364" s="20">
        <v>0.39200000000000002</v>
      </c>
      <c r="B364" s="20">
        <v>-8.3099999999999993E-2</v>
      </c>
      <c r="C364" s="20">
        <v>0.1149</v>
      </c>
      <c r="D364" s="20">
        <v>-0.22600000000000001</v>
      </c>
      <c r="E364" s="20">
        <v>0.21129999999999999</v>
      </c>
      <c r="F364" s="20">
        <v>0.26719999999999999</v>
      </c>
      <c r="G364" s="20">
        <v>7.3899999999999993E-2</v>
      </c>
      <c r="H364" s="20">
        <v>0.27400000000000002</v>
      </c>
      <c r="I364" s="20">
        <v>0.19020000000000001</v>
      </c>
      <c r="J364" s="20">
        <v>-0.2676</v>
      </c>
      <c r="K364" s="20">
        <v>-0.21340000000000001</v>
      </c>
      <c r="L364" s="20">
        <v>-5.5E-2</v>
      </c>
      <c r="M364" s="20">
        <v>0.1467</v>
      </c>
      <c r="N364" s="20">
        <v>6.7000000000000002E-3</v>
      </c>
      <c r="O364" s="20">
        <v>-0.13600000000000001</v>
      </c>
      <c r="P364" s="20">
        <v>-0.2858</v>
      </c>
      <c r="Q364" s="20">
        <v>0.14199999999999999</v>
      </c>
      <c r="R364" s="20">
        <v>-5.7000000000000002E-3</v>
      </c>
      <c r="S364" s="20">
        <v>-0.16070000000000001</v>
      </c>
      <c r="T364" s="20">
        <v>-4.4699999999999997E-2</v>
      </c>
      <c r="U364" s="20">
        <v>-0.11899999999999999</v>
      </c>
      <c r="V364" s="20">
        <v>-0.19620000000000001</v>
      </c>
      <c r="W364" s="20">
        <v>1.26E-2</v>
      </c>
      <c r="X364" s="20">
        <v>-6.3E-2</v>
      </c>
      <c r="Y364" s="20">
        <v>0.17330000000000001</v>
      </c>
      <c r="Z364" s="20">
        <v>-4.24E-2</v>
      </c>
      <c r="AA364" s="20">
        <v>0.1983</v>
      </c>
      <c r="AB364" s="20">
        <v>-0.23830000000000001</v>
      </c>
      <c r="AC364" s="20">
        <v>0.1946</v>
      </c>
      <c r="AD364" s="20">
        <v>3.27E-2</v>
      </c>
      <c r="AE364" s="20">
        <v>-8.72E-2</v>
      </c>
      <c r="AF364" s="20">
        <v>-4.9500000000000002E-2</v>
      </c>
      <c r="AG364" s="20">
        <v>6.7500000000000004E-2</v>
      </c>
      <c r="AH364" s="20">
        <v>-5.0999999999999997E-2</v>
      </c>
      <c r="AI364" s="20">
        <v>-1.26E-2</v>
      </c>
      <c r="AJ364" s="20">
        <v>-6.8199999999999997E-2</v>
      </c>
      <c r="AK364" s="20">
        <v>-8.2400000000000001E-2</v>
      </c>
      <c r="AL364" s="21">
        <v>-7.4999999999999997E-3</v>
      </c>
    </row>
    <row r="365" spans="1:38">
      <c r="A365" s="20">
        <v>3.7400000000000003E-2</v>
      </c>
      <c r="B365" s="20">
        <v>-9.7199999999999995E-2</v>
      </c>
      <c r="C365" s="20">
        <v>1.32E-2</v>
      </c>
      <c r="D365" s="20">
        <v>0.1109</v>
      </c>
      <c r="E365" s="20">
        <v>-8.9200000000000002E-2</v>
      </c>
      <c r="F365" s="20">
        <v>-0.1046</v>
      </c>
      <c r="G365" s="20">
        <v>0.20569999999999999</v>
      </c>
      <c r="H365" s="20">
        <v>0.28449999999999998</v>
      </c>
      <c r="I365" s="20">
        <v>0.1358</v>
      </c>
      <c r="J365" s="20">
        <v>-9.8400000000000001E-2</v>
      </c>
      <c r="K365" s="20">
        <v>-9.5299999999999996E-2</v>
      </c>
      <c r="L365" s="20">
        <v>-6.93E-2</v>
      </c>
      <c r="M365" s="20">
        <v>3.5400000000000001E-2</v>
      </c>
      <c r="N365" s="20">
        <v>4.5100000000000001E-2</v>
      </c>
      <c r="O365" s="20">
        <v>-8.6E-3</v>
      </c>
      <c r="P365" s="20">
        <v>0.43619999999999998</v>
      </c>
      <c r="Q365" s="20">
        <v>-0.17580000000000001</v>
      </c>
      <c r="R365" s="20">
        <v>-6.0999999999999999E-2</v>
      </c>
      <c r="S365" s="20">
        <v>-0.27100000000000002</v>
      </c>
      <c r="T365" s="20">
        <v>-3.5400000000000001E-2</v>
      </c>
      <c r="U365" s="20">
        <v>0.1222</v>
      </c>
      <c r="V365" s="20">
        <v>4.8500000000000001E-2</v>
      </c>
      <c r="W365" s="20">
        <v>3.8800000000000001E-2</v>
      </c>
      <c r="X365" s="20">
        <v>1.9E-2</v>
      </c>
      <c r="Y365" s="20">
        <v>-0.23130000000000001</v>
      </c>
      <c r="Z365" s="20">
        <v>-0.1042</v>
      </c>
      <c r="AA365" s="20">
        <v>-0.111</v>
      </c>
      <c r="AB365" s="20">
        <v>-8.3199999999999996E-2</v>
      </c>
      <c r="AC365" s="20">
        <v>0.36299999999999999</v>
      </c>
      <c r="AD365" s="20">
        <v>-7.9500000000000001E-2</v>
      </c>
      <c r="AE365" s="20">
        <v>-0.41689999999999999</v>
      </c>
      <c r="AF365" s="20">
        <v>-9.98E-2</v>
      </c>
      <c r="AG365" s="20">
        <v>0.1171</v>
      </c>
      <c r="AH365" s="20">
        <v>9.4799999999999995E-2</v>
      </c>
      <c r="AI365" s="20">
        <v>5.5899999999999998E-2</v>
      </c>
      <c r="AJ365" s="20">
        <v>0.13639999999999999</v>
      </c>
      <c r="AK365" s="20">
        <v>6.3100000000000003E-2</v>
      </c>
      <c r="AL365" s="21">
        <v>-0.12870000000000001</v>
      </c>
    </row>
    <row r="366" spans="1:38">
      <c r="A366" s="20">
        <v>-0.34189999999999998</v>
      </c>
      <c r="B366" s="20">
        <v>-6.8900000000000003E-2</v>
      </c>
      <c r="C366" s="20">
        <v>-1.5E-3</v>
      </c>
      <c r="D366" s="20">
        <v>-0.2757</v>
      </c>
      <c r="E366" s="20">
        <v>-0.23</v>
      </c>
      <c r="F366" s="20">
        <v>0.41149999999999998</v>
      </c>
      <c r="G366" s="20">
        <v>6.4699999999999994E-2</v>
      </c>
      <c r="H366" s="20">
        <v>-1.5100000000000001E-2</v>
      </c>
      <c r="I366" s="20">
        <v>0.2823</v>
      </c>
      <c r="J366" s="20">
        <v>5.04E-2</v>
      </c>
      <c r="K366" s="20">
        <v>-7.8100000000000003E-2</v>
      </c>
      <c r="L366" s="20">
        <v>0.1643</v>
      </c>
      <c r="M366" s="20">
        <v>0</v>
      </c>
      <c r="N366" s="20">
        <v>-0.191</v>
      </c>
      <c r="O366" s="20">
        <v>-1.24E-2</v>
      </c>
      <c r="P366" s="20">
        <v>0.17030000000000001</v>
      </c>
      <c r="Q366" s="20">
        <v>-0.1192</v>
      </c>
      <c r="R366" s="20">
        <v>0.1368</v>
      </c>
      <c r="S366" s="20">
        <v>-7.1099999999999997E-2</v>
      </c>
      <c r="T366" s="20">
        <v>8.4900000000000003E-2</v>
      </c>
      <c r="U366" s="20">
        <v>-9.4899999999999998E-2</v>
      </c>
      <c r="V366" s="20">
        <v>-7.4999999999999997E-2</v>
      </c>
      <c r="W366" s="20">
        <v>-7.1999999999999995E-2</v>
      </c>
      <c r="X366" s="20">
        <v>4.3299999999999998E-2</v>
      </c>
      <c r="Y366" s="20">
        <v>-0.20610000000000001</v>
      </c>
      <c r="Z366" s="20">
        <v>1E-3</v>
      </c>
      <c r="AA366" s="20">
        <v>-0.17299999999999999</v>
      </c>
      <c r="AB366" s="20">
        <v>0.1867</v>
      </c>
      <c r="AC366" s="20">
        <v>-4.6199999999999998E-2</v>
      </c>
      <c r="AD366" s="20">
        <v>5.1000000000000004E-3</v>
      </c>
      <c r="AE366" s="20">
        <v>9.4200000000000006E-2</v>
      </c>
      <c r="AF366" s="20">
        <v>-0.17499999999999999</v>
      </c>
      <c r="AG366" s="20">
        <v>0</v>
      </c>
      <c r="AH366" s="20">
        <v>0.221</v>
      </c>
      <c r="AI366" s="20">
        <v>0.33510000000000001</v>
      </c>
      <c r="AJ366" s="20">
        <v>0.10929999999999999</v>
      </c>
      <c r="AK366" s="20">
        <v>-3.9899999999999998E-2</v>
      </c>
      <c r="AL366" s="21">
        <v>-6.5500000000000003E-2</v>
      </c>
    </row>
    <row r="367" spans="1:38">
      <c r="A367" s="20">
        <v>-0.29730000000000001</v>
      </c>
      <c r="B367" s="20">
        <v>-0.15989999999999999</v>
      </c>
      <c r="C367" s="20">
        <v>0.23719999999999999</v>
      </c>
      <c r="D367" s="20">
        <v>8.1799999999999998E-2</v>
      </c>
      <c r="E367" s="20">
        <v>0.38080000000000003</v>
      </c>
      <c r="F367" s="20">
        <v>0.3075</v>
      </c>
      <c r="G367" s="20">
        <v>2.4E-2</v>
      </c>
      <c r="H367" s="20">
        <v>-2.8000000000000001E-2</v>
      </c>
      <c r="I367" s="20">
        <v>0.2482</v>
      </c>
      <c r="J367" s="20">
        <v>7.9000000000000008E-3</v>
      </c>
      <c r="K367" s="20">
        <v>-0.15049999999999999</v>
      </c>
      <c r="L367" s="20">
        <v>0.1353</v>
      </c>
      <c r="M367" s="20">
        <v>1.8200000000000001E-2</v>
      </c>
      <c r="N367" s="20">
        <v>-0.2397</v>
      </c>
      <c r="O367" s="20">
        <v>4.4000000000000003E-3</v>
      </c>
      <c r="P367" s="20">
        <v>-0.12089999999999999</v>
      </c>
      <c r="Q367" s="20">
        <v>0.1706</v>
      </c>
      <c r="R367" s="20">
        <v>0.1255</v>
      </c>
      <c r="S367" s="20">
        <v>-0.27100000000000002</v>
      </c>
      <c r="T367" s="20">
        <v>0.1119</v>
      </c>
      <c r="U367" s="20">
        <v>-7.9500000000000001E-2</v>
      </c>
      <c r="V367" s="20">
        <v>0.12189999999999999</v>
      </c>
      <c r="W367" s="20">
        <v>0.15870000000000001</v>
      </c>
      <c r="X367" s="20">
        <v>-6.9900000000000004E-2</v>
      </c>
      <c r="Y367" s="20">
        <v>2.2100000000000002E-2</v>
      </c>
      <c r="Z367" s="20">
        <v>-8.7099999999999997E-2</v>
      </c>
      <c r="AA367" s="20">
        <v>0.1603</v>
      </c>
      <c r="AB367" s="20">
        <v>-6.7900000000000002E-2</v>
      </c>
      <c r="AC367" s="20">
        <v>2.3599999999999999E-2</v>
      </c>
      <c r="AD367" s="20">
        <v>4.6100000000000002E-2</v>
      </c>
      <c r="AE367" s="20">
        <v>-0.1134</v>
      </c>
      <c r="AF367" s="20">
        <v>-6.2799999999999995E-2</v>
      </c>
      <c r="AG367" s="20">
        <v>-0.15970000000000001</v>
      </c>
      <c r="AH367" s="20">
        <v>-0.16009999999999999</v>
      </c>
      <c r="AI367" s="20">
        <v>9.6699999999999994E-2</v>
      </c>
      <c r="AJ367" s="20">
        <v>-0.2104</v>
      </c>
      <c r="AK367" s="20">
        <v>-0.24660000000000001</v>
      </c>
      <c r="AL367" s="21">
        <v>4.07E-2</v>
      </c>
    </row>
    <row r="368" spans="1:38">
      <c r="A368" s="20">
        <v>0.23860000000000001</v>
      </c>
      <c r="B368" s="20">
        <v>-9.9900000000000003E-2</v>
      </c>
      <c r="C368" s="20">
        <v>0.39360000000000001</v>
      </c>
      <c r="D368" s="20">
        <v>0.26040000000000002</v>
      </c>
      <c r="E368" s="20">
        <v>-1.5299999999999999E-2</v>
      </c>
      <c r="F368" s="20">
        <v>-0.126</v>
      </c>
      <c r="G368" s="20">
        <v>-0.1537</v>
      </c>
      <c r="H368" s="20">
        <v>0.2278</v>
      </c>
      <c r="I368" s="20">
        <v>-0.30780000000000002</v>
      </c>
      <c r="J368" s="20">
        <v>-1.47E-2</v>
      </c>
      <c r="K368" s="20">
        <v>0.10050000000000001</v>
      </c>
      <c r="L368" s="20">
        <v>0.25419999999999998</v>
      </c>
      <c r="M368" s="20">
        <v>-0.20300000000000001</v>
      </c>
      <c r="N368" s="20">
        <v>-0.24349999999999999</v>
      </c>
      <c r="O368" s="20">
        <v>-7.7999999999999996E-3</v>
      </c>
      <c r="P368" s="20">
        <v>-0.1012</v>
      </c>
      <c r="Q368" s="20">
        <v>-0.1149</v>
      </c>
      <c r="R368" s="20">
        <v>7.6700000000000004E-2</v>
      </c>
      <c r="S368" s="20">
        <v>6.6299999999999998E-2</v>
      </c>
      <c r="T368" s="20">
        <v>7.51E-2</v>
      </c>
      <c r="U368" s="20">
        <v>-3.9800000000000002E-2</v>
      </c>
      <c r="V368" s="20">
        <v>3.4299999999999997E-2</v>
      </c>
      <c r="W368" s="20">
        <v>0.1057</v>
      </c>
      <c r="X368" s="20">
        <v>3.1300000000000001E-2</v>
      </c>
      <c r="Y368" s="20">
        <v>9.8599999999999993E-2</v>
      </c>
      <c r="Z368" s="20">
        <v>-0.28949999999999998</v>
      </c>
      <c r="AA368" s="20">
        <v>-0.1648</v>
      </c>
      <c r="AB368" s="20">
        <v>8.4500000000000006E-2</v>
      </c>
      <c r="AC368" s="20">
        <v>-0.16769999999999999</v>
      </c>
      <c r="AD368" s="20">
        <v>-7.51E-2</v>
      </c>
      <c r="AE368" s="20">
        <v>0.24349999999999999</v>
      </c>
      <c r="AF368" s="20">
        <v>-5.74E-2</v>
      </c>
      <c r="AG368" s="20">
        <v>6.9800000000000001E-2</v>
      </c>
      <c r="AH368" s="20">
        <v>-7.5399999999999995E-2</v>
      </c>
      <c r="AI368" s="20">
        <v>4.0099999999999997E-2</v>
      </c>
      <c r="AJ368" s="20">
        <v>-0.13320000000000001</v>
      </c>
      <c r="AK368" s="20">
        <v>0.14130000000000001</v>
      </c>
      <c r="AL368" s="21">
        <v>-0.14230000000000001</v>
      </c>
    </row>
    <row r="369" spans="1:38">
      <c r="A369" s="20">
        <v>-0.45760000000000001</v>
      </c>
      <c r="B369" s="20">
        <v>-9.7000000000000003E-3</v>
      </c>
      <c r="C369" s="20">
        <v>-0.28210000000000002</v>
      </c>
      <c r="D369" s="20">
        <v>-8.4699999999999998E-2</v>
      </c>
      <c r="E369" s="20">
        <v>-0.34279999999999999</v>
      </c>
      <c r="F369" s="20">
        <v>0.21179999999999999</v>
      </c>
      <c r="G369" s="20">
        <v>0.24759999999999999</v>
      </c>
      <c r="H369" s="20">
        <v>6.9699999999999998E-2</v>
      </c>
      <c r="I369" s="20">
        <v>3.7199999999999997E-2</v>
      </c>
      <c r="J369" s="20">
        <v>4.53E-2</v>
      </c>
      <c r="K369" s="20">
        <v>-6.2199999999999998E-2</v>
      </c>
      <c r="L369" s="20">
        <v>-6.4399999999999999E-2</v>
      </c>
      <c r="M369" s="20">
        <v>-2.24E-2</v>
      </c>
      <c r="N369" s="20">
        <v>0.17860000000000001</v>
      </c>
      <c r="O369" s="20">
        <v>7.5200000000000003E-2</v>
      </c>
      <c r="P369" s="20">
        <v>5.5E-2</v>
      </c>
      <c r="Q369" s="20">
        <v>-7.4499999999999997E-2</v>
      </c>
      <c r="R369" s="20">
        <v>0.1255</v>
      </c>
      <c r="S369" s="20">
        <v>0.2969</v>
      </c>
      <c r="T369" s="20">
        <v>-2.5899999999999999E-2</v>
      </c>
      <c r="U369" s="20">
        <v>4.2700000000000002E-2</v>
      </c>
      <c r="V369" s="20">
        <v>-8.9300000000000004E-2</v>
      </c>
      <c r="W369" s="20">
        <v>-4.1999999999999997E-3</v>
      </c>
      <c r="X369" s="20">
        <v>9.6100000000000005E-2</v>
      </c>
      <c r="Y369" s="20">
        <v>-9.9000000000000005E-2</v>
      </c>
      <c r="Z369" s="20">
        <v>3.9600000000000003E-2</v>
      </c>
      <c r="AA369" s="20">
        <v>-1.9800000000000002E-2</v>
      </c>
      <c r="AB369" s="20">
        <v>2.07E-2</v>
      </c>
      <c r="AC369" s="20">
        <v>-0.13919999999999999</v>
      </c>
      <c r="AD369" s="20">
        <v>3.0599999999999999E-2</v>
      </c>
      <c r="AE369" s="20">
        <v>0.26869999999999999</v>
      </c>
      <c r="AF369" s="20">
        <v>-9.6500000000000002E-2</v>
      </c>
      <c r="AG369" s="20">
        <v>-0.1585</v>
      </c>
      <c r="AH369" s="20">
        <v>0.1983</v>
      </c>
      <c r="AI369" s="20">
        <v>0.1845</v>
      </c>
      <c r="AJ369" s="20">
        <v>-0.1487</v>
      </c>
      <c r="AK369" s="20">
        <v>-0.193</v>
      </c>
      <c r="AL369" s="21">
        <v>0.1469</v>
      </c>
    </row>
    <row r="370" spans="1:38">
      <c r="A370" s="20">
        <v>0.50060000000000004</v>
      </c>
      <c r="B370" s="20">
        <v>-3.1600000000000003E-2</v>
      </c>
      <c r="C370" s="20">
        <v>-0.16209999999999999</v>
      </c>
      <c r="D370" s="20">
        <v>-3.32E-2</v>
      </c>
      <c r="E370" s="20">
        <v>5.0000000000000001E-3</v>
      </c>
      <c r="F370" s="20">
        <v>-0.16420000000000001</v>
      </c>
      <c r="G370" s="20">
        <v>-0.2059</v>
      </c>
      <c r="H370" s="20">
        <v>-8.5699999999999998E-2</v>
      </c>
      <c r="I370" s="20">
        <v>-9.5200000000000007E-2</v>
      </c>
      <c r="J370" s="20">
        <v>0.43080000000000002</v>
      </c>
      <c r="K370" s="20">
        <v>-0.1835</v>
      </c>
      <c r="L370" s="20">
        <v>0.1186</v>
      </c>
      <c r="M370" s="20">
        <v>0.31190000000000001</v>
      </c>
      <c r="N370" s="20">
        <v>-0.1178</v>
      </c>
      <c r="O370" s="20">
        <v>5.0000000000000001E-3</v>
      </c>
      <c r="P370" s="20">
        <v>-5.7700000000000001E-2</v>
      </c>
      <c r="Q370" s="20">
        <v>-7.6999999999999999E-2</v>
      </c>
      <c r="R370" s="20">
        <v>7.6200000000000004E-2</v>
      </c>
      <c r="S370" s="20">
        <v>-4.2200000000000001E-2</v>
      </c>
      <c r="T370" s="20">
        <v>0.1099</v>
      </c>
      <c r="U370" s="20">
        <v>2.5000000000000001E-2</v>
      </c>
      <c r="V370" s="20">
        <v>-3.5900000000000001E-2</v>
      </c>
      <c r="W370" s="20">
        <v>1.4E-2</v>
      </c>
      <c r="X370" s="20">
        <v>2.4299999999999999E-2</v>
      </c>
      <c r="Y370" s="20">
        <v>-0.1603</v>
      </c>
      <c r="Z370" s="20">
        <v>-0.22409999999999999</v>
      </c>
      <c r="AA370" s="20">
        <v>2.1399999999999999E-2</v>
      </c>
      <c r="AB370" s="20">
        <v>-3.7699999999999997E-2</v>
      </c>
      <c r="AC370" s="20">
        <v>0.1171</v>
      </c>
      <c r="AD370" s="20">
        <v>1.4800000000000001E-2</v>
      </c>
      <c r="AE370" s="20">
        <v>-0.19589999999999999</v>
      </c>
      <c r="AF370" s="20">
        <v>-3.7699999999999997E-2</v>
      </c>
      <c r="AG370" s="20">
        <v>-0.23089999999999999</v>
      </c>
      <c r="AH370" s="20">
        <v>4.9799999999999997E-2</v>
      </c>
      <c r="AI370" s="20">
        <v>0.1371</v>
      </c>
      <c r="AJ370" s="20">
        <v>-2.93E-2</v>
      </c>
      <c r="AK370" s="20">
        <v>1.8700000000000001E-2</v>
      </c>
      <c r="AL370" s="21">
        <v>0.22750000000000001</v>
      </c>
    </row>
    <row r="371" spans="1:38">
      <c r="A371" s="20">
        <v>0.19789999999999999</v>
      </c>
      <c r="B371" s="20">
        <v>-0.34189999999999998</v>
      </c>
      <c r="C371" s="20">
        <v>-0.11559999999999999</v>
      </c>
      <c r="D371" s="20">
        <v>0.64239999999999997</v>
      </c>
      <c r="E371" s="20">
        <v>0.13320000000000001</v>
      </c>
      <c r="F371" s="20">
        <v>4.07E-2</v>
      </c>
      <c r="G371" s="20">
        <v>-5.96E-2</v>
      </c>
      <c r="H371" s="20">
        <v>-0.34789999999999999</v>
      </c>
      <c r="I371" s="20">
        <v>-0.1221</v>
      </c>
      <c r="J371" s="20">
        <v>-0.31219999999999998</v>
      </c>
      <c r="K371" s="20">
        <v>6.9800000000000001E-2</v>
      </c>
      <c r="L371" s="20">
        <v>-7.7499999999999999E-2</v>
      </c>
      <c r="M371" s="20">
        <v>3.7400000000000003E-2</v>
      </c>
      <c r="N371" s="20">
        <v>-0.13830000000000001</v>
      </c>
      <c r="O371" s="20">
        <v>2.69E-2</v>
      </c>
      <c r="P371" s="20">
        <v>-9.2999999999999992E-3</v>
      </c>
      <c r="Q371" s="20">
        <v>0.12809999999999999</v>
      </c>
      <c r="R371" s="20">
        <v>4.3700000000000003E-2</v>
      </c>
      <c r="S371" s="20">
        <v>-0.1051</v>
      </c>
      <c r="T371" s="20">
        <v>-7.3899999999999993E-2</v>
      </c>
      <c r="U371" s="20">
        <v>7.0099999999999996E-2</v>
      </c>
      <c r="V371" s="20">
        <v>1.35E-2</v>
      </c>
      <c r="W371" s="20">
        <v>-0.1691</v>
      </c>
      <c r="X371" s="20">
        <v>7.6300000000000007E-2</v>
      </c>
      <c r="Y371" s="20">
        <v>3.4700000000000002E-2</v>
      </c>
      <c r="Z371" s="20">
        <v>4.2799999999999998E-2</v>
      </c>
      <c r="AA371" s="20">
        <v>4.1000000000000002E-2</v>
      </c>
      <c r="AB371" s="20">
        <v>9.5999999999999992E-3</v>
      </c>
      <c r="AC371" s="20">
        <v>6.3E-3</v>
      </c>
      <c r="AD371" s="20">
        <v>-3.7100000000000001E-2</v>
      </c>
      <c r="AE371" s="20">
        <v>0.11799999999999999</v>
      </c>
      <c r="AF371" s="20">
        <v>7.6600000000000001E-2</v>
      </c>
      <c r="AG371" s="20">
        <v>-7.4800000000000005E-2</v>
      </c>
      <c r="AH371" s="20">
        <v>-2.3099999999999999E-2</v>
      </c>
      <c r="AI371" s="20">
        <v>8.6499999999999994E-2</v>
      </c>
      <c r="AJ371" s="20">
        <v>0.1174</v>
      </c>
      <c r="AK371" s="20">
        <v>2.9600000000000001E-2</v>
      </c>
      <c r="AL371" s="21">
        <v>-2.5399999999999999E-2</v>
      </c>
    </row>
    <row r="372" spans="1:38">
      <c r="A372" s="20">
        <v>0.3483</v>
      </c>
      <c r="B372" s="20">
        <v>0.14899999999999999</v>
      </c>
      <c r="C372" s="20">
        <v>-0.2172</v>
      </c>
      <c r="D372" s="20">
        <v>-0.2707</v>
      </c>
      <c r="E372" s="20">
        <v>-0.12239999999999999</v>
      </c>
      <c r="F372" s="20">
        <v>-6.9599999999999995E-2</v>
      </c>
      <c r="G372" s="20">
        <v>6.7100000000000007E-2</v>
      </c>
      <c r="H372" s="20">
        <v>0.26050000000000001</v>
      </c>
      <c r="I372" s="20">
        <v>-8.5699999999999998E-2</v>
      </c>
      <c r="J372" s="20">
        <v>-5.1999999999999998E-3</v>
      </c>
      <c r="K372" s="20">
        <v>-0.1046</v>
      </c>
      <c r="L372" s="20">
        <v>-7.5899999999999995E-2</v>
      </c>
      <c r="M372" s="20">
        <v>5.5999999999999999E-3</v>
      </c>
      <c r="N372" s="20">
        <v>-0.33500000000000002</v>
      </c>
      <c r="O372" s="20">
        <v>-0.1196</v>
      </c>
      <c r="P372" s="20">
        <v>-1.0800000000000001E-2</v>
      </c>
      <c r="Q372" s="20">
        <v>2.7300000000000001E-2</v>
      </c>
      <c r="R372" s="20">
        <v>0.18010000000000001</v>
      </c>
      <c r="S372" s="20">
        <v>8.5300000000000001E-2</v>
      </c>
      <c r="T372" s="20">
        <v>-3.6400000000000002E-2</v>
      </c>
      <c r="U372" s="20">
        <v>4.8300000000000003E-2</v>
      </c>
      <c r="V372" s="20">
        <v>-0.1147</v>
      </c>
      <c r="W372" s="20">
        <v>5.21E-2</v>
      </c>
      <c r="X372" s="20">
        <v>9.2700000000000005E-2</v>
      </c>
      <c r="Y372" s="20">
        <v>0.2616</v>
      </c>
      <c r="Z372" s="20">
        <v>0.18429999999999999</v>
      </c>
      <c r="AA372" s="20">
        <v>6.9999999999999999E-4</v>
      </c>
      <c r="AB372" s="20">
        <v>2.24E-2</v>
      </c>
      <c r="AC372" s="20">
        <v>-0.1948</v>
      </c>
      <c r="AD372" s="20">
        <v>0.19439999999999999</v>
      </c>
      <c r="AE372" s="20">
        <v>7.0999999999999994E-2</v>
      </c>
      <c r="AF372" s="20">
        <v>6.08E-2</v>
      </c>
      <c r="AG372" s="20">
        <v>-8.3999999999999995E-3</v>
      </c>
      <c r="AH372" s="20">
        <v>-0.3357</v>
      </c>
      <c r="AI372" s="20">
        <v>0.25390000000000001</v>
      </c>
      <c r="AJ372" s="20">
        <v>7.3800000000000004E-2</v>
      </c>
      <c r="AK372" s="20">
        <v>-0.1472</v>
      </c>
      <c r="AL372" s="21">
        <v>-0.18149999999999999</v>
      </c>
    </row>
    <row r="373" spans="1:38">
      <c r="A373" s="20">
        <v>-3.8100000000000002E-2</v>
      </c>
      <c r="B373" s="20">
        <v>-0.22620000000000001</v>
      </c>
      <c r="C373" s="20">
        <v>3.5999999999999997E-2</v>
      </c>
      <c r="D373" s="20">
        <v>-0.17030000000000001</v>
      </c>
      <c r="E373" s="20">
        <v>-0.1106</v>
      </c>
      <c r="F373" s="20">
        <v>-0.1686</v>
      </c>
      <c r="G373" s="20">
        <v>-7.0300000000000001E-2</v>
      </c>
      <c r="H373" s="20">
        <v>0.14960000000000001</v>
      </c>
      <c r="I373" s="20">
        <v>0.27500000000000002</v>
      </c>
      <c r="J373" s="20">
        <v>3.6400000000000002E-2</v>
      </c>
      <c r="K373" s="20">
        <v>-0.1178</v>
      </c>
      <c r="L373" s="20">
        <v>2.8400000000000002E-2</v>
      </c>
      <c r="M373" s="20">
        <v>0.10630000000000001</v>
      </c>
      <c r="N373" s="20">
        <v>5.8900000000000001E-2</v>
      </c>
      <c r="O373" s="20">
        <v>0.23219999999999999</v>
      </c>
      <c r="P373" s="20">
        <v>6.1899999999999997E-2</v>
      </c>
      <c r="Q373" s="20">
        <v>-0.3135</v>
      </c>
      <c r="R373" s="20">
        <v>0.33979999999999999</v>
      </c>
      <c r="S373" s="20">
        <v>-0.1885</v>
      </c>
      <c r="T373" s="20">
        <v>1.9099999999999999E-2</v>
      </c>
      <c r="U373" s="20">
        <v>0.2258</v>
      </c>
      <c r="V373" s="20">
        <v>0.33</v>
      </c>
      <c r="W373" s="20">
        <v>-0.1186</v>
      </c>
      <c r="X373" s="20">
        <v>-0.1152</v>
      </c>
      <c r="Y373" s="20">
        <v>-1.6999999999999999E-3</v>
      </c>
      <c r="Z373" s="20">
        <v>-0.219</v>
      </c>
      <c r="AA373" s="20">
        <v>-9.4899999999999998E-2</v>
      </c>
      <c r="AB373" s="20">
        <v>3.9E-2</v>
      </c>
      <c r="AC373" s="20">
        <v>2.3300000000000001E-2</v>
      </c>
      <c r="AD373" s="20">
        <v>-9.4500000000000001E-2</v>
      </c>
      <c r="AE373" s="20">
        <v>0</v>
      </c>
      <c r="AF373" s="20">
        <v>-3.3000000000000002E-2</v>
      </c>
      <c r="AG373" s="20">
        <v>0.2601</v>
      </c>
      <c r="AH373" s="20">
        <v>2.8400000000000002E-2</v>
      </c>
      <c r="AI373" s="20">
        <v>8.1799999999999998E-2</v>
      </c>
      <c r="AJ373" s="20">
        <v>-8.2600000000000007E-2</v>
      </c>
      <c r="AK373" s="20">
        <v>-0.28560000000000002</v>
      </c>
      <c r="AL373" s="21">
        <v>0.1241</v>
      </c>
    </row>
    <row r="374" spans="1:38">
      <c r="A374" s="20">
        <v>-0.36630000000000001</v>
      </c>
      <c r="B374" s="20">
        <v>0.22570000000000001</v>
      </c>
      <c r="C374" s="20">
        <v>-0.10639999999999999</v>
      </c>
      <c r="D374" s="20">
        <v>0.1326</v>
      </c>
      <c r="E374" s="20">
        <v>7.0499999999999993E-2</v>
      </c>
      <c r="F374" s="20">
        <v>0.245</v>
      </c>
      <c r="G374" s="20">
        <v>-0.1168</v>
      </c>
      <c r="H374" s="20">
        <v>0.21970000000000001</v>
      </c>
      <c r="I374" s="20">
        <v>-5.7700000000000001E-2</v>
      </c>
      <c r="J374" s="20">
        <v>8.7800000000000003E-2</v>
      </c>
      <c r="K374" s="20">
        <v>0.08</v>
      </c>
      <c r="L374" s="20">
        <v>0.1022</v>
      </c>
      <c r="M374" s="20">
        <v>0.1363</v>
      </c>
      <c r="N374" s="20">
        <v>-1.44E-2</v>
      </c>
      <c r="O374" s="20">
        <v>-0.17</v>
      </c>
      <c r="P374" s="20">
        <v>2.9999999999999997E-4</v>
      </c>
      <c r="Q374" s="20">
        <v>2.8E-3</v>
      </c>
      <c r="R374" s="20">
        <v>-0.23449999999999999</v>
      </c>
      <c r="S374" s="20">
        <v>6.2300000000000001E-2</v>
      </c>
      <c r="T374" s="20">
        <v>-0.1971</v>
      </c>
      <c r="U374" s="20">
        <v>-0.14399999999999999</v>
      </c>
      <c r="V374" s="20">
        <v>-4.7600000000000003E-2</v>
      </c>
      <c r="W374" s="20">
        <v>0.24279999999999999</v>
      </c>
      <c r="X374" s="20">
        <v>-7.4000000000000003E-3</v>
      </c>
      <c r="Y374" s="20">
        <v>8.3599999999999994E-2</v>
      </c>
      <c r="Z374" s="20">
        <v>-0.16470000000000001</v>
      </c>
      <c r="AA374" s="20">
        <v>-0.1308</v>
      </c>
      <c r="AB374" s="20">
        <v>0.44319999999999998</v>
      </c>
      <c r="AC374" s="20">
        <v>7.0400000000000004E-2</v>
      </c>
      <c r="AD374" s="20">
        <v>-0.14099999999999999</v>
      </c>
      <c r="AE374" s="20">
        <v>-0.12039999999999999</v>
      </c>
      <c r="AF374" s="20">
        <v>0.14610000000000001</v>
      </c>
      <c r="AG374" s="20">
        <v>-0.1565</v>
      </c>
      <c r="AH374" s="20">
        <v>0.17749999999999999</v>
      </c>
      <c r="AI374" s="20">
        <v>-5.5599999999999997E-2</v>
      </c>
      <c r="AJ374" s="20">
        <v>-2.53E-2</v>
      </c>
      <c r="AK374" s="20">
        <v>-0.1419</v>
      </c>
      <c r="AL374" s="21">
        <v>-0.12509999999999999</v>
      </c>
    </row>
    <row r="375" spans="1:38">
      <c r="A375" s="20">
        <v>0.17480000000000001</v>
      </c>
      <c r="B375" s="20">
        <v>0.1983</v>
      </c>
      <c r="C375" s="20">
        <v>-0.13819999999999999</v>
      </c>
      <c r="D375" s="20">
        <v>-7.0300000000000001E-2</v>
      </c>
      <c r="E375" s="20">
        <v>-0.33429999999999999</v>
      </c>
      <c r="F375" s="20">
        <v>0.1061</v>
      </c>
      <c r="G375" s="20">
        <v>0.1265</v>
      </c>
      <c r="H375" s="20">
        <v>-0.15279999999999999</v>
      </c>
      <c r="I375" s="20">
        <v>0.1154</v>
      </c>
      <c r="J375" s="20">
        <v>-1.5599999999999999E-2</v>
      </c>
      <c r="K375" s="20">
        <v>5.0900000000000001E-2</v>
      </c>
      <c r="L375" s="20">
        <v>4.3099999999999999E-2</v>
      </c>
      <c r="M375" s="20">
        <v>-0.1149</v>
      </c>
      <c r="N375" s="20">
        <v>-0.14430000000000001</v>
      </c>
      <c r="O375" s="20">
        <v>-0.13089999999999999</v>
      </c>
      <c r="P375" s="20">
        <v>0.21440000000000001</v>
      </c>
      <c r="Q375" s="20">
        <v>3.5700000000000003E-2</v>
      </c>
      <c r="R375" s="20">
        <v>0.16650000000000001</v>
      </c>
      <c r="S375" s="20">
        <v>-1.5699999999999999E-2</v>
      </c>
      <c r="T375" s="20">
        <v>8.0399999999999999E-2</v>
      </c>
      <c r="U375" s="20">
        <v>-5.4699999999999999E-2</v>
      </c>
      <c r="V375" s="20">
        <v>-8.5599999999999996E-2</v>
      </c>
      <c r="W375" s="20">
        <v>0.1201</v>
      </c>
      <c r="X375" s="20">
        <v>-0.09</v>
      </c>
      <c r="Y375" s="20">
        <v>0.3241</v>
      </c>
      <c r="Z375" s="20">
        <v>0.30690000000000001</v>
      </c>
      <c r="AA375" s="20">
        <v>-0.25879999999999997</v>
      </c>
      <c r="AB375" s="20">
        <v>-0.13569999999999999</v>
      </c>
      <c r="AC375" s="20">
        <v>-0.20780000000000001</v>
      </c>
      <c r="AD375" s="20">
        <v>9.2299999999999993E-2</v>
      </c>
      <c r="AE375" s="20">
        <v>6.6299999999999998E-2</v>
      </c>
      <c r="AF375" s="20">
        <v>-4.2500000000000003E-2</v>
      </c>
      <c r="AG375" s="20">
        <v>9.1200000000000003E-2</v>
      </c>
      <c r="AH375" s="20">
        <v>-0.27529999999999999</v>
      </c>
      <c r="AI375" s="20">
        <v>-8.7900000000000006E-2</v>
      </c>
      <c r="AJ375" s="20">
        <v>0.25409999999999999</v>
      </c>
      <c r="AK375" s="20">
        <v>3.6200000000000003E-2</v>
      </c>
      <c r="AL375" s="21">
        <v>-0.2447</v>
      </c>
    </row>
    <row r="376" spans="1:38">
      <c r="A376" s="20">
        <v>0.16020000000000001</v>
      </c>
      <c r="B376" s="20">
        <v>-0.20519999999999999</v>
      </c>
      <c r="C376" s="20">
        <v>0.31609999999999999</v>
      </c>
      <c r="D376" s="20">
        <v>6.8099999999999994E-2</v>
      </c>
      <c r="E376" s="20">
        <v>-3.7199999999999997E-2</v>
      </c>
      <c r="F376" s="20">
        <v>-9.7900000000000001E-2</v>
      </c>
      <c r="G376" s="20">
        <v>0.20799999999999999</v>
      </c>
      <c r="H376" s="20">
        <v>7.4399999999999994E-2</v>
      </c>
      <c r="I376" s="20">
        <v>-0.16800000000000001</v>
      </c>
      <c r="J376" s="20">
        <v>7.9100000000000004E-2</v>
      </c>
      <c r="K376" s="20">
        <v>-7.9500000000000001E-2</v>
      </c>
      <c r="L376" s="20">
        <v>-5.4800000000000001E-2</v>
      </c>
      <c r="M376" s="20">
        <v>8.6E-3</v>
      </c>
      <c r="N376" s="20">
        <v>-0.19939999999999999</v>
      </c>
      <c r="O376" s="20">
        <v>-9.2799999999999994E-2</v>
      </c>
      <c r="P376" s="20">
        <v>-4.2700000000000002E-2</v>
      </c>
      <c r="Q376" s="20">
        <v>0.28239999999999998</v>
      </c>
      <c r="R376" s="20">
        <v>0.24049999999999999</v>
      </c>
      <c r="S376" s="20">
        <v>1.21E-2</v>
      </c>
      <c r="T376" s="20">
        <v>0.14099999999999999</v>
      </c>
      <c r="U376" s="20">
        <v>0.1426</v>
      </c>
      <c r="V376" s="20">
        <v>8.3400000000000002E-2</v>
      </c>
      <c r="W376" s="20">
        <v>-0.1206</v>
      </c>
      <c r="X376" s="20">
        <v>1.7999999999999999E-2</v>
      </c>
      <c r="Y376" s="20">
        <v>-0.1641</v>
      </c>
      <c r="Z376" s="20">
        <v>-0.31059999999999999</v>
      </c>
      <c r="AA376" s="20">
        <v>-0.34429999999999999</v>
      </c>
      <c r="AB376" s="20">
        <v>8.6E-3</v>
      </c>
      <c r="AC376" s="20">
        <v>8.2600000000000007E-2</v>
      </c>
      <c r="AD376" s="20">
        <v>-0.25580000000000003</v>
      </c>
      <c r="AE376" s="20">
        <v>0.13039999999999999</v>
      </c>
      <c r="AF376" s="20">
        <v>0.25030000000000002</v>
      </c>
      <c r="AG376" s="20">
        <v>4.3099999999999999E-2</v>
      </c>
      <c r="AH376" s="20">
        <v>3.3300000000000003E-2</v>
      </c>
      <c r="AI376" s="20">
        <v>-3.56E-2</v>
      </c>
      <c r="AJ376" s="20">
        <v>0.15429999999999999</v>
      </c>
      <c r="AK376" s="20">
        <v>-0.12139999999999999</v>
      </c>
      <c r="AL376" s="21">
        <v>-0.19350000000000001</v>
      </c>
    </row>
    <row r="377" spans="1:38">
      <c r="A377" s="20">
        <v>0.18440000000000001</v>
      </c>
      <c r="B377" s="20">
        <v>0.16389999999999999</v>
      </c>
      <c r="C377" s="20">
        <v>6.2300000000000001E-2</v>
      </c>
      <c r="D377" s="20">
        <v>-0.3256</v>
      </c>
      <c r="E377" s="20">
        <v>-9.1800000000000007E-2</v>
      </c>
      <c r="F377" s="20">
        <v>-0.13550000000000001</v>
      </c>
      <c r="G377" s="20">
        <v>0.2482</v>
      </c>
      <c r="H377" s="20">
        <v>3.5999999999999997E-2</v>
      </c>
      <c r="I377" s="20">
        <v>0.24859999999999999</v>
      </c>
      <c r="J377" s="20">
        <v>-2.0000000000000001E-4</v>
      </c>
      <c r="K377" s="20">
        <v>1.78E-2</v>
      </c>
      <c r="L377" s="20">
        <v>-0.33360000000000001</v>
      </c>
      <c r="M377" s="20">
        <v>2.0199999999999999E-2</v>
      </c>
      <c r="N377" s="20">
        <v>0.2097</v>
      </c>
      <c r="O377" s="20">
        <v>-6.7299999999999999E-2</v>
      </c>
      <c r="P377" s="20">
        <v>-0.1198</v>
      </c>
      <c r="Q377" s="20">
        <v>0.18229999999999999</v>
      </c>
      <c r="R377" s="20">
        <v>7.6700000000000004E-2</v>
      </c>
      <c r="S377" s="20">
        <v>-4.19E-2</v>
      </c>
      <c r="T377" s="20">
        <v>-0.26100000000000001</v>
      </c>
      <c r="U377" s="20">
        <v>-3.09E-2</v>
      </c>
      <c r="V377" s="20">
        <v>-0.2334</v>
      </c>
      <c r="W377" s="20">
        <v>-0.23080000000000001</v>
      </c>
      <c r="X377" s="20">
        <v>0.15720000000000001</v>
      </c>
      <c r="Y377" s="20">
        <v>-0.1149</v>
      </c>
      <c r="Z377" s="20">
        <v>0.13120000000000001</v>
      </c>
      <c r="AA377" s="20">
        <v>0.18049999999999999</v>
      </c>
      <c r="AB377" s="20">
        <v>-0.1143</v>
      </c>
      <c r="AC377" s="20">
        <v>-3.5200000000000002E-2</v>
      </c>
      <c r="AD377" s="20">
        <v>0.14680000000000001</v>
      </c>
      <c r="AE377" s="20">
        <v>0.1171</v>
      </c>
      <c r="AF377" s="20">
        <v>0.14779999999999999</v>
      </c>
      <c r="AG377" s="20">
        <v>-0.19359999999999999</v>
      </c>
      <c r="AH377" s="20">
        <v>-3.2500000000000001E-2</v>
      </c>
      <c r="AI377" s="20">
        <v>-3.56E-2</v>
      </c>
      <c r="AJ377" s="20">
        <v>-0.2011</v>
      </c>
      <c r="AK377" s="20">
        <v>0.20180000000000001</v>
      </c>
      <c r="AL377" s="21">
        <v>7.17E-2</v>
      </c>
    </row>
    <row r="378" spans="1:38">
      <c r="A378" s="20">
        <v>0.5101</v>
      </c>
      <c r="B378" s="20">
        <v>-0.1363</v>
      </c>
      <c r="C378" s="20">
        <v>0.1308</v>
      </c>
      <c r="D378" s="20">
        <v>-2.5999999999999999E-2</v>
      </c>
      <c r="E378" s="20">
        <v>4.0899999999999999E-2</v>
      </c>
      <c r="F378" s="20">
        <v>6.7400000000000002E-2</v>
      </c>
      <c r="G378" s="20">
        <v>-5.3400000000000003E-2</v>
      </c>
      <c r="H378" s="20">
        <v>-5.0000000000000001E-3</v>
      </c>
      <c r="I378" s="20">
        <v>-1.7500000000000002E-2</v>
      </c>
      <c r="J378" s="20">
        <v>0.2571</v>
      </c>
      <c r="K378" s="20">
        <v>-3.1399999999999997E-2</v>
      </c>
      <c r="L378" s="20">
        <v>-0.17219999999999999</v>
      </c>
      <c r="M378" s="20">
        <v>0.14230000000000001</v>
      </c>
      <c r="N378" s="20">
        <v>-0.12130000000000001</v>
      </c>
      <c r="O378" s="20">
        <v>-0.43419999999999997</v>
      </c>
      <c r="P378" s="20">
        <v>-0.19520000000000001</v>
      </c>
      <c r="Q378" s="20">
        <v>-7.9399999999999998E-2</v>
      </c>
      <c r="R378" s="20">
        <v>0.1003</v>
      </c>
      <c r="S378" s="20">
        <v>1.4E-2</v>
      </c>
      <c r="T378" s="20">
        <v>-0.2331</v>
      </c>
      <c r="U378" s="20">
        <v>2.1999999999999999E-2</v>
      </c>
      <c r="V378" s="20">
        <v>-0.1148</v>
      </c>
      <c r="W378" s="20">
        <v>0.1028</v>
      </c>
      <c r="X378" s="20">
        <v>0.1847</v>
      </c>
      <c r="Y378" s="20">
        <v>0.25109999999999999</v>
      </c>
      <c r="Z378" s="20">
        <v>-0.1777</v>
      </c>
      <c r="AA378" s="20">
        <v>7.9399999999999998E-2</v>
      </c>
      <c r="AB378" s="20">
        <v>0.1867</v>
      </c>
      <c r="AC378" s="20">
        <v>4.99E-2</v>
      </c>
      <c r="AD378" s="20">
        <v>-0.16769999999999999</v>
      </c>
      <c r="AE378" s="20">
        <v>1.7500000000000002E-2</v>
      </c>
      <c r="AF378" s="20">
        <v>-9.5299999999999996E-2</v>
      </c>
      <c r="AG378" s="20">
        <v>7.2400000000000006E-2</v>
      </c>
      <c r="AH378" s="20">
        <v>-4.5900000000000003E-2</v>
      </c>
      <c r="AI378" s="20">
        <v>-8.8800000000000004E-2</v>
      </c>
      <c r="AJ378" s="20">
        <v>-0.1108</v>
      </c>
      <c r="AK378" s="20">
        <v>4.3400000000000001E-2</v>
      </c>
      <c r="AL378" s="21">
        <v>3.6400000000000002E-2</v>
      </c>
    </row>
    <row r="379" spans="1:38">
      <c r="A379" s="20">
        <v>0.14349999999999999</v>
      </c>
      <c r="B379" s="20">
        <v>-0.10539999999999999</v>
      </c>
      <c r="C379" s="20">
        <v>-4.4999999999999997E-3</v>
      </c>
      <c r="D379" s="20">
        <v>0.14230000000000001</v>
      </c>
      <c r="E379" s="20">
        <v>9.7100000000000006E-2</v>
      </c>
      <c r="F379" s="20">
        <v>-0.1908</v>
      </c>
      <c r="G379" s="20">
        <v>9.5200000000000007E-2</v>
      </c>
      <c r="H379" s="20">
        <v>8.7300000000000003E-2</v>
      </c>
      <c r="I379" s="20">
        <v>0.22559999999999999</v>
      </c>
      <c r="J379" s="20">
        <v>-0.1706</v>
      </c>
      <c r="K379" s="20">
        <v>-0.13780000000000001</v>
      </c>
      <c r="L379" s="20">
        <v>-0.34860000000000002</v>
      </c>
      <c r="M379" s="20">
        <v>-1.4800000000000001E-2</v>
      </c>
      <c r="N379" s="20">
        <v>-1.7100000000000001E-2</v>
      </c>
      <c r="O379" s="20">
        <v>0.10299999999999999</v>
      </c>
      <c r="P379" s="20">
        <v>-0.4642</v>
      </c>
      <c r="Q379" s="20">
        <v>-1.4800000000000001E-2</v>
      </c>
      <c r="R379" s="20">
        <v>4.0399999999999998E-2</v>
      </c>
      <c r="S379" s="20">
        <v>-0.1535</v>
      </c>
      <c r="T379" s="20">
        <v>0.16439999999999999</v>
      </c>
      <c r="U379" s="20">
        <v>-1.9E-3</v>
      </c>
      <c r="V379" s="20">
        <v>0.1085</v>
      </c>
      <c r="W379" s="20">
        <v>5.8500000000000003E-2</v>
      </c>
      <c r="X379" s="20">
        <v>0.1321</v>
      </c>
      <c r="Y379" s="20">
        <v>0.16800000000000001</v>
      </c>
      <c r="Z379" s="20">
        <v>0.13969999999999999</v>
      </c>
      <c r="AA379" s="20">
        <v>0.12230000000000001</v>
      </c>
      <c r="AB379" s="20">
        <v>-0.13730000000000001</v>
      </c>
      <c r="AC379" s="20">
        <v>0.25669999999999998</v>
      </c>
      <c r="AD379" s="20">
        <v>-0.35499999999999998</v>
      </c>
      <c r="AE379" s="20">
        <v>2.52E-2</v>
      </c>
      <c r="AF379" s="20">
        <v>-8.6099999999999996E-2</v>
      </c>
      <c r="AG379" s="20">
        <v>5.04E-2</v>
      </c>
      <c r="AH379" s="20">
        <v>0.1221</v>
      </c>
      <c r="AI379" s="20">
        <v>5.5899999999999998E-2</v>
      </c>
      <c r="AJ379" s="20">
        <v>-5.5199999999999999E-2</v>
      </c>
      <c r="AK379" s="20">
        <v>0.1147</v>
      </c>
      <c r="AL379" s="21">
        <v>-0.18729999999999999</v>
      </c>
    </row>
    <row r="380" spans="1:38">
      <c r="A380" s="20">
        <v>0.49859999999999999</v>
      </c>
      <c r="B380" s="20">
        <v>-0.28849999999999998</v>
      </c>
      <c r="C380" s="20">
        <v>-0.1961</v>
      </c>
      <c r="D380" s="20">
        <v>0.17599999999999999</v>
      </c>
      <c r="E380" s="20">
        <v>-7.1300000000000002E-2</v>
      </c>
      <c r="F380" s="20">
        <v>3.6999999999999998E-2</v>
      </c>
      <c r="G380" s="20">
        <v>2.5999999999999999E-3</v>
      </c>
      <c r="H380" s="20">
        <v>-2.1600000000000001E-2</v>
      </c>
      <c r="I380" s="20">
        <v>-0.13450000000000001</v>
      </c>
      <c r="J380" s="20">
        <v>0.22459999999999999</v>
      </c>
      <c r="K380" s="20">
        <v>-0.25729999999999997</v>
      </c>
      <c r="L380" s="20">
        <v>-0.10349999999999999</v>
      </c>
      <c r="M380" s="20">
        <v>0.19359999999999999</v>
      </c>
      <c r="N380" s="20">
        <v>-0.16320000000000001</v>
      </c>
      <c r="O380" s="20">
        <v>-7.9000000000000001E-2</v>
      </c>
      <c r="P380" s="20">
        <v>3.5499999999999997E-2</v>
      </c>
      <c r="Q380" s="20">
        <v>-0.17080000000000001</v>
      </c>
      <c r="R380" s="20">
        <v>-9.2399999999999996E-2</v>
      </c>
      <c r="S380" s="20">
        <v>9.9199999999999997E-2</v>
      </c>
      <c r="T380" s="20">
        <v>-6.8500000000000005E-2</v>
      </c>
      <c r="U380" s="20">
        <v>5.6000000000000001E-2</v>
      </c>
      <c r="V380" s="20">
        <v>-2.0500000000000001E-2</v>
      </c>
      <c r="W380" s="20">
        <v>-3.95E-2</v>
      </c>
      <c r="X380" s="20">
        <v>-9.9000000000000008E-3</v>
      </c>
      <c r="Y380" s="20">
        <v>0.1239</v>
      </c>
      <c r="Z380" s="20">
        <v>-4.9200000000000001E-2</v>
      </c>
      <c r="AA380" s="20">
        <v>0.1231</v>
      </c>
      <c r="AB380" s="20">
        <v>6.4999999999999997E-3</v>
      </c>
      <c r="AC380" s="20">
        <v>-0.1239</v>
      </c>
      <c r="AD380" s="20">
        <v>0.39229999999999998</v>
      </c>
      <c r="AE380" s="20">
        <v>-4.0899999999999999E-2</v>
      </c>
      <c r="AF380" s="20">
        <v>9.7000000000000003E-3</v>
      </c>
      <c r="AG380" s="20">
        <v>1.11E-2</v>
      </c>
      <c r="AH380" s="20">
        <v>-0.15379999999999999</v>
      </c>
      <c r="AI380" s="20">
        <v>2.76E-2</v>
      </c>
      <c r="AJ380" s="20">
        <v>0.23</v>
      </c>
      <c r="AK380" s="20">
        <v>3.3000000000000002E-2</v>
      </c>
      <c r="AL380" s="21">
        <v>-0.18679999999999999</v>
      </c>
    </row>
    <row r="381" spans="1:38">
      <c r="A381" s="20">
        <v>0.13589999999999999</v>
      </c>
      <c r="B381" s="20">
        <v>0.153</v>
      </c>
      <c r="C381" s="20">
        <v>0.2107</v>
      </c>
      <c r="D381" s="20">
        <v>4.2900000000000001E-2</v>
      </c>
      <c r="E381" s="20">
        <v>-0.33260000000000001</v>
      </c>
      <c r="F381" s="20">
        <v>0.24990000000000001</v>
      </c>
      <c r="G381" s="20">
        <v>0.13070000000000001</v>
      </c>
      <c r="H381" s="20">
        <v>-0.34310000000000002</v>
      </c>
      <c r="I381" s="20">
        <v>0.1042</v>
      </c>
      <c r="J381" s="20">
        <v>-9.8799999999999999E-2</v>
      </c>
      <c r="K381" s="20">
        <v>-0.2727</v>
      </c>
      <c r="L381" s="20">
        <v>9.1499999999999998E-2</v>
      </c>
      <c r="M381" s="20">
        <v>-0.19570000000000001</v>
      </c>
      <c r="N381" s="20">
        <v>0.3478</v>
      </c>
      <c r="O381" s="20">
        <v>-2.87E-2</v>
      </c>
      <c r="P381" s="20">
        <v>3.4099999999999998E-2</v>
      </c>
      <c r="Q381" s="20">
        <v>-0.1258</v>
      </c>
      <c r="R381" s="20">
        <v>-0.3412</v>
      </c>
      <c r="S381" s="20">
        <v>4.4600000000000001E-2</v>
      </c>
      <c r="T381" s="20">
        <v>0.1452</v>
      </c>
      <c r="U381" s="20">
        <v>4.6800000000000001E-2</v>
      </c>
      <c r="V381" s="20">
        <v>5.5999999999999999E-3</v>
      </c>
      <c r="W381" s="20">
        <v>6.4500000000000002E-2</v>
      </c>
      <c r="X381" s="20">
        <v>-0.1087</v>
      </c>
      <c r="Y381" s="20">
        <v>-2.7699999999999999E-2</v>
      </c>
      <c r="Z381" s="20">
        <v>-6.3799999999999996E-2</v>
      </c>
      <c r="AA381" s="20">
        <v>1.1299999999999999E-2</v>
      </c>
      <c r="AB381" s="20">
        <v>-3.1399999999999997E-2</v>
      </c>
      <c r="AC381" s="20">
        <v>9.2999999999999992E-3</v>
      </c>
      <c r="AD381" s="20">
        <v>0.1938</v>
      </c>
      <c r="AE381" s="20">
        <v>-8.2699999999999996E-2</v>
      </c>
      <c r="AF381" s="20">
        <v>2.4799999999999999E-2</v>
      </c>
      <c r="AG381" s="20">
        <v>-0.16850000000000001</v>
      </c>
      <c r="AH381" s="20">
        <v>-0.13220000000000001</v>
      </c>
      <c r="AI381" s="20">
        <v>2.8000000000000001E-2</v>
      </c>
      <c r="AJ381" s="20">
        <v>0.2041</v>
      </c>
      <c r="AK381" s="20">
        <v>-7.2599999999999998E-2</v>
      </c>
      <c r="AL381" s="21">
        <v>0.1459</v>
      </c>
    </row>
    <row r="382" spans="1:38">
      <c r="A382" s="20">
        <v>0.22170000000000001</v>
      </c>
      <c r="B382" s="20">
        <v>-4.5900000000000003E-2</v>
      </c>
      <c r="C382" s="20">
        <v>-7.9500000000000001E-2</v>
      </c>
      <c r="D382" s="20">
        <v>-0.215</v>
      </c>
      <c r="E382" s="20">
        <v>0.19220000000000001</v>
      </c>
      <c r="F382" s="20">
        <v>-0.19919999999999999</v>
      </c>
      <c r="G382" s="20">
        <v>0.29499999999999998</v>
      </c>
      <c r="H382" s="20">
        <v>8.1900000000000001E-2</v>
      </c>
      <c r="I382" s="20">
        <v>0.2303</v>
      </c>
      <c r="J382" s="20">
        <v>1.21E-2</v>
      </c>
      <c r="K382" s="20">
        <v>0.10249999999999999</v>
      </c>
      <c r="L382" s="20">
        <v>5.0999999999999997E-2</v>
      </c>
      <c r="M382" s="20">
        <v>-1.5800000000000002E-2</v>
      </c>
      <c r="N382" s="20">
        <v>1.7399999999999999E-2</v>
      </c>
      <c r="O382" s="20">
        <v>-0.1903</v>
      </c>
      <c r="P382" s="20">
        <v>0.13689999999999999</v>
      </c>
      <c r="Q382" s="20">
        <v>7.7799999999999994E-2</v>
      </c>
      <c r="R382" s="20">
        <v>3.3000000000000002E-2</v>
      </c>
      <c r="S382" s="20">
        <v>-0.1908</v>
      </c>
      <c r="T382" s="20">
        <v>-3.6499999999999998E-2</v>
      </c>
      <c r="U382" s="20">
        <v>-0.28449999999999998</v>
      </c>
      <c r="V382" s="20">
        <v>4.2700000000000002E-2</v>
      </c>
      <c r="W382" s="20">
        <v>-0.1176</v>
      </c>
      <c r="X382" s="20">
        <v>-4.8300000000000003E-2</v>
      </c>
      <c r="Y382" s="20">
        <v>0.22090000000000001</v>
      </c>
      <c r="Z382" s="20">
        <v>0.26329999999999998</v>
      </c>
      <c r="AA382" s="20">
        <v>-4.6199999999999998E-2</v>
      </c>
      <c r="AB382" s="20">
        <v>-0.1178</v>
      </c>
      <c r="AC382" s="20">
        <v>-0.1613</v>
      </c>
      <c r="AD382" s="20">
        <v>-3.1099999999999999E-2</v>
      </c>
      <c r="AE382" s="20">
        <v>-5.6399999999999999E-2</v>
      </c>
      <c r="AF382" s="20">
        <v>0.2571</v>
      </c>
      <c r="AG382" s="20">
        <v>0.27350000000000002</v>
      </c>
      <c r="AH382" s="20">
        <v>-0.30120000000000002</v>
      </c>
      <c r="AI382" s="20">
        <v>-7.6499999999999999E-2</v>
      </c>
      <c r="AJ382" s="20">
        <v>-4.3999999999999997E-2</v>
      </c>
      <c r="AK382" s="20">
        <v>-1.4200000000000001E-2</v>
      </c>
      <c r="AL382" s="21">
        <v>-0.23730000000000001</v>
      </c>
    </row>
    <row r="383" spans="1:38">
      <c r="A383" s="20">
        <v>0.30480000000000002</v>
      </c>
      <c r="B383" s="20">
        <v>-0.2135</v>
      </c>
      <c r="C383" s="20">
        <v>-0.31619999999999998</v>
      </c>
      <c r="D383" s="20">
        <v>0.11550000000000001</v>
      </c>
      <c r="E383" s="20">
        <v>-8.8099999999999998E-2</v>
      </c>
      <c r="F383" s="20">
        <v>-4.87E-2</v>
      </c>
      <c r="G383" s="20">
        <v>1.34E-2</v>
      </c>
      <c r="H383" s="20">
        <v>1.15E-2</v>
      </c>
      <c r="I383" s="20">
        <v>-4.2000000000000003E-2</v>
      </c>
      <c r="J383" s="20">
        <v>0.29709999999999998</v>
      </c>
      <c r="K383" s="20">
        <v>-5.28E-2</v>
      </c>
      <c r="L383" s="20">
        <v>1.4999999999999999E-2</v>
      </c>
      <c r="M383" s="20">
        <v>-8.0000000000000002E-3</v>
      </c>
      <c r="N383" s="20">
        <v>-0.17530000000000001</v>
      </c>
      <c r="O383" s="20">
        <v>-0.22939999999999999</v>
      </c>
      <c r="P383" s="20">
        <v>0.18229999999999999</v>
      </c>
      <c r="Q383" s="20">
        <v>-0.1021</v>
      </c>
      <c r="R383" s="20">
        <v>9.4200000000000006E-2</v>
      </c>
      <c r="S383" s="20">
        <v>-2.8000000000000001E-2</v>
      </c>
      <c r="T383" s="20">
        <v>0.1231</v>
      </c>
      <c r="U383" s="20">
        <v>-7.4099999999999999E-2</v>
      </c>
      <c r="V383" s="20">
        <v>-0.13300000000000001</v>
      </c>
      <c r="W383" s="20">
        <v>-1.43E-2</v>
      </c>
      <c r="X383" s="20">
        <v>-0.13869999999999999</v>
      </c>
      <c r="Y383" s="20">
        <v>0.24429999999999999</v>
      </c>
      <c r="Z383" s="20">
        <v>0.19689999999999999</v>
      </c>
      <c r="AA383" s="20">
        <v>5.6599999999999998E-2</v>
      </c>
      <c r="AB383" s="20">
        <v>-0.1177</v>
      </c>
      <c r="AC383" s="20">
        <v>-0.17560000000000001</v>
      </c>
      <c r="AD383" s="20">
        <v>0.23860000000000001</v>
      </c>
      <c r="AE383" s="20">
        <v>0.1094</v>
      </c>
      <c r="AF383" s="20">
        <v>-0.1037</v>
      </c>
      <c r="AG383" s="20">
        <v>0.21820000000000001</v>
      </c>
      <c r="AH383" s="20">
        <v>-0.216</v>
      </c>
      <c r="AI383" s="20">
        <v>-0.1222</v>
      </c>
      <c r="AJ383" s="20">
        <v>0.23</v>
      </c>
      <c r="AK383" s="20">
        <v>0.1517</v>
      </c>
      <c r="AL383" s="21">
        <v>-0.1976</v>
      </c>
    </row>
    <row r="384" spans="1:38">
      <c r="A384" s="20">
        <v>-0.27789999999999998</v>
      </c>
      <c r="B384" s="20">
        <v>0.15310000000000001</v>
      </c>
      <c r="C384" s="20">
        <v>2.92E-2</v>
      </c>
      <c r="D384" s="20">
        <v>-0.19159999999999999</v>
      </c>
      <c r="E384" s="20">
        <v>-0.43259999999999998</v>
      </c>
      <c r="F384" s="20">
        <v>0.13159999999999999</v>
      </c>
      <c r="G384" s="20">
        <v>0.15290000000000001</v>
      </c>
      <c r="H384" s="20">
        <v>-3.4799999999999998E-2</v>
      </c>
      <c r="I384" s="20">
        <v>-0.14360000000000001</v>
      </c>
      <c r="J384" s="20">
        <v>5.4199999999999998E-2</v>
      </c>
      <c r="K384" s="20">
        <v>2.7000000000000001E-3</v>
      </c>
      <c r="L384" s="20">
        <v>4.7999999999999996E-3</v>
      </c>
      <c r="M384" s="20">
        <v>0.10059999999999999</v>
      </c>
      <c r="N384" s="20">
        <v>-0.11070000000000001</v>
      </c>
      <c r="O384" s="20">
        <v>-0.11749999999999999</v>
      </c>
      <c r="P384" s="20">
        <v>7.4499999999999997E-2</v>
      </c>
      <c r="Q384" s="20">
        <v>-5.28E-2</v>
      </c>
      <c r="R384" s="20">
        <v>0.26919999999999999</v>
      </c>
      <c r="S384" s="20">
        <v>9.6000000000000002E-2</v>
      </c>
      <c r="T384" s="20">
        <v>-0.14050000000000001</v>
      </c>
      <c r="U384" s="20">
        <v>9.2299999999999993E-2</v>
      </c>
      <c r="V384" s="20">
        <v>-0.161</v>
      </c>
      <c r="W384" s="20">
        <v>-4.2999999999999997E-2</v>
      </c>
      <c r="X384" s="20">
        <v>0.18809999999999999</v>
      </c>
      <c r="Y384" s="20">
        <v>-0.1527</v>
      </c>
      <c r="Z384" s="20">
        <v>-4.3E-3</v>
      </c>
      <c r="AA384" s="20">
        <v>-0.10349999999999999</v>
      </c>
      <c r="AB384" s="20">
        <v>0.22239999999999999</v>
      </c>
      <c r="AC384" s="20">
        <v>4.99E-2</v>
      </c>
      <c r="AD384" s="20">
        <v>-0.23649999999999999</v>
      </c>
      <c r="AE384" s="20">
        <v>0.1103</v>
      </c>
      <c r="AF384" s="20">
        <v>-0.09</v>
      </c>
      <c r="AG384" s="20">
        <v>0.1502</v>
      </c>
      <c r="AH384" s="20">
        <v>0.25040000000000001</v>
      </c>
      <c r="AI384" s="20">
        <v>0.313</v>
      </c>
      <c r="AJ384" s="20">
        <v>-0.1883</v>
      </c>
      <c r="AK384" s="20">
        <v>-5.6899999999999999E-2</v>
      </c>
      <c r="AL384" s="21">
        <v>8.6300000000000002E-2</v>
      </c>
    </row>
    <row r="385" spans="1:38">
      <c r="A385" s="20">
        <v>0.39419999999999999</v>
      </c>
      <c r="B385" s="20">
        <v>-0.30580000000000002</v>
      </c>
      <c r="C385" s="20">
        <v>1.32E-2</v>
      </c>
      <c r="D385" s="20">
        <v>0.17630000000000001</v>
      </c>
      <c r="E385" s="20">
        <v>0.1027</v>
      </c>
      <c r="F385" s="20">
        <v>-0.1547</v>
      </c>
      <c r="G385" s="20">
        <v>-0.36580000000000001</v>
      </c>
      <c r="H385" s="20">
        <v>-0.13950000000000001</v>
      </c>
      <c r="I385" s="20">
        <v>-7.6399999999999996E-2</v>
      </c>
      <c r="J385" s="20">
        <v>0.34260000000000002</v>
      </c>
      <c r="K385" s="20">
        <v>-4.5999999999999999E-2</v>
      </c>
      <c r="L385" s="20">
        <v>3.2000000000000001E-2</v>
      </c>
      <c r="M385" s="20">
        <v>7.5600000000000001E-2</v>
      </c>
      <c r="N385" s="20">
        <v>-3.32E-2</v>
      </c>
      <c r="O385" s="20">
        <v>-0.1343</v>
      </c>
      <c r="P385" s="20">
        <v>0.15709999999999999</v>
      </c>
      <c r="Q385" s="20">
        <v>-0.1535</v>
      </c>
      <c r="R385" s="20">
        <v>0.21990000000000001</v>
      </c>
      <c r="S385" s="20">
        <v>-3.04E-2</v>
      </c>
      <c r="T385" s="20">
        <v>0.18149999999999999</v>
      </c>
      <c r="U385" s="20">
        <v>-6.8400000000000002E-2</v>
      </c>
      <c r="V385" s="20">
        <v>-0.20430000000000001</v>
      </c>
      <c r="W385" s="20">
        <v>-3.0800000000000001E-2</v>
      </c>
      <c r="X385" s="20">
        <v>-0.1371</v>
      </c>
      <c r="Y385" s="20">
        <v>5.4800000000000001E-2</v>
      </c>
      <c r="Z385" s="20">
        <v>-0.17430000000000001</v>
      </c>
      <c r="AA385" s="20">
        <v>0.13869999999999999</v>
      </c>
      <c r="AB385" s="20">
        <v>4.3200000000000002E-2</v>
      </c>
      <c r="AC385" s="20">
        <v>-0.13950000000000001</v>
      </c>
      <c r="AD385" s="20">
        <v>6.4799999999999996E-2</v>
      </c>
      <c r="AE385" s="20">
        <v>0.16389999999999999</v>
      </c>
      <c r="AF385" s="20">
        <v>-0.12670000000000001</v>
      </c>
      <c r="AG385" s="20">
        <v>0.15190000000000001</v>
      </c>
      <c r="AH385" s="20">
        <v>5.0799999999999998E-2</v>
      </c>
      <c r="AI385" s="20">
        <v>-4.1200000000000001E-2</v>
      </c>
      <c r="AJ385" s="20">
        <v>-0.14630000000000001</v>
      </c>
      <c r="AK385" s="20">
        <v>4.5600000000000002E-2</v>
      </c>
      <c r="AL385" s="21">
        <v>0.1111</v>
      </c>
    </row>
    <row r="386" spans="1:38">
      <c r="A386" s="20">
        <v>-0.50519999999999998</v>
      </c>
      <c r="B386" s="20">
        <v>-6.13E-2</v>
      </c>
      <c r="C386" s="20">
        <v>4.2700000000000002E-2</v>
      </c>
      <c r="D386" s="20">
        <v>8.3599999999999994E-2</v>
      </c>
      <c r="E386" s="20">
        <v>0.1724</v>
      </c>
      <c r="F386" s="20">
        <v>7.2599999999999998E-2</v>
      </c>
      <c r="G386" s="20">
        <v>0.52729999999999999</v>
      </c>
      <c r="H386" s="20">
        <v>-7.9799999999999996E-2</v>
      </c>
      <c r="I386" s="20">
        <v>-0.25740000000000002</v>
      </c>
      <c r="J386" s="20">
        <v>8.2799999999999999E-2</v>
      </c>
      <c r="K386" s="20">
        <v>-1.11E-2</v>
      </c>
      <c r="L386" s="20">
        <v>-0.2082</v>
      </c>
      <c r="M386" s="20">
        <v>-0.13059999999999999</v>
      </c>
      <c r="N386" s="20">
        <v>0.1552</v>
      </c>
      <c r="O386" s="20">
        <v>1.2800000000000001E-2</v>
      </c>
      <c r="P386" s="20">
        <v>-5.0799999999999998E-2</v>
      </c>
      <c r="Q386" s="20">
        <v>9.2999999999999992E-3</v>
      </c>
      <c r="R386" s="20">
        <v>0.12970000000000001</v>
      </c>
      <c r="S386" s="20">
        <v>3.2300000000000002E-2</v>
      </c>
      <c r="T386" s="20">
        <v>0.1139</v>
      </c>
      <c r="U386" s="20">
        <v>-5.7500000000000002E-2</v>
      </c>
      <c r="V386" s="20">
        <v>-0.21049999999999999</v>
      </c>
      <c r="W386" s="20">
        <v>-5.0599999999999999E-2</v>
      </c>
      <c r="X386" s="20">
        <v>1.1000000000000001E-3</v>
      </c>
      <c r="Y386" s="20">
        <v>-0.17760000000000001</v>
      </c>
      <c r="Z386" s="20">
        <v>0.12690000000000001</v>
      </c>
      <c r="AA386" s="20">
        <v>-7.6100000000000001E-2</v>
      </c>
      <c r="AB386" s="20">
        <v>-0.113</v>
      </c>
      <c r="AC386" s="20">
        <v>8.4900000000000003E-2</v>
      </c>
      <c r="AD386" s="20">
        <v>1.1599999999999999E-2</v>
      </c>
      <c r="AE386" s="20">
        <v>-6.9900000000000004E-2</v>
      </c>
      <c r="AF386" s="20">
        <v>0.1167</v>
      </c>
      <c r="AG386" s="20">
        <v>0.1086</v>
      </c>
      <c r="AH386" s="20">
        <v>6.4500000000000002E-2</v>
      </c>
      <c r="AI386" s="20">
        <v>-6.3799999999999996E-2</v>
      </c>
      <c r="AJ386" s="20">
        <v>-2.86E-2</v>
      </c>
      <c r="AK386" s="20">
        <v>-3.7400000000000003E-2</v>
      </c>
      <c r="AL386" s="21">
        <v>0.23880000000000001</v>
      </c>
    </row>
    <row r="387" spans="1:38">
      <c r="A387" s="20">
        <v>-0.44619999999999999</v>
      </c>
      <c r="B387" s="20">
        <v>-0.29260000000000003</v>
      </c>
      <c r="C387" s="20">
        <v>0.16059999999999999</v>
      </c>
      <c r="D387" s="20">
        <v>2.9999999999999997E-4</v>
      </c>
      <c r="E387" s="20">
        <v>-1.34E-2</v>
      </c>
      <c r="F387" s="20">
        <v>-2.8299999999999999E-2</v>
      </c>
      <c r="G387" s="20">
        <v>-0.14419999999999999</v>
      </c>
      <c r="H387" s="20">
        <v>0.1198</v>
      </c>
      <c r="I387" s="20">
        <v>-0.2344</v>
      </c>
      <c r="J387" s="20">
        <v>5.7000000000000002E-2</v>
      </c>
      <c r="K387" s="20">
        <v>-0.32</v>
      </c>
      <c r="L387" s="20">
        <v>0.17949999999999999</v>
      </c>
      <c r="M387" s="20">
        <v>0.1051</v>
      </c>
      <c r="N387" s="20">
        <v>-0.13930000000000001</v>
      </c>
      <c r="O387" s="20">
        <v>0.26419999999999999</v>
      </c>
      <c r="P387" s="20">
        <v>-7.7700000000000005E-2</v>
      </c>
      <c r="Q387" s="20">
        <v>-1.6199999999999999E-2</v>
      </c>
      <c r="R387" s="20">
        <v>0.1164</v>
      </c>
      <c r="S387" s="20">
        <v>-5.67E-2</v>
      </c>
      <c r="T387" s="20">
        <v>8.4400000000000003E-2</v>
      </c>
      <c r="U387" s="20">
        <v>0.18590000000000001</v>
      </c>
      <c r="V387" s="20">
        <v>-0.11</v>
      </c>
      <c r="W387" s="20">
        <v>-0.16120000000000001</v>
      </c>
      <c r="X387" s="20">
        <v>6.83E-2</v>
      </c>
      <c r="Y387" s="20">
        <v>0.22220000000000001</v>
      </c>
      <c r="Z387" s="20">
        <v>0.1167</v>
      </c>
      <c r="AA387" s="20">
        <v>-6.4899999999999999E-2</v>
      </c>
      <c r="AB387" s="20">
        <v>0.1615</v>
      </c>
      <c r="AC387" s="20">
        <v>0.31119999999999998</v>
      </c>
      <c r="AD387" s="20">
        <v>8.9899999999999994E-2</v>
      </c>
      <c r="AE387" s="20">
        <v>-0.10059999999999999</v>
      </c>
      <c r="AF387" s="20">
        <v>2.5899999999999999E-2</v>
      </c>
      <c r="AG387" s="20">
        <v>8.6900000000000005E-2</v>
      </c>
      <c r="AH387" s="20">
        <v>2.1899999999999999E-2</v>
      </c>
      <c r="AI387" s="20">
        <v>-0.1076</v>
      </c>
      <c r="AJ387" s="20">
        <v>-0.11459999999999999</v>
      </c>
      <c r="AK387" s="20">
        <v>-4.5100000000000001E-2</v>
      </c>
      <c r="AL387" s="21">
        <v>9.5100000000000004E-2</v>
      </c>
    </row>
    <row r="388" spans="1:38">
      <c r="A388" s="20">
        <v>0.34029999999999999</v>
      </c>
      <c r="B388" s="20">
        <v>-0.26919999999999999</v>
      </c>
      <c r="C388" s="20">
        <v>0.16600000000000001</v>
      </c>
      <c r="D388" s="20">
        <v>-0.3468</v>
      </c>
      <c r="E388" s="20">
        <v>-9.4500000000000001E-2</v>
      </c>
      <c r="F388" s="20">
        <v>-0.34520000000000001</v>
      </c>
      <c r="G388" s="20">
        <v>2.9600000000000001E-2</v>
      </c>
      <c r="H388" s="20">
        <v>-0.28070000000000001</v>
      </c>
      <c r="I388" s="20">
        <v>-0.16070000000000001</v>
      </c>
      <c r="J388" s="20">
        <v>0.11219999999999999</v>
      </c>
      <c r="K388" s="20">
        <v>-1.8499999999999999E-2</v>
      </c>
      <c r="L388" s="20">
        <v>0.13070000000000001</v>
      </c>
      <c r="M388" s="20">
        <v>0.19850000000000001</v>
      </c>
      <c r="N388" s="20">
        <v>-0.106</v>
      </c>
      <c r="O388" s="20">
        <v>8.7900000000000006E-2</v>
      </c>
      <c r="P388" s="20">
        <v>-0.157</v>
      </c>
      <c r="Q388" s="20">
        <v>-6.1199999999999997E-2</v>
      </c>
      <c r="R388" s="20">
        <v>-3.04E-2</v>
      </c>
      <c r="S388" s="20">
        <v>-0.14749999999999999</v>
      </c>
      <c r="T388" s="20">
        <v>4.5199999999999997E-2</v>
      </c>
      <c r="U388" s="20">
        <v>7.1099999999999997E-2</v>
      </c>
      <c r="V388" s="20">
        <v>-0.11509999999999999</v>
      </c>
      <c r="W388" s="20">
        <v>0.1779</v>
      </c>
      <c r="X388" s="20">
        <v>0.1336</v>
      </c>
      <c r="Y388" s="20">
        <v>0.12659999999999999</v>
      </c>
      <c r="Z388" s="20">
        <v>-0.2001</v>
      </c>
      <c r="AA388" s="20">
        <v>6.5799999999999997E-2</v>
      </c>
      <c r="AB388" s="20">
        <v>-1.1900000000000001E-2</v>
      </c>
      <c r="AC388" s="20">
        <v>7.7999999999999996E-3</v>
      </c>
      <c r="AD388" s="20">
        <v>-6.5799999999999997E-2</v>
      </c>
      <c r="AE388" s="20">
        <v>2.4199999999999999E-2</v>
      </c>
      <c r="AF388" s="20">
        <v>0.26790000000000003</v>
      </c>
      <c r="AG388" s="20">
        <v>0.1179</v>
      </c>
      <c r="AH388" s="20">
        <v>-0.1118</v>
      </c>
      <c r="AI388" s="20">
        <v>1.15E-2</v>
      </c>
      <c r="AJ388" s="20">
        <v>0.12859999999999999</v>
      </c>
      <c r="AK388" s="20">
        <v>0.17510000000000001</v>
      </c>
      <c r="AL388" s="21">
        <v>9.9900000000000003E-2</v>
      </c>
    </row>
    <row r="389" spans="1:38">
      <c r="A389" s="20">
        <v>0.1988</v>
      </c>
      <c r="B389" s="20">
        <v>-0.20660000000000001</v>
      </c>
      <c r="C389" s="20">
        <v>-3.2800000000000003E-2</v>
      </c>
      <c r="D389" s="20">
        <v>0.1346</v>
      </c>
      <c r="E389" s="20">
        <v>-0.12970000000000001</v>
      </c>
      <c r="F389" s="20">
        <v>0.35610000000000003</v>
      </c>
      <c r="G389" s="20">
        <v>-0.23569999999999999</v>
      </c>
      <c r="H389" s="20">
        <v>3.8600000000000002E-2</v>
      </c>
      <c r="I389" s="20">
        <v>-0.2185</v>
      </c>
      <c r="J389" s="20">
        <v>3.5900000000000001E-2</v>
      </c>
      <c r="K389" s="20">
        <v>3.2500000000000001E-2</v>
      </c>
      <c r="L389" s="20">
        <v>-1.3599999999999999E-2</v>
      </c>
      <c r="M389" s="20">
        <v>-2.3E-3</v>
      </c>
      <c r="N389" s="20">
        <v>-2.64E-2</v>
      </c>
      <c r="O389" s="20">
        <v>-8.7300000000000003E-2</v>
      </c>
      <c r="P389" s="20">
        <v>-0.1023</v>
      </c>
      <c r="Q389" s="20">
        <v>0.1867</v>
      </c>
      <c r="R389" s="20">
        <v>-0.12470000000000001</v>
      </c>
      <c r="S389" s="20">
        <v>-0.20430000000000001</v>
      </c>
      <c r="T389" s="20">
        <v>3.95E-2</v>
      </c>
      <c r="U389" s="20">
        <v>6.3399999999999998E-2</v>
      </c>
      <c r="V389" s="20">
        <v>0.1164</v>
      </c>
      <c r="W389" s="20">
        <v>-0.1273</v>
      </c>
      <c r="X389" s="20">
        <v>-0.1671</v>
      </c>
      <c r="Y389" s="20">
        <v>6.4199999999999993E-2</v>
      </c>
      <c r="Z389" s="20">
        <v>5.7599999999999998E-2</v>
      </c>
      <c r="AA389" s="20">
        <v>8.4099999999999994E-2</v>
      </c>
      <c r="AB389" s="20">
        <v>-4.9200000000000001E-2</v>
      </c>
      <c r="AC389" s="20">
        <v>-0.2175</v>
      </c>
      <c r="AD389" s="20">
        <v>0.45229999999999998</v>
      </c>
      <c r="AE389" s="20">
        <v>-0.1221</v>
      </c>
      <c r="AF389" s="20">
        <v>5.6300000000000003E-2</v>
      </c>
      <c r="AG389" s="20">
        <v>0.17899999999999999</v>
      </c>
      <c r="AH389" s="20">
        <v>-9.5200000000000007E-2</v>
      </c>
      <c r="AI389" s="20">
        <v>5.57E-2</v>
      </c>
      <c r="AJ389" s="20">
        <v>0.308</v>
      </c>
      <c r="AK389" s="20">
        <v>-0.1832</v>
      </c>
      <c r="AL389" s="21">
        <v>-0.1178</v>
      </c>
    </row>
    <row r="390" spans="1:38">
      <c r="A390" s="20">
        <v>-0.1244</v>
      </c>
      <c r="B390" s="20">
        <v>0.1086</v>
      </c>
      <c r="C390" s="20">
        <v>0.30380000000000001</v>
      </c>
      <c r="D390" s="20">
        <v>-2.8799999999999999E-2</v>
      </c>
      <c r="E390" s="20">
        <v>-0.35759999999999997</v>
      </c>
      <c r="F390" s="20">
        <v>8.2400000000000001E-2</v>
      </c>
      <c r="G390" s="20">
        <v>8.3000000000000004E-2</v>
      </c>
      <c r="H390" s="20">
        <v>-0.501</v>
      </c>
      <c r="I390" s="20">
        <v>-0.18149999999999999</v>
      </c>
      <c r="J390" s="20">
        <v>9.3299999999999994E-2</v>
      </c>
      <c r="K390" s="20">
        <v>-0.1313</v>
      </c>
      <c r="L390" s="20">
        <v>0.16159999999999999</v>
      </c>
      <c r="M390" s="20">
        <v>-2.2200000000000001E-2</v>
      </c>
      <c r="N390" s="20">
        <v>0.1018</v>
      </c>
      <c r="O390" s="20">
        <v>9.0899999999999995E-2</v>
      </c>
      <c r="P390" s="20">
        <v>-0.2722</v>
      </c>
      <c r="Q390" s="20">
        <v>4.9099999999999998E-2</v>
      </c>
      <c r="R390" s="20">
        <v>-5.7799999999999997E-2</v>
      </c>
      <c r="S390" s="20">
        <v>-0.1089</v>
      </c>
      <c r="T390" s="20">
        <v>2.0999999999999999E-3</v>
      </c>
      <c r="U390" s="20">
        <v>-2.3999999999999998E-3</v>
      </c>
      <c r="V390" s="20">
        <v>-0.2056</v>
      </c>
      <c r="W390" s="20">
        <v>6.6199999999999995E-2</v>
      </c>
      <c r="X390" s="20">
        <v>4.0099999999999997E-2</v>
      </c>
      <c r="Y390" s="20">
        <v>-3.1800000000000002E-2</v>
      </c>
      <c r="Z390" s="20">
        <v>7.8299999999999995E-2</v>
      </c>
      <c r="AA390" s="20">
        <v>4.3E-3</v>
      </c>
      <c r="AB390" s="20">
        <v>0.105</v>
      </c>
      <c r="AC390" s="20">
        <v>0.23330000000000001</v>
      </c>
      <c r="AD390" s="20">
        <v>0.12870000000000001</v>
      </c>
      <c r="AE390" s="20">
        <v>-0.23380000000000001</v>
      </c>
      <c r="AF390" s="20">
        <v>0.17380000000000001</v>
      </c>
      <c r="AG390" s="20">
        <v>0.12189999999999999</v>
      </c>
      <c r="AH390" s="20">
        <v>0.1648</v>
      </c>
      <c r="AI390" s="20">
        <v>1.35E-2</v>
      </c>
      <c r="AJ390" s="20">
        <v>1.17E-2</v>
      </c>
      <c r="AK390" s="20">
        <v>-9.0899999999999995E-2</v>
      </c>
      <c r="AL390" s="21">
        <v>0.1351</v>
      </c>
    </row>
    <row r="391" spans="1:38">
      <c r="A391" s="20">
        <v>0.38080000000000003</v>
      </c>
      <c r="B391" s="20">
        <v>0.12690000000000001</v>
      </c>
      <c r="C391" s="20">
        <v>-0.34789999999999999</v>
      </c>
      <c r="D391" s="20">
        <v>0.12559999999999999</v>
      </c>
      <c r="E391" s="20">
        <v>0.4113</v>
      </c>
      <c r="F391" s="20">
        <v>4.1700000000000001E-2</v>
      </c>
      <c r="G391" s="20">
        <v>0.13950000000000001</v>
      </c>
      <c r="H391" s="20">
        <v>-6.7900000000000002E-2</v>
      </c>
      <c r="I391" s="20">
        <v>-0.1212</v>
      </c>
      <c r="J391" s="20">
        <v>0.17380000000000001</v>
      </c>
      <c r="K391" s="20">
        <v>-0.20799999999999999</v>
      </c>
      <c r="L391" s="20">
        <v>4.1000000000000003E-3</v>
      </c>
      <c r="M391" s="20">
        <v>4.1000000000000003E-3</v>
      </c>
      <c r="N391" s="20">
        <v>-0.2152</v>
      </c>
      <c r="O391" s="20">
        <v>0.1079</v>
      </c>
      <c r="P391" s="20">
        <v>-1.66E-2</v>
      </c>
      <c r="Q391" s="20">
        <v>6.1100000000000002E-2</v>
      </c>
      <c r="R391" s="20">
        <v>-0.26369999999999999</v>
      </c>
      <c r="S391" s="20">
        <v>0.1744</v>
      </c>
      <c r="T391" s="20">
        <v>-2.3999999999999998E-3</v>
      </c>
      <c r="U391" s="20">
        <v>0.12559999999999999</v>
      </c>
      <c r="V391" s="20">
        <v>2.9999999999999997E-4</v>
      </c>
      <c r="W391" s="20">
        <v>2.41E-2</v>
      </c>
      <c r="X391" s="20">
        <v>6.5199999999999994E-2</v>
      </c>
      <c r="Y391" s="20">
        <v>-0.14319999999999999</v>
      </c>
      <c r="Z391" s="20">
        <v>-0.23350000000000001</v>
      </c>
      <c r="AA391" s="20">
        <v>3.73E-2</v>
      </c>
      <c r="AB391" s="20">
        <v>1.7000000000000001E-2</v>
      </c>
      <c r="AC391" s="20">
        <v>5.4300000000000001E-2</v>
      </c>
      <c r="AD391" s="20">
        <v>0.1069</v>
      </c>
      <c r="AE391" s="20">
        <v>-0.10829999999999999</v>
      </c>
      <c r="AF391" s="20">
        <v>-0.1293</v>
      </c>
      <c r="AG391" s="20">
        <v>-0.10349999999999999</v>
      </c>
      <c r="AH391" s="20">
        <v>-0.17100000000000001</v>
      </c>
      <c r="AI391" s="20">
        <v>-0.23649999999999999</v>
      </c>
      <c r="AJ391" s="20">
        <v>-8.0999999999999996E-3</v>
      </c>
      <c r="AK391" s="20">
        <v>9.5000000000000001E-2</v>
      </c>
      <c r="AL391" s="21">
        <v>0.1089</v>
      </c>
    </row>
    <row r="392" spans="1:38">
      <c r="A392" s="20">
        <v>0.32379999999999998</v>
      </c>
      <c r="B392" s="20">
        <v>-9.5899999999999999E-2</v>
      </c>
      <c r="C392" s="20">
        <v>2.3300000000000001E-2</v>
      </c>
      <c r="D392" s="20">
        <v>-0.28249999999999997</v>
      </c>
      <c r="E392" s="20">
        <v>-3.2899999999999999E-2</v>
      </c>
      <c r="F392" s="20">
        <v>-7.22E-2</v>
      </c>
      <c r="G392" s="20">
        <v>-6.54E-2</v>
      </c>
      <c r="H392" s="20">
        <v>-8.8000000000000005E-3</v>
      </c>
      <c r="I392" s="20">
        <v>0.2223</v>
      </c>
      <c r="J392" s="20">
        <v>0.2424</v>
      </c>
      <c r="K392" s="20">
        <v>9.6699999999999994E-2</v>
      </c>
      <c r="L392" s="20">
        <v>-3.6499999999999998E-2</v>
      </c>
      <c r="M392" s="20">
        <v>0.17660000000000001</v>
      </c>
      <c r="N392" s="20">
        <v>-9.5500000000000002E-2</v>
      </c>
      <c r="O392" s="20">
        <v>-7.1999999999999998E-3</v>
      </c>
      <c r="P392" s="20">
        <v>-0.28489999999999999</v>
      </c>
      <c r="Q392" s="20">
        <v>-0.26450000000000001</v>
      </c>
      <c r="R392" s="20">
        <v>0.1055</v>
      </c>
      <c r="S392" s="20">
        <v>7.0999999999999994E-2</v>
      </c>
      <c r="T392" s="20">
        <v>-8.1500000000000003E-2</v>
      </c>
      <c r="U392" s="20">
        <v>7.0999999999999994E-2</v>
      </c>
      <c r="V392" s="20">
        <v>-4.53E-2</v>
      </c>
      <c r="W392" s="20">
        <v>-2.6499999999999999E-2</v>
      </c>
      <c r="X392" s="20">
        <v>0.22189999999999999</v>
      </c>
      <c r="Y392" s="20">
        <v>0.36320000000000002</v>
      </c>
      <c r="Z392" s="20">
        <v>-0.17499999999999999</v>
      </c>
      <c r="AA392" s="20">
        <v>0</v>
      </c>
      <c r="AB392" s="20">
        <v>-1.7299999999999999E-2</v>
      </c>
      <c r="AC392" s="20">
        <v>4.53E-2</v>
      </c>
      <c r="AD392" s="20">
        <v>-0.30580000000000002</v>
      </c>
      <c r="AE392" s="20">
        <v>-3.3300000000000003E-2</v>
      </c>
      <c r="AF392" s="20">
        <v>8.9899999999999994E-2</v>
      </c>
      <c r="AG392" s="20">
        <v>1.32E-2</v>
      </c>
      <c r="AH392" s="20">
        <v>3.2500000000000001E-2</v>
      </c>
      <c r="AI392" s="20">
        <v>-3.3300000000000003E-2</v>
      </c>
      <c r="AJ392" s="20">
        <v>6.9400000000000003E-2</v>
      </c>
      <c r="AK392" s="20">
        <v>0.1401</v>
      </c>
      <c r="AL392" s="21">
        <v>-0.33229999999999998</v>
      </c>
    </row>
    <row r="393" spans="1:38">
      <c r="A393" s="20">
        <v>0.55110000000000003</v>
      </c>
      <c r="B393" s="20">
        <v>-8.5599999999999996E-2</v>
      </c>
      <c r="C393" s="20">
        <v>-0.39439999999999997</v>
      </c>
      <c r="D393" s="20">
        <v>-5.9200000000000003E-2</v>
      </c>
      <c r="E393" s="20">
        <v>0.13950000000000001</v>
      </c>
      <c r="F393" s="20">
        <v>3.4700000000000002E-2</v>
      </c>
      <c r="G393" s="20">
        <v>-1.3299999999999999E-2</v>
      </c>
      <c r="H393" s="20">
        <v>-0.1411</v>
      </c>
      <c r="I393" s="20">
        <v>-4.5900000000000003E-2</v>
      </c>
      <c r="J393" s="20">
        <v>0.25740000000000002</v>
      </c>
      <c r="K393" s="20">
        <v>-0.19939999999999999</v>
      </c>
      <c r="L393" s="20">
        <v>3.7199999999999997E-2</v>
      </c>
      <c r="M393" s="20">
        <v>4.53E-2</v>
      </c>
      <c r="N393" s="20">
        <v>-0.25609999999999999</v>
      </c>
      <c r="O393" s="20">
        <v>0.11940000000000001</v>
      </c>
      <c r="P393" s="20">
        <v>-0.107</v>
      </c>
      <c r="Q393" s="20">
        <v>-0.1231</v>
      </c>
      <c r="R393" s="20">
        <v>-4.8099999999999997E-2</v>
      </c>
      <c r="S393" s="20">
        <v>0.1135</v>
      </c>
      <c r="T393" s="20">
        <v>3.6299999999999999E-2</v>
      </c>
      <c r="U393" s="20">
        <v>1.61E-2</v>
      </c>
      <c r="V393" s="20">
        <v>-1.89E-2</v>
      </c>
      <c r="W393" s="20">
        <v>7.3499999999999996E-2</v>
      </c>
      <c r="X393" s="20">
        <v>6.7999999999999996E-3</v>
      </c>
      <c r="Y393" s="20">
        <v>-1.77E-2</v>
      </c>
      <c r="Z393" s="20">
        <v>-0.34079999999999999</v>
      </c>
      <c r="AA393" s="20">
        <v>3.5000000000000003E-2</v>
      </c>
      <c r="AB393" s="20">
        <v>6.8500000000000005E-2</v>
      </c>
      <c r="AC393" s="20">
        <v>5.1499999999999997E-2</v>
      </c>
      <c r="AD393" s="20">
        <v>0.1938</v>
      </c>
      <c r="AE393" s="20">
        <v>0.14019999999999999</v>
      </c>
      <c r="AF393" s="20">
        <v>-0.14510000000000001</v>
      </c>
      <c r="AG393" s="20">
        <v>-7.85E-2</v>
      </c>
      <c r="AH393" s="20">
        <v>-3.6900000000000002E-2</v>
      </c>
      <c r="AI393" s="20">
        <v>-9.3700000000000006E-2</v>
      </c>
      <c r="AJ393" s="20">
        <v>8.09E-2</v>
      </c>
      <c r="AK393" s="20">
        <v>0.1002</v>
      </c>
      <c r="AL393" s="21">
        <v>0.1113</v>
      </c>
    </row>
    <row r="394" spans="1:38">
      <c r="A394" s="20">
        <v>0.1653</v>
      </c>
      <c r="B394" s="20">
        <v>-0.41199999999999998</v>
      </c>
      <c r="C394" s="20">
        <v>0.38009999999999999</v>
      </c>
      <c r="D394" s="20">
        <v>0.3155</v>
      </c>
      <c r="E394" s="20">
        <v>0.1817</v>
      </c>
      <c r="F394" s="20">
        <v>8.2199999999999995E-2</v>
      </c>
      <c r="G394" s="20">
        <v>-0.14280000000000001</v>
      </c>
      <c r="H394" s="20">
        <v>0.13300000000000001</v>
      </c>
      <c r="I394" s="20">
        <v>-4.5400000000000003E-2</v>
      </c>
      <c r="J394" s="20">
        <v>0.15629999999999999</v>
      </c>
      <c r="K394" s="20">
        <v>-0.1227</v>
      </c>
      <c r="L394" s="20">
        <v>6.83E-2</v>
      </c>
      <c r="M394" s="20">
        <v>-0.187</v>
      </c>
      <c r="N394" s="20">
        <v>-0.11210000000000001</v>
      </c>
      <c r="O394" s="20">
        <v>-0.1862</v>
      </c>
      <c r="P394" s="20">
        <v>-6.0999999999999999E-2</v>
      </c>
      <c r="Q394" s="20">
        <v>-0.35020000000000001</v>
      </c>
      <c r="R394" s="20">
        <v>-3.1099999999999999E-2</v>
      </c>
      <c r="S394" s="20">
        <v>9.74E-2</v>
      </c>
      <c r="T394" s="20">
        <v>-0.13420000000000001</v>
      </c>
      <c r="U394" s="20">
        <v>3.1099999999999999E-2</v>
      </c>
      <c r="V394" s="20">
        <v>6.7900000000000002E-2</v>
      </c>
      <c r="W394" s="20">
        <v>7.9000000000000001E-2</v>
      </c>
      <c r="X394" s="20">
        <v>0.18079999999999999</v>
      </c>
      <c r="Y394" s="20">
        <v>-1.0200000000000001E-2</v>
      </c>
      <c r="Z394" s="20">
        <v>-5.8099999999999999E-2</v>
      </c>
      <c r="AA394" s="20">
        <v>-0.15709999999999999</v>
      </c>
      <c r="AB394" s="20">
        <v>-0.1203</v>
      </c>
      <c r="AC394" s="20">
        <v>8.3500000000000005E-2</v>
      </c>
      <c r="AD394" s="20">
        <v>-4.9500000000000002E-2</v>
      </c>
      <c r="AE394" s="20">
        <v>-0.1158</v>
      </c>
      <c r="AF394" s="20">
        <v>0.13789999999999999</v>
      </c>
      <c r="AG394" s="20">
        <v>8.1000000000000003E-2</v>
      </c>
      <c r="AH394" s="20">
        <v>-0.1358</v>
      </c>
      <c r="AI394" s="20">
        <v>9.4000000000000004E-3</v>
      </c>
      <c r="AJ394" s="20">
        <v>-2.8199999999999999E-2</v>
      </c>
      <c r="AK394" s="20">
        <v>0.20699999999999999</v>
      </c>
      <c r="AL394" s="21">
        <v>7.0000000000000001E-3</v>
      </c>
    </row>
    <row r="395" spans="1:38">
      <c r="A395" s="20">
        <v>-0.41070000000000001</v>
      </c>
      <c r="B395" s="20">
        <v>5.7299999999999997E-2</v>
      </c>
      <c r="C395" s="20">
        <v>2.7400000000000001E-2</v>
      </c>
      <c r="D395" s="20">
        <v>-5.5399999999999998E-2</v>
      </c>
      <c r="E395" s="20">
        <v>-8.5000000000000006E-3</v>
      </c>
      <c r="F395" s="20">
        <v>0.15529999999999999</v>
      </c>
      <c r="G395" s="20">
        <v>-0.10050000000000001</v>
      </c>
      <c r="H395" s="20">
        <v>-0.2485</v>
      </c>
      <c r="I395" s="20">
        <v>0.14330000000000001</v>
      </c>
      <c r="J395" s="20">
        <v>0.14460000000000001</v>
      </c>
      <c r="K395" s="20">
        <v>-0.28089999999999998</v>
      </c>
      <c r="L395" s="20">
        <v>0.34770000000000001</v>
      </c>
      <c r="M395" s="20">
        <v>0.19589999999999999</v>
      </c>
      <c r="N395" s="20">
        <v>-0.2031</v>
      </c>
      <c r="O395" s="20">
        <v>-9.7999999999999997E-3</v>
      </c>
      <c r="P395" s="20">
        <v>3.09E-2</v>
      </c>
      <c r="Q395" s="20">
        <v>-1.01E-2</v>
      </c>
      <c r="R395" s="20">
        <v>0.2097</v>
      </c>
      <c r="S395" s="20">
        <v>0.18679999999999999</v>
      </c>
      <c r="T395" s="20">
        <v>-7.8700000000000006E-2</v>
      </c>
      <c r="U395" s="20">
        <v>0.26390000000000002</v>
      </c>
      <c r="V395" s="20">
        <v>0.1105</v>
      </c>
      <c r="W395" s="20">
        <v>-0.1386</v>
      </c>
      <c r="X395" s="20">
        <v>0.14419999999999999</v>
      </c>
      <c r="Y395" s="20">
        <v>1.0699999999999999E-2</v>
      </c>
      <c r="Z395" s="20">
        <v>3.1800000000000002E-2</v>
      </c>
      <c r="AA395" s="20">
        <v>9.5100000000000004E-2</v>
      </c>
      <c r="AB395" s="20">
        <v>-7.8700000000000006E-2</v>
      </c>
      <c r="AC395" s="20">
        <v>-0.1855</v>
      </c>
      <c r="AD395" s="20">
        <v>2.0799999999999999E-2</v>
      </c>
      <c r="AE395" s="20">
        <v>-0.1968</v>
      </c>
      <c r="AF395" s="20">
        <v>-0.27179999999999999</v>
      </c>
      <c r="AG395" s="20">
        <v>-0.12790000000000001</v>
      </c>
      <c r="AH395" s="20">
        <v>3.2099999999999997E-2</v>
      </c>
      <c r="AI395" s="20">
        <v>9.8599999999999993E-2</v>
      </c>
      <c r="AJ395" s="20">
        <v>-2.0500000000000001E-2</v>
      </c>
      <c r="AK395" s="20">
        <v>2.1999999999999999E-2</v>
      </c>
      <c r="AL395" s="21">
        <v>8.6300000000000002E-2</v>
      </c>
    </row>
    <row r="396" spans="1:38">
      <c r="A396" s="20">
        <v>1.2500000000000001E-2</v>
      </c>
      <c r="B396" s="20">
        <v>-4.7399999999999998E-2</v>
      </c>
      <c r="C396" s="20">
        <v>0.23730000000000001</v>
      </c>
      <c r="D396" s="20">
        <v>-4.6600000000000003E-2</v>
      </c>
      <c r="E396" s="20">
        <v>-0.41339999999999999</v>
      </c>
      <c r="F396" s="20">
        <v>-3.3799999999999997E-2</v>
      </c>
      <c r="G396" s="20">
        <v>6.4000000000000003E-3</v>
      </c>
      <c r="H396" s="20">
        <v>-0.43659999999999999</v>
      </c>
      <c r="I396" s="20">
        <v>3.9699999999999999E-2</v>
      </c>
      <c r="J396" s="20">
        <v>0.25919999999999999</v>
      </c>
      <c r="K396" s="20">
        <v>-0.20619999999999999</v>
      </c>
      <c r="L396" s="20">
        <v>0.14699999999999999</v>
      </c>
      <c r="M396" s="20">
        <v>-4.3900000000000002E-2</v>
      </c>
      <c r="N396" s="20">
        <v>0.32740000000000002</v>
      </c>
      <c r="O396" s="20">
        <v>-0.13500000000000001</v>
      </c>
      <c r="P396" s="20">
        <v>-6.8699999999999997E-2</v>
      </c>
      <c r="Q396" s="20">
        <v>7.46E-2</v>
      </c>
      <c r="R396" s="20">
        <v>-3.6799999999999999E-2</v>
      </c>
      <c r="S396" s="20">
        <v>-9.2399999999999996E-2</v>
      </c>
      <c r="T396" s="20">
        <v>0.1225</v>
      </c>
      <c r="U396" s="20">
        <v>-2.0500000000000001E-2</v>
      </c>
      <c r="V396" s="20">
        <v>-7.7499999999999999E-2</v>
      </c>
      <c r="W396" s="20">
        <v>5.8900000000000001E-2</v>
      </c>
      <c r="X396" s="20">
        <v>-5.2499999999999998E-2</v>
      </c>
      <c r="Y396" s="20">
        <v>5.5399999999999998E-2</v>
      </c>
      <c r="Z396" s="20">
        <v>-4.2099999999999999E-2</v>
      </c>
      <c r="AA396" s="20">
        <v>-3.6999999999999998E-2</v>
      </c>
      <c r="AB396" s="20">
        <v>-5.7000000000000002E-2</v>
      </c>
      <c r="AC396" s="20">
        <v>-2.8999999999999998E-3</v>
      </c>
      <c r="AD396" s="20">
        <v>0.27700000000000002</v>
      </c>
      <c r="AE396" s="20">
        <v>-0.1502</v>
      </c>
      <c r="AF396" s="20">
        <v>0.10680000000000001</v>
      </c>
      <c r="AG396" s="20">
        <v>8.1199999999999994E-2</v>
      </c>
      <c r="AH396" s="20">
        <v>-2.8000000000000001E-2</v>
      </c>
      <c r="AI396" s="20">
        <v>2.69E-2</v>
      </c>
      <c r="AJ396" s="20">
        <v>0.3513</v>
      </c>
      <c r="AK396" s="20">
        <v>-3.1199999999999999E-2</v>
      </c>
      <c r="AL396" s="21">
        <v>-0.1255</v>
      </c>
    </row>
    <row r="397" spans="1:38">
      <c r="A397" s="20">
        <v>-0.33150000000000002</v>
      </c>
      <c r="B397" s="20">
        <v>0.35980000000000001</v>
      </c>
      <c r="C397" s="20">
        <v>-0.16</v>
      </c>
      <c r="D397" s="20">
        <v>2.4199999999999999E-2</v>
      </c>
      <c r="E397" s="20">
        <v>3.3500000000000002E-2</v>
      </c>
      <c r="F397" s="20">
        <v>-0.22209999999999999</v>
      </c>
      <c r="G397" s="20">
        <v>0.12230000000000001</v>
      </c>
      <c r="H397" s="20">
        <v>0.10780000000000001</v>
      </c>
      <c r="I397" s="20">
        <v>1.8800000000000001E-2</v>
      </c>
      <c r="J397" s="20">
        <v>-1.23E-2</v>
      </c>
      <c r="K397" s="20">
        <v>-1.55E-2</v>
      </c>
      <c r="L397" s="20">
        <v>6.1999999999999998E-3</v>
      </c>
      <c r="M397" s="20">
        <v>0.1231</v>
      </c>
      <c r="N397" s="20">
        <v>2.9999999999999997E-4</v>
      </c>
      <c r="O397" s="20">
        <v>-0.2135</v>
      </c>
      <c r="P397" s="20">
        <v>0.18840000000000001</v>
      </c>
      <c r="Q397" s="20">
        <v>-8.0699999999999994E-2</v>
      </c>
      <c r="R397" s="20">
        <v>-4.4200000000000003E-2</v>
      </c>
      <c r="S397" s="20">
        <v>-0.25340000000000001</v>
      </c>
      <c r="T397" s="20">
        <v>-0.1593</v>
      </c>
      <c r="U397" s="20">
        <v>-0.24959999999999999</v>
      </c>
      <c r="V397" s="20">
        <v>0.33029999999999998</v>
      </c>
      <c r="W397" s="20">
        <v>-0.11219999999999999</v>
      </c>
      <c r="X397" s="20">
        <v>-0.17349999999999999</v>
      </c>
      <c r="Y397" s="20">
        <v>-0.1033</v>
      </c>
      <c r="Z397" s="20">
        <v>-8.9999999999999998E-4</v>
      </c>
      <c r="AA397" s="20">
        <v>0.22889999999999999</v>
      </c>
      <c r="AB397" s="20">
        <v>0.1229</v>
      </c>
      <c r="AC397" s="20">
        <v>4.8399999999999999E-2</v>
      </c>
      <c r="AD397" s="20">
        <v>0.20219999999999999</v>
      </c>
      <c r="AE397" s="20">
        <v>0.14219999999999999</v>
      </c>
      <c r="AF397" s="20">
        <v>8.9700000000000002E-2</v>
      </c>
      <c r="AG397" s="20">
        <v>6.4100000000000004E-2</v>
      </c>
      <c r="AH397" s="20">
        <v>-0.18790000000000001</v>
      </c>
      <c r="AI397" s="20">
        <v>9.8599999999999993E-2</v>
      </c>
      <c r="AJ397" s="20">
        <v>0.18210000000000001</v>
      </c>
      <c r="AK397" s="20">
        <v>-0.11219999999999999</v>
      </c>
      <c r="AL397" s="21">
        <v>-6.1499999999999999E-2</v>
      </c>
    </row>
    <row r="398" spans="1:38">
      <c r="A398" s="20">
        <v>0.29099999999999998</v>
      </c>
      <c r="B398" s="20">
        <v>-0.16139999999999999</v>
      </c>
      <c r="C398" s="20">
        <v>0.2742</v>
      </c>
      <c r="D398" s="20">
        <v>-8.3999999999999995E-3</v>
      </c>
      <c r="E398" s="20">
        <v>4.2999999999999997E-2</v>
      </c>
      <c r="F398" s="20">
        <v>-3.27E-2</v>
      </c>
      <c r="G398" s="20">
        <v>0.30830000000000002</v>
      </c>
      <c r="H398" s="20">
        <v>-9.4100000000000003E-2</v>
      </c>
      <c r="I398" s="20">
        <v>-0.13400000000000001</v>
      </c>
      <c r="J398" s="20">
        <v>-9.8900000000000002E-2</v>
      </c>
      <c r="K398" s="20">
        <v>0.13320000000000001</v>
      </c>
      <c r="L398" s="20">
        <v>-0.17979999999999999</v>
      </c>
      <c r="M398" s="20">
        <v>9.7999999999999997E-3</v>
      </c>
      <c r="N398" s="20">
        <v>-0.17369999999999999</v>
      </c>
      <c r="O398" s="20">
        <v>0.1474</v>
      </c>
      <c r="P398" s="20">
        <v>-1.2800000000000001E-2</v>
      </c>
      <c r="Q398" s="20">
        <v>2.46E-2</v>
      </c>
      <c r="R398" s="20">
        <v>0.13489999999999999</v>
      </c>
      <c r="S398" s="20">
        <v>-4.8899999999999999E-2</v>
      </c>
      <c r="T398" s="20">
        <v>0.25269999999999998</v>
      </c>
      <c r="U398" s="20">
        <v>0.19439999999999999</v>
      </c>
      <c r="V398" s="20">
        <v>0.1145</v>
      </c>
      <c r="W398" s="20">
        <v>2.7900000000000001E-2</v>
      </c>
      <c r="X398" s="20">
        <v>-0.22869999999999999</v>
      </c>
      <c r="Y398" s="20">
        <v>-6.7000000000000002E-3</v>
      </c>
      <c r="Z398" s="20">
        <v>-0.16700000000000001</v>
      </c>
      <c r="AA398" s="20">
        <v>-0.30549999999999999</v>
      </c>
      <c r="AB398" s="20">
        <v>-8.3799999999999999E-2</v>
      </c>
      <c r="AC398" s="20">
        <v>9.1899999999999996E-2</v>
      </c>
      <c r="AD398" s="20">
        <v>-0.20250000000000001</v>
      </c>
      <c r="AE398" s="20">
        <v>9.2700000000000005E-2</v>
      </c>
      <c r="AF398" s="20">
        <v>-1.4800000000000001E-2</v>
      </c>
      <c r="AG398" s="20">
        <v>-0.1103</v>
      </c>
      <c r="AH398" s="20">
        <v>-8.4900000000000003E-2</v>
      </c>
      <c r="AI398" s="20">
        <v>5.9999999999999995E-4</v>
      </c>
      <c r="AJ398" s="20">
        <v>0.33539999999999998</v>
      </c>
      <c r="AK398" s="20">
        <v>-6.2E-2</v>
      </c>
      <c r="AL398" s="21">
        <v>-0.25690000000000002</v>
      </c>
    </row>
    <row r="399" spans="1:38" ht="13.5" thickBot="1">
      <c r="A399" s="22">
        <v>-0.1825</v>
      </c>
      <c r="B399" s="22">
        <v>0.1384</v>
      </c>
      <c r="C399" s="22">
        <v>-0.21609999999999999</v>
      </c>
      <c r="D399" s="22">
        <v>-0.17929999999999999</v>
      </c>
      <c r="E399" s="22">
        <v>-0.15160000000000001</v>
      </c>
      <c r="F399" s="22">
        <v>0.28689999999999999</v>
      </c>
      <c r="G399" s="22">
        <v>8.6400000000000005E-2</v>
      </c>
      <c r="H399" s="22">
        <v>0.10059999999999999</v>
      </c>
      <c r="I399" s="22">
        <v>-0.15820000000000001</v>
      </c>
      <c r="J399" s="22">
        <v>-3.8899999999999997E-2</v>
      </c>
      <c r="K399" s="22">
        <v>1.9099999999999999E-2</v>
      </c>
      <c r="L399" s="22">
        <v>5.2699999999999997E-2</v>
      </c>
      <c r="M399" s="22">
        <v>7.3499999999999996E-2</v>
      </c>
      <c r="N399" s="22">
        <v>-4.8599999999999997E-2</v>
      </c>
      <c r="O399" s="22">
        <v>4.4999999999999997E-3</v>
      </c>
      <c r="P399" s="22">
        <v>2.5999999999999999E-2</v>
      </c>
      <c r="Q399" s="22">
        <v>-0.35</v>
      </c>
      <c r="R399" s="22">
        <v>0.1759</v>
      </c>
      <c r="S399" s="22">
        <v>6.5600000000000006E-2</v>
      </c>
      <c r="T399" s="22">
        <v>6.8999999999999999E-3</v>
      </c>
      <c r="U399" s="22">
        <v>0.15959999999999999</v>
      </c>
      <c r="V399" s="22">
        <v>-5.0299999999999997E-2</v>
      </c>
      <c r="W399" s="22">
        <v>2.5999999999999999E-2</v>
      </c>
      <c r="X399" s="22">
        <v>0.17100000000000001</v>
      </c>
      <c r="Y399" s="22">
        <v>-1.2500000000000001E-2</v>
      </c>
      <c r="Z399" s="22">
        <v>-6.7299999999999999E-2</v>
      </c>
      <c r="AA399" s="22">
        <v>-0.188</v>
      </c>
      <c r="AB399" s="22">
        <v>5.6500000000000002E-2</v>
      </c>
      <c r="AC399" s="22">
        <v>-7.46E-2</v>
      </c>
      <c r="AD399" s="22">
        <v>-0.27060000000000001</v>
      </c>
      <c r="AE399" s="22">
        <v>0.2397</v>
      </c>
      <c r="AF399" s="22">
        <v>-0.25700000000000001</v>
      </c>
      <c r="AG399" s="22">
        <v>-1.4200000000000001E-2</v>
      </c>
      <c r="AH399" s="22">
        <v>0.1079</v>
      </c>
      <c r="AI399" s="22">
        <v>0.47589999999999999</v>
      </c>
      <c r="AJ399" s="22">
        <v>-7.4200000000000002E-2</v>
      </c>
      <c r="AK399" s="22">
        <v>2.8799999999999999E-2</v>
      </c>
      <c r="AL399" s="23">
        <v>4.2299999999999997E-2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C560"/>
  <sheetViews>
    <sheetView workbookViewId="0">
      <selection activeCell="L9" sqref="L9"/>
    </sheetView>
  </sheetViews>
  <sheetFormatPr defaultRowHeight="12.75"/>
  <cols>
    <col min="1" max="1" width="11.5703125"/>
    <col min="2" max="2" width="57" customWidth="1"/>
    <col min="3" max="1025" width="11.5703125"/>
  </cols>
  <sheetData>
    <row r="1" spans="1:3">
      <c r="A1" t="s">
        <v>804</v>
      </c>
      <c r="C1" t="s">
        <v>2</v>
      </c>
    </row>
    <row r="2" spans="1:3">
      <c r="A2" s="13" t="str">
        <f>jsRow('symptom factors'!A2:AL2, TRUE )</f>
        <v xml:space="preserve">[ -16 , 35 , -5 , -5 , 0 , 1 , -13 , -3 , 9 , -9 , 14 , -2 , -27 , 0 , 17 , -13 , 11 , -40 , 42 , -7 , 6 , -12 , 8 , -5 , 32 , 32 , 28 , 10 , -13 , -19 , -32 , -32 , -5 , -3 , 2 , 3 , 43 , 4 ]  , </v>
      </c>
    </row>
    <row r="3" spans="1:3">
      <c r="A3" s="13" t="str">
        <f>jsRow('symptom factors'!A3:AL3, TRUE )</f>
        <v xml:space="preserve">[ -4 , -7 , 0 , 0 , -6 , 23 , 21 , 6 , -20 , 15 , 27 , -13 , 1 , 7 , -13 , -8 , -13 , 7 , -2 , 7 , -2 , 10 , -12 , 12 , -3 , -12 , 5 , -1 , 2 , 6 , 4 , 13 , -7 , 10 , -13 , -3 , -20 , 0 ]  , </v>
      </c>
    </row>
    <row r="4" spans="1:3">
      <c r="A4" s="13" t="str">
        <f>jsRow('symptom factors'!A4:AL4, TRUE )</f>
        <v xml:space="preserve">[ -3 , 19 , 0 , 24 , 14 , 8 , 0 , 20 , 8 , -1 , -3 , -12 , -10 , 5 , -6 , 9 , -5 , -18 , 21 , -23 , -17 , -28 , 2 , -25 , -6 , -8 , 1 , 38 , -16 , -16 , -5 , 9 , 5 , 18 , -6 , 6 , 3 , 21 ]  , </v>
      </c>
    </row>
    <row r="5" spans="1:3">
      <c r="A5" s="13" t="str">
        <f>jsRow('symptom factors'!A5:AL5, TRUE )</f>
        <v xml:space="preserve">[ -8 , 13 , -10 , -5 , -13 , 18 , 2 , 6 , -15 , -8 , 26 , -13 , -10 , -12 , 3 , -6 , -10 , -5 , -9 , 20 , -10 , -6 , -30 , 18 , -20 , 9 , 1 , -20 , 10 , 7 , -10 , 9 , 12 , 7 , -16 , 8 , 0 , -18 ]  , </v>
      </c>
    </row>
    <row r="6" spans="1:3">
      <c r="A6" s="13" t="str">
        <f>jsRow('symptom factors'!A6:AL6, TRUE )</f>
        <v xml:space="preserve">[ -10 , 23 , 5 , 3 , 2 , -1 , -15 , -2 , -11 , 1 , 18 , -22 , -24 , -8 , 5 , 5 , -4 , -19 , 0 , -1 , -8 , -2 , 12 , -1 , -4 , 17 , 10 , -22 , 2 , -8 , -9 , -28 , 8 , -5 , -1 , 26 , 9 , 10 ]  , </v>
      </c>
    </row>
    <row r="7" spans="1:3">
      <c r="A7" s="13" t="str">
        <f>jsRow('symptom factors'!A7:AL7, TRUE )</f>
        <v xml:space="preserve">[ -28 , -2 , -16 , -8 , -17 , 5 , -4 , 22 , -8 , -1 , -5 , 12 , 5 , 18 , -4 , 6 , -8 , 27 , 1 , 16 , 2 , -52 , -22 , 13 , -8 , 3 , -25 , -22 , 8 , 13 , 19 , 38 , 12 , 10 , -32 , -13 , -15 , 1 ]  , </v>
      </c>
    </row>
    <row r="8" spans="1:3">
      <c r="A8" s="13" t="str">
        <f>jsRow('symptom factors'!A8:AL8, TRUE )</f>
        <v xml:space="preserve">[ -11 , -5 , -2 , -4 , 13 , -1 , -4 , -11 , 5 , 2 , 6 , 8 , -1 , 3 , 0 , -4 , -7 , -9 , 0 , 8 , -1 , -4 , -1 , 4 , -2 , 2 , 5 , -2 , -5 , -10 , -2 , -15 , 8 , -22 , -6 , 9 , -5 , -2 ]  , </v>
      </c>
    </row>
    <row r="9" spans="1:3">
      <c r="A9" s="13" t="str">
        <f>jsRow('symptom factors'!A9:AL9, TRUE )</f>
        <v xml:space="preserve">[ -15 , -1 , -18 , -2 , 8 , -1 , -17 , 5 , -7 , -3 , 0 , 14 , 2 , 4 , -8 , -6 , 0 , 7 , -4 , 0 , 3 , -17 , 5 , 3 , 9 , -9 , -13 , -4 , -4 , -3 , 8 , -3 , 6 , -15 , -7 , 5 , -12 , -1 ]  , </v>
      </c>
    </row>
    <row r="10" spans="1:3">
      <c r="A10" s="13" t="str">
        <f>jsRow('symptom factors'!A10:AL10, TRUE )</f>
        <v xml:space="preserve">[ -27 , 5 , -24 , 4 , -5 , 15 , -12 , 6 , -13 , 4 , -9 , 9 , 10 , 14 , -2 , 12 , 6 , 21 , 15 , 14 , 9 , -30 , 1 , 9 , 4 , 17 , -32 , -11 , -15 , 1 , 24 , -1 , -8 , 15 , -25 , -15 , 4 , 4 ]  , </v>
      </c>
    </row>
    <row r="11" spans="1:3">
      <c r="A11" s="13" t="str">
        <f>jsRow('symptom factors'!A11:AL11, TRUE )</f>
        <v xml:space="preserve">[ 1 , 6 , 5 , -5 , -1 , 16 , -4 , -1 , -21 , 6 , 11 , -6 , -3 , -5 , -2 , 0 , -7 , 13 , -8 , 4 , -7 , 10 , -3 , 5 , -5 , -4 , 8 , 11 , 5 , 1 , -2 , -2 , -2 , -1 , 1 , -2 , -1 , -1 ]  , </v>
      </c>
    </row>
    <row r="12" spans="1:3">
      <c r="A12" s="13" t="str">
        <f>jsRow('symptom factors'!A12:AL12, TRUE )</f>
        <v xml:space="preserve">[ -23 , -2 , -28 , -11 , -33 , -4 , 12 , 18 , -12 , -19 , -13 , 15 , -11 , -10 , 14 , -4 , -16 , 4 , 27 , -37 , -11 , -8 , -18 , 22 , 6 , 26 , 0 , -8 , 29 , -1 , 14 , 6 , -34 , 12 , -52 , -28 , -24 , 10 ]  , </v>
      </c>
    </row>
    <row r="13" spans="1:3">
      <c r="A13" s="13" t="str">
        <f>jsRow('symptom factors'!A13:AL13, TRUE )</f>
        <v xml:space="preserve">[ -2 , 44 , -5 , -10 , -48 , -15 , 35 , 6 , 14 , -21 , 19 , -19 , -22 , -39 , 26 , 18 , 12 , -9 , 34 , -35 , 9 , -3 , -13 , 14 , -15 , 38 , 29 , -3 , -3 , -2 , -42 , -14 , -6 , 4 , -32 , -22 , -39 , -8 ]  , </v>
      </c>
    </row>
    <row r="14" spans="1:3">
      <c r="A14" s="13" t="str">
        <f>jsRow('symptom factors'!A14:AL14, TRUE )</f>
        <v xml:space="preserve">[ 0 , 40 , 3 , -7 , -40 , -27 , 21 , 7 , 10 , -31 , 1 , -12 , -12 , -30 , 16 , 8 , 17 , -4 , 43 , -47 , 6 , 6 , -13 , 13 , -11 , 52 , 29 , -9 , -9 , -16 , -32 , -14 , -17 , 12 , -47 , -19 , -43 , 1 ]  , </v>
      </c>
    </row>
    <row r="15" spans="1:3">
      <c r="A15" s="13" t="str">
        <f>jsRow('symptom factors'!A15:AL15, TRUE )</f>
        <v xml:space="preserve">[ 1 , 7 , -7 , 2 , -3 , 1 , 2 , -4 , 4 , 0 , 5 , -9 , -12 , -15 , 7 , 4 , 5 , -5 , 6 , 7 , 3 , -7 , 2 , -5 , -11 , -17 , -1 , -1 , 6 , 0 , -15 , 5 , 5 , -9 , 3 , -21 , 0 , 1 ]  , </v>
      </c>
    </row>
    <row r="16" spans="1:3">
      <c r="A16" s="13" t="str">
        <f>jsRow('symptom factors'!A16:AL16, TRUE )</f>
        <v xml:space="preserve">[ -14 , 65 , -8 , 9 , -13 , 26 , 14 , -4 , 42 , 8 , 44 , 6 , -12 , 6 , 1 , 16 , 5 , -47 , 21 , -8 , 16 , -12 , 3 , -4 , -11 , 51 , -7 , 0 , 7 , -19 , -18 , -38 , -5 , 13 , -7 , 10 , 19 , -7 ]  , </v>
      </c>
    </row>
    <row r="17" spans="1:1">
      <c r="A17" s="13" t="str">
        <f>jsRow('symptom factors'!A17:AL17, TRUE )</f>
        <v xml:space="preserve">[ -26 , 9 , -17 , -4 , -18 , 17 , 0 , 17 , -4 , -11 , -10 , -3 , 24 , 4 , -2 , 15 , -17 , 22 , 5 , -4 , 3 , -23 , -1 , 15 , -1 , -5 , -20 , -7 , -6 , -15 , 26 , -22 , -2 , 11 , 29 , -18 , -12 , 12 ]  , </v>
      </c>
    </row>
    <row r="18" spans="1:1">
      <c r="A18" s="13" t="str">
        <f>jsRow('symptom factors'!A18:AL18, TRUE )</f>
        <v xml:space="preserve">[ -18 , 31 , -3 , -22 , -31 , 43 , 7 , 1 , -12 , 2 , 15 , -11 , 4 , -4 , 1 , 11 , -24 , 13 , -8 , 16 , 7 , -18 , -2 , 12 , -28 , 8 , -13 , 10 , -9 , -18 , 25 , -32 , 3 , 12 , 64 , -6 , 5 , 14 ]  , </v>
      </c>
    </row>
    <row r="19" spans="1:1">
      <c r="A19" s="13" t="str">
        <f>jsRow('symptom factors'!A19:AL19, TRUE )</f>
        <v xml:space="preserve">[ 0 , -3 , -5 , -2 , -15 , 8 , 4 , 7 , 17 , 11 , 17 , 19 , -22 , -18 , 2 , 14 , 9 , 4 , -9 , -9 , 9 , 11 , -4 , 3 , -7 , 29 , -1 , -18 , 20 , -4 , -6 , 11 , -9 , 16 , -13 , 17 , 12 , 5 ]  , </v>
      </c>
    </row>
    <row r="20" spans="1:1">
      <c r="A20" s="13" t="str">
        <f>jsRow('symptom factors'!A20:AL20, TRUE )</f>
        <v xml:space="preserve">[ -36 , -11 , -35 , -22 , -66 , 13 , 41 , 32 , 32 , -7 , -18 , -12 , 2 , 37 , -22 , -16 , 21 , 45 , 8 , -29 , 2 , 5 , 40 , 23 , -17 , -11 , 4 , 9 , -3 , -4 , 15 , 4 , 25 , 46 , 8 , -15 , -13 , -33 ]  , </v>
      </c>
    </row>
    <row r="21" spans="1:1">
      <c r="A21" s="13" t="str">
        <f>jsRow('symptom factors'!A21:AL21, TRUE )</f>
        <v xml:space="preserve">[ -31 , 14 , -41 , 43 , 73 , -2 , -29 , 24 , -28 , 0 , -13 , 9 , -19 , 33 , -10 , 40 , 49 , -8 , 3 , 10 , 4 , -7 , 18 , -12 , -15 , 12 , -30 , 6 , -11 , 1 , -15 , -20 , -32 , 6 , 12 , 20 , -25 , 0 ]  , </v>
      </c>
    </row>
    <row r="22" spans="1:1">
      <c r="A22" s="13" t="str">
        <f>jsRow('symptom factors'!A22:AL22, TRUE )</f>
        <v xml:space="preserve">[ 7 , 39 , -9 , -4 , 14 , 28 , -19 , -2 , -15 , 25 , 28 , 16 , -14 , 8 , 17 , 13 , 18 , 15 , 4 , -3 , -23 , 15 , 10 , -1 , -26 , 17 , 19 , -11 , -8 , -30 , 11 , 24 , -17 , 1 , -15 , -12 , 3 , -14 ]  , </v>
      </c>
    </row>
    <row r="23" spans="1:1">
      <c r="A23" s="13" t="str">
        <f>jsRow('symptom factors'!A23:AL23, TRUE )</f>
        <v xml:space="preserve">[ -19 , 51 , -35 , 18 , 33 , -11 , -16 , 20 , 26 , 5 , 11 , 15 , 3 , 33 , -7 , 10 , 23 , 18 , 6 , 2 , -14 , 2 , -2 , -20 , -18 , -6 , -5 , 20 , 1 , -12 , 22 , 3 , -41 , -25 , -19 , 3 , -23 , -12 ]  , </v>
      </c>
    </row>
    <row r="24" spans="1:1">
      <c r="A24" s="13" t="str">
        <f>jsRow('symptom factors'!A24:AL24, TRUE )</f>
        <v xml:space="preserve">[ -4 , 19 , 3 , 12 , 14 , -18 , -19 , 16 , 10 , -1 , 3 , 2 , 1 , 17 , -5 , 8 , 18 , 8 , 4 , 14 , -11 , 16 , -8 , -14 , -9 , -6 , 15 , 0 , 10 , 3 , 1 , 6 , -9 , 25 , 0 , 8 , 1 , -7 ]  , </v>
      </c>
    </row>
    <row r="25" spans="1:1">
      <c r="A25" s="13" t="str">
        <f>jsRow('symptom factors'!A25:AL25, TRUE )</f>
        <v xml:space="preserve">[ -5 , 20 , -23 , -2 , -18 , 19 , 8 , -14 , 20 , 3 , 12 , 11 , -27 , -8 , 3 , 20 , 10 , 22 , 7 , 10 , 9 , -1 , 6 , -5 , 16 , 25 , -13 , -23 , -11 , -5 , -1 , 12 , 20 , -11 , -1 , -8 , 18 , -6 ]  , </v>
      </c>
    </row>
    <row r="26" spans="1:1">
      <c r="A26" s="13" t="str">
        <f>jsRow('symptom factors'!A26:AL26, TRUE )</f>
        <v xml:space="preserve">[ -19 , 6 , -21 , -10 , 2 , 0 , 10 , -1 , -5 , -2 , 0 , -13 , 3 , 11 , 6 , -17 , -11 , 9 , 19 , -17 , -1 , 5 , -20 , -23 , -13 , -17 , 0 , 10 , -29 , 2 , -12 , -10 , 9 , 1 , 15 , 14 , -1 , -15 ]  , </v>
      </c>
    </row>
    <row r="27" spans="1:1">
      <c r="A27" s="13" t="str">
        <f>jsRow('symptom factors'!A27:AL27, TRUE )</f>
        <v xml:space="preserve">[ -48 , -25 , -15 , -18 , -6 , 29 , 1 , -5 , 28 , 2 , 1 , -7 , 7 , 10 , 0 , -31 , -2 , 11 , 9 , -11 , -8 , 13 , 11 , -24 , -34 , -9 , -19 , 18 , -43 , -6 , 14 , -8 , 7 , -2 , -16 , -7 , 21 , -18 ]  , </v>
      </c>
    </row>
    <row r="28" spans="1:1">
      <c r="A28" s="13" t="str">
        <f>jsRow('symptom factors'!A28:AL28, TRUE )</f>
        <v xml:space="preserve">[ -13 , 8 , -13 , -10 , -4 , 27 , 30 , -15 , 24 , 28 , 36 , 17 , -13 , 28 , -15 , -7 , 6 , 18 , 12 , -13 , 30 , 7 , 5 , 9 , 12 , 0 , -2 , -27 , -32 , 10 , 20 , 5 , 23 , -1 , -23 , -31 , 7 , -33 ]  , </v>
      </c>
    </row>
    <row r="29" spans="1:1">
      <c r="A29" s="13" t="str">
        <f>jsRow('symptom factors'!A29:AL29, TRUE )</f>
        <v xml:space="preserve">[ -14 , 5 , -2 , -6 , -13 , 5 , -4 , 20 , -1 , -2 , 2 , -15 , -3 , 8 , 6 , 9 , 1 , -1 , -1 , -1 , -13 , 5 , 8 , 5 , -1 , -6 , -13 , 15 , -13 , 1 , 9 , 5 , 11 , 7 , 5 , 6 , 3 , 6 ]  , </v>
      </c>
    </row>
    <row r="30" spans="1:1">
      <c r="A30" s="13" t="str">
        <f>jsRow('symptom factors'!A30:AL30, TRUE )</f>
        <v xml:space="preserve">[ -1 , 3 , 2 , -1 , -10 , 7 , 1 , 6 , 4 , -1 , 2 , -3 , 1 , 9 , -13 , -3 , -6 , 20 , 1 , 13 , 5 , -7 , 15 , 7 , -12 , 0 , 5 , 16 , -3 , -4 , -12 , -5 , -3 , -20 , 10 , 16 , 0 , -2 ]  , </v>
      </c>
    </row>
    <row r="31" spans="1:1">
      <c r="A31" s="13" t="str">
        <f>jsRow('symptom factors'!A31:AL31, TRUE )</f>
        <v xml:space="preserve">[ -26 , 3 , -19 , -6 , -8 , 0 , 10 , 16 , 0 , -2 , -8 , -2 , 2 , 21 , -7 , 8 , 5 , -5 , 23 , -7 , -3 , -10 , -3 , 11 , 12 , -5 , 1 , 17 , -15 , -5 , 17 , 5 , 6 , 27 , -25 , 1 , 10 , -39 ]  , </v>
      </c>
    </row>
    <row r="32" spans="1:1">
      <c r="A32" s="13" t="str">
        <f>jsRow('symptom factors'!A32:AL32, TRUE )</f>
        <v xml:space="preserve">[ -3 , 6 , -6 , -1 , 3 , -3 , 0 , 5 , 0 , 1 , 3 , -3 , -4 , 9 , 0 , -4 , -5 , 7 , 5 , -2 , -3 , 5 , 1 , -11 , -3 , 4 , 17 , -1 , -10 , -6 , 4 , 6 , 1 , 10 , 1 , 8 , -2 , -7 ]  , </v>
      </c>
    </row>
    <row r="33" spans="1:1">
      <c r="A33" s="13" t="str">
        <f>jsRow('symptom factors'!A33:AL33, TRUE )</f>
        <v xml:space="preserve">[ -26 , -7 , -13 , 13 , 12 , 6 , -9 , 8 , -18 , -9 , -7 , -5 , 1 , -2 , 4 , 4 , 2 , 4 , 10 , -11 , -8 , -8 , 3 , -5 , 9 , 10 , -7 , -6 , -8 , -2 , -4 , -18 , 0 , 12 , 5 , 12 , -12 , 9 ]  , </v>
      </c>
    </row>
    <row r="34" spans="1:1">
      <c r="A34" s="13" t="str">
        <f>jsRow('symptom factors'!A34:AL34, TRUE )</f>
        <v xml:space="preserve">[ -26 , 10 , -10 , -7 , -19 , -5 , 4 , 10 , 14 , -10 , 5 , -10 , 1 , -2 , -9 , 44 , 8 , -1 , 4 , -33 , -8 , -6 , 15 , 29 , 17 , -5 , 6 , 3 , -18 , 2 , 30 , -1 , 12 , 13 , 8 , 14 , -7 , -5 ]  , </v>
      </c>
    </row>
    <row r="35" spans="1:1">
      <c r="A35" s="13" t="str">
        <f>jsRow('symptom factors'!A35:AL35, TRUE )</f>
        <v xml:space="preserve">[ -8 , 14 , 17 , 5 , -5 , 10 , -5 , 27 , 17 , -5 , -7 , 6 , 18 , -10 , -7 , -2 , 12 , -9 , -6 , 22 , -15 , -8 , -2 , 14 , 26 , 11 , -4 , 14 , 4 , 7 , -13 , 24 , -2 , 9 , -25 , 9 , 0 , 2 ]  , </v>
      </c>
    </row>
    <row r="36" spans="1:1">
      <c r="A36" s="13" t="str">
        <f>jsRow('symptom factors'!A36:AL36, TRUE )</f>
        <v xml:space="preserve">[ -26 , 16 , 2 , 13 , 30 , -12 , -6 , 26 , -30 , -22 , 21 , -14 , 4 , -7 , 15 , 31 , 31 , -33 , -10 , -3 , -2 , -14 , 14 , -8 , 16 , -13 , -22 , -5 , -14 , 34 , 15 , -30 , -8 , -2 , 21 , -6 , -2 , 24 ]  , </v>
      </c>
    </row>
    <row r="37" spans="1:1">
      <c r="A37" s="13" t="str">
        <f>jsRow('symptom factors'!A37:AL37, TRUE )</f>
        <v xml:space="preserve">[ -7 , 8 , -10 , 0 , -19 , 4 , 4 , 8 , 11 , -19 , 6 , 12 , 24 , 18 , -5 , 9 , 1 , 35 , -3 , 13 , 24 , 7 , 21 , 4 , -11 , 4 , -18 , -3 , 0 , -1 , -5 , -6 , 10 , -22 , -6 , -9 , 11 , 9 ]  , </v>
      </c>
    </row>
    <row r="38" spans="1:1">
      <c r="A38" s="13" t="str">
        <f>jsRow('symptom factors'!A38:AL38, TRUE )</f>
        <v xml:space="preserve">[ -42 , -15 , -42 , 6 , -14 , 10 , -1 , 30 , -34 , -2 , -12 , 6 , 8 , 42 , 1 , 22 , -3 , 24 , 44 , 30 , -2 , -31 , -34 , 22 , 2 , 19 , -38 , -14 , -19 , 11 , 14 , -11 , -7 , 0 , -43 , -22 , 0 , -9 ]  , </v>
      </c>
    </row>
    <row r="39" spans="1:1">
      <c r="A39" s="13" t="str">
        <f>jsRow('symptom factors'!A39:AL39, TRUE )</f>
        <v xml:space="preserve">[ -34 , 7 , -22 , -6 , 17 , -7 , 0 , -13 , -29 , 4 , -22 , 32 , 12 , -12 , -17 , -16 , -21 , 34 , 20 , -22 , 14 , 22 , -28 , 7 , 13 , -12 , 3 , 2 , 12 , -5 , -33 , -39 , -7 , 6 , 9 , 19 , -7 , 5 ]  , </v>
      </c>
    </row>
    <row r="40" spans="1:1">
      <c r="A40" s="13" t="str">
        <f>jsRow('symptom factors'!A40:AL40, TRUE )</f>
        <v xml:space="preserve">[ -53 , -14 , 17 , 23 , 36 , 20 , 9 , -4 , -10 , -13 , -31 , 12 , -7 , -33 , 4 , 7 , -11 , 11 , -1 , 15 , -5 , -19 , 10 , 0 , -10 , 21 , -44 , 16 , -5 , -6 , -15 , -19 , -23 , 5 , 12 , -4 , -7 , 37 ]  , </v>
      </c>
    </row>
    <row r="41" spans="1:1">
      <c r="A41" s="13" t="str">
        <f>jsRow('symptom factors'!A41:AL41, TRUE )</f>
        <v xml:space="preserve">[ 14 , 33 , 1 , -10 , 10 , 0 , 12 , 27 , 38 , -13 , -31 , -34 , -6 , -3 , 12 , -37 , 5 , 17 , 9 , 22 , 3 , -4 , 0 , 19 , 11 , 21 , 38 , -17 , 40 , 3 , 26 , -20 , -5 , 21 , 10 , -48 , 14 , -38 ]  , </v>
      </c>
    </row>
    <row r="42" spans="1:1">
      <c r="A42" s="13" t="str">
        <f>jsRow('symptom factors'!A42:AL42, TRUE )</f>
        <v xml:space="preserve">[ -1 , -3 , 27 , 12 , 13 , -5 , -6 , 5 , -4 , -13 , -3 , 10 , 7 , 13 , 14 , 15 , -5 , -6 , -2 , -11 , 7 , -4 , 12 , 18 , 11 , -12 , 7 , 5 , 18 , 15 , -5 , -8 , 18 , 8 , 11 , -5 , -23 , -13 ]  , </v>
      </c>
    </row>
    <row r="43" spans="1:1">
      <c r="A43" s="13" t="str">
        <f>jsRow('symptom factors'!A43:AL43, TRUE )</f>
        <v xml:space="preserve">[ 3 , 9 , 8 , 3 , -2 , 5 , 0 , 7 , 1 , 2 , 3 , 1 , 14 , -7 , 2 , -2 , 5 , -3 , 11 , -11 , -13 , -8 , -7 , 20 , 19 , -8 , 6 , -18 , 0 , -19 , -12 , -2 , -11 , -13 , -2 , 16 , -2 , -5 ]  , </v>
      </c>
    </row>
    <row r="44" spans="1:1">
      <c r="A44" s="13" t="str">
        <f>jsRow('symptom factors'!A44:AL44, TRUE )</f>
        <v xml:space="preserve">[ 1 , 16 , -5 , -2 , 0 , -12 , 5 , 11 , 17 , -14 , -10 , -24 , -6 , 3 , -13 , -31 , -16 , 6 , -4 , 49 , 11 , 13 , -3 , 10 , 27 , 18 , -12 , 20 , -6 , 13 , -9 , 8 , -17 , 11 , 9 , 12 , 23 , 4 ]  , </v>
      </c>
    </row>
    <row r="45" spans="1:1">
      <c r="A45" s="13" t="str">
        <f>jsRow('symptom factors'!A45:AL45, TRUE )</f>
        <v xml:space="preserve">[ 4 , 8 , 14 , -2 , -5 , 15 , 6 , 6 , 1 , -9 , -2 , 7 , 23 , 0 , -6 , -3 , 20 , 13 , 24 , -4 , 4 , 19 , -21 , 15 , -8 , -15 , 13 , -7 , -13 , -14 , -20 , 17 , -20 , -9 , -7 , 0 , 15 , 11 ]  , </v>
      </c>
    </row>
    <row r="46" spans="1:1">
      <c r="A46" s="13" t="str">
        <f>jsRow('symptom factors'!A46:AL46, TRUE )</f>
        <v xml:space="preserve">[ 3 , -2 , 15 , -2 , -4 , 5 , 11 , -1 , -10 , -8 , 5 , -1 , -6 , 11 , 14 , 0 , -6 , -4 , 16 , -5 , -4 , -2 , 1 , -14 , 7 , -3 , 5 , 18 , 11 , 11 , -13 , -18 , 10 , 7 , -16 , -9 , -11 , 1 ]  , </v>
      </c>
    </row>
    <row r="47" spans="1:1">
      <c r="A47" s="13" t="str">
        <f>jsRow('symptom factors'!A47:AL47, TRUE )</f>
        <v xml:space="preserve">[ 2 , 12 , 3 , -4 , -9 , -20 , -2 , 9 , 3 , -12 , -3 , -9 , 12 , -19 , -2 , -13 , -19 , -6 , -28 , 8 , -16 , 7 , -3 , 16 , 5 , -11 , -12 , 19 , -8 , -2 , -11 , -1 , -21 , 12 , -8 , 4 , -8 , -12 ]  , </v>
      </c>
    </row>
    <row r="48" spans="1:1">
      <c r="A48" s="13" t="str">
        <f>jsRow('symptom factors'!A48:AL48, TRUE )</f>
        <v xml:space="preserve">[ 4 , 3 , 4 , -1 , 0 , -7 , 3 , 1 , 5 , -5 , -8 , -7 , -4 , -4 , 1 , -2 , -7 , 4 , -4 , -3 , 17 , 1 , -8 , 9 , 11 , -3 , -2 , 10 , -8 , 9 , 0 , 10 , -2 , -1 , -1 , -11 , -15 , -7 ]  , </v>
      </c>
    </row>
    <row r="49" spans="1:1">
      <c r="A49" s="13" t="str">
        <f>jsRow('symptom factors'!A49:AL49, TRUE )</f>
        <v xml:space="preserve">[ 2 , 9 , 2 , -4 , -2 , -13 , 4 , -5 , 5 , -6 , -7 , -11 , -5 , -9 , -8 , -25 , 4 , -2 , -14 , 15 , -5 , 0 , -4 , 14 , 11 , -17 , -26 , 10 , -10 , 2 , -1 , -3 , -21 , 31 , -11 , -1 , -6 , -18 ]  , </v>
      </c>
    </row>
    <row r="50" spans="1:1">
      <c r="A50" s="13" t="str">
        <f>jsRow('symptom factors'!A50:AL50, TRUE )</f>
        <v xml:space="preserve">[ 6 , 6 , 16 , -2 , -1 , 19 , 2 , 3 , -20 , 3 , 5 , -4 , -5 , -3 , 7 , 1 , -13 , 2 , -12 , 11 , 0 , 4 , 2 , 5 , 5 , 8 , 10 , 20 , -8 , -10 , 14 , -13 , -14 , -11 , -15 , -10 , 15 , -1 ]  , </v>
      </c>
    </row>
    <row r="51" spans="1:1">
      <c r="A51" s="13" t="str">
        <f>jsRow('symptom factors'!A51:AL51, TRUE )</f>
        <v xml:space="preserve">[ 11 , 9 , 13 , 1 , 6 , 8 , 2 , -2 , -1 , 4 , -14 , 1 , 9 , 0 , 13 , 14 , -16 , 9 , -4 , -16 , 13 , -4 , -2 , 2 , 4 , 8 , 4 , 4 , -3 , -3 , 11 , 13 , 1 , -10 , 4 , -6 , 6 , -11 ]  , </v>
      </c>
    </row>
    <row r="52" spans="1:1">
      <c r="A52" s="13" t="str">
        <f>jsRow('symptom factors'!A52:AL52, TRUE )</f>
        <v xml:space="preserve">[ 2 , 5 , 7 , -3 , 3 , 7 , -1 , 1 , -12 , 4 , 5 , -11 , -6 , 2 , 2 , 0 , -12 , 19 , 0 , 5 , -6 , 12 , -2 , 1 , -10 , 4 , 12 , 1 , 0 , 2 , 2 , 8 , 5 , 1 , 4 , 3 , -8 , 0 ]  , </v>
      </c>
    </row>
    <row r="53" spans="1:1">
      <c r="A53" s="13" t="str">
        <f>jsRow('symptom factors'!A53:AL53, TRUE )</f>
        <v xml:space="preserve">[ -2 , 1 , -1 , -4 , -15 , -13 , 2 , -3 , -11 , -8 , -6 , -12 , -19 , -13 , 8 , 2 , 17 , -2 , 20 , 2 , 1 , 7 , 25 , 2 , 4 , 1 , 15 , 2 , -3 , -2 , -13 , 2 , 1 , -6 , -18 , -14 , -10 , -10 ]  , </v>
      </c>
    </row>
    <row r="54" spans="1:1">
      <c r="A54" s="13" t="str">
        <f>jsRow('symptom factors'!A54:AL54, TRUE )</f>
        <v xml:space="preserve">[ -10 , -51 , -13 , 24 , -9 , -17 , 16 , 36 , 5 , 5 , -10 , -50 , 8 , 18 , 18 , -26 , 6 , 12 , 1 , 21 , 2 , -10 , 28 , -11 , -8 , 33 , 6 , 6 , 41 , -53 , -14 , 1 , 7 , 4 , 18 , 12 , 40 , 10 ]  , </v>
      </c>
    </row>
    <row r="55" spans="1:1">
      <c r="A55" s="13" t="str">
        <f>jsRow('symptom factors'!A55:AL55, TRUE )</f>
        <v xml:space="preserve">[ -6 , -23 , 0 , 12 , -9 , -16 , -18 , 23 , 3 , -6 , -16 , -37 , -3 , 5 , 21 , -32 , 1 , 11 , 16 , 25 , 3 , -4 , 29 , -12 , -19 , 47 , 14 , -6 , 29 , -37 , -20 , -7 , 4 , -3 , -1 , 18 , 19 , 5 ]  , </v>
      </c>
    </row>
    <row r="56" spans="1:1">
      <c r="A56" s="13" t="str">
        <f>jsRow('symptom factors'!A56:AL56, TRUE )</f>
        <v xml:space="preserve">[ -3 , -29 , -12 , 6 , -1 , 4 , 42 , -2 , 0 , 23 , 16 , -3 , 7 , 14 , -1 , 4 , -5 , -15 , 4 , 7 , -9 , 5 , -6 , -6 , 28 , -19 , -11 , 0 , -1 , 0 , -1 , -6 , 8 , -2 , 5 , -14 , -11 , -8 ]  , </v>
      </c>
    </row>
    <row r="57" spans="1:1">
      <c r="A57" s="13" t="str">
        <f>jsRow('symptom factors'!A57:AL57, TRUE )</f>
        <v xml:space="preserve">[ 0 , -14 , -2 , 5 , -1 , 0 , 25 , 4 , 2 , 18 , 16 , 3 , 4 , 8 , 1 , 1 , -2 , -10 , 9 , 8 , -5 , 6 , 3 , -3 , 15 , -14 , -3 , -9 , 0 , -8 , -9 , -1 , 3 , -6 , -2 , -6 , -8 , -9 ]  , </v>
      </c>
    </row>
    <row r="58" spans="1:1">
      <c r="A58" s="13" t="str">
        <f>jsRow('symptom factors'!A58:AL58, TRUE )</f>
        <v xml:space="preserve">[ -8 , -26 , 2 , 3 , -7 , -13 , 6 , 15 , -18 , 26 , 12 , -42 , -6 , 12 , -9 , -16 , -8 , 19 , 17 , 21 , -12 , 18 , 14 , -24 , -30 , 17 , 4 , 4 , 4 , -13 , 10 , 6 , 12 , -12 , -9 , 2 , -17 , 26 ]  , </v>
      </c>
    </row>
    <row r="59" spans="1:1">
      <c r="A59" s="13" t="str">
        <f>jsRow('symptom factors'!A59:AL59, TRUE )</f>
        <v xml:space="preserve">[ -13 , -38 , 0 , 6 , -6 , -15 , 18 , 14 , -6 , 25 , 3 , -29 , -2 , 14 , 1 , -15 , -7 , 6 , 26 , 22 , -15 , 18 , 20 , -29 , -13 , 10 , 1 , 5 , -2 , -14 , 4 , 5 , 12 , -3 , -6 , -12 , -10 , 12 ]  , </v>
      </c>
    </row>
    <row r="60" spans="1:1">
      <c r="A60" s="13" t="str">
        <f>jsRow('symptom factors'!A60:AL60, TRUE )</f>
        <v xml:space="preserve">[ 5 , 1 , -3 , -3 , -1 , -8 , -3 , 4 , -3 , 3 , 1 , 6 , 15 , 0 , 8 , 1 , -7 , 0 , -19 , 2 , 2 , -6 , -3 , -3 , -12 , 4 , 2 , 6 , 9 , -4 , -1 , -20 , -10 , -3 , 9 , -6 , -4 , -3 ]  , </v>
      </c>
    </row>
    <row r="61" spans="1:1">
      <c r="A61" s="13" t="str">
        <f>jsRow('symptom factors'!A61:AL61, TRUE )</f>
        <v xml:space="preserve">[ -1 , 3 , -7 , 3 , -20 , 3 , 16 , 32 , 25 , -3 , -2 , 5 , 11 , -10 , -5 , 41 , -4 , 10 , -24 , 13 , 2 , 4 , 11 , 9 , -17 , -12 , -1 , 10 , 35 , 10 , -41 , 1 , 12 , 2 , 3 , 13 , 14 , -10 ]  , </v>
      </c>
    </row>
    <row r="62" spans="1:1">
      <c r="A62" s="13" t="str">
        <f>jsRow('symptom factors'!A62:AL62, TRUE )</f>
        <v xml:space="preserve">[ 0 , 0 , 5 , 0 , 2 , -1 , 8 , 1 , -1 , 2 , 4 , -9 , 3 , 5 , -1 , 4 , 2 , 3 , -9 , 4 , -2 , -1 , 0 , -1 , -4 , -7 , -7 , 3 , 7 , -7 , -8 , -3 , 15 , 3 , 0 , 8 , -4 , 9 ]  , </v>
      </c>
    </row>
    <row r="63" spans="1:1">
      <c r="A63" s="13" t="str">
        <f>jsRow('symptom factors'!A63:AL63, TRUE )</f>
        <v xml:space="preserve">[ 3 , -1 , -2 , 3 , -1 , -4 , 5 , 2 , 2 , 10 , 5 , -9 , -8 , 3 , -7 , -2 , 8 , 0 , 0 , -2 , 4 , -7 , -8 , 2 , -6 , -6 , -1 , 1 , 2 , 7 , 7 , 5 , -6 , -2 , 0 , -2 , 7 , 10 ]  , </v>
      </c>
    </row>
    <row r="64" spans="1:1">
      <c r="A64" s="13" t="str">
        <f>jsRow('symptom factors'!A64:AL64, TRUE )</f>
        <v xml:space="preserve">[ -3 , -3 , -1 , 0 , -10 , -5 , 14 , 6 , 3 , 0 , 3 , 5 , -2 , -11 , 0 , 19 , -3 , -5 , -5 , 5 , -16 , 14 , 6 , -6 , 14 , 9 , -5 , -1 , 6 , 8 , 1 , 2 , -3 , 1 , -9 , 2 , 9 , 0 ]  , </v>
      </c>
    </row>
    <row r="65" spans="1:1">
      <c r="A65" s="13" t="str">
        <f>jsRow('symptom factors'!A65:AL65, TRUE )</f>
        <v xml:space="preserve">[ 3 , 7 , 10 , 1 , 10 , 2 , -2 , 2 , -3 , -6 , -4 , -5 , -7 , 7 , 0 , 6 , -6 , 14 , 5 , -8 , -19 , -2 , -13 , -23 , 8 , -1 , 1 , 18 , -4 , -2 , -14 , 0 , 11 , 9 , -5 , 5 , 12 , 9 ]  , </v>
      </c>
    </row>
    <row r="66" spans="1:1">
      <c r="A66" s="13" t="str">
        <f>jsRow('symptom factors'!A66:AL66, TRUE )</f>
        <v xml:space="preserve">[ 0 , 0 , 1 , 0 , -5 , -6 , 0 , 3 , -1 , -2 , -2 , -5 , -6 , 0 , 2 , 4 , 2 , -1 , 1 , 0 , 1 , 1 , 8 , 6 , -1 , 0 , 8 , 1 , 6 , -4 , 5 , 1 , -3 , -2 , 0 , 8 , -3 , 5 ]  , </v>
      </c>
    </row>
    <row r="67" spans="1:1">
      <c r="A67" s="13" t="str">
        <f>jsRow('symptom factors'!A67:AL67, TRUE )</f>
        <v xml:space="preserve">[ -10 , 6 , 9 , -4 , 6 , 35 , -21 , 8 , -46 , 4 , 39 , -21 , -3 , -8 , 5 , -7 , 23 , -1 , -41 , -5 , 8 , 7 , 5 , -2 , 8 , -9 , 0 , -9 , -27 , 38 , -11 , -19 , 5 , -9 , 14 , -5 , -15 , -17 ]  , </v>
      </c>
    </row>
    <row r="68" spans="1:1">
      <c r="A68" s="13" t="str">
        <f>jsRow('symptom factors'!A68:AL68, TRUE )</f>
        <v xml:space="preserve">[ -26 , 13 , 41 , -22 , -4 , -16 , -60 , 34 , 22 , 32 , -23 , -7 , 14 , 29 , 56 , 31 , 8 , 0 , -28 , 55 , 12 , -47 , -49 , -25 , 59 , -29 , 30 , -13 , -30 , 0 , 46 , 11 , -7 , -29 , -2 , -42 , 8 , -12 ]  , </v>
      </c>
    </row>
    <row r="69" spans="1:1">
      <c r="A69" s="13" t="str">
        <f>jsRow('symptom factors'!A69:AL69, TRUE )</f>
        <v xml:space="preserve">[ -19 , -6 , 5 , 10 , 9 , -1 , -26 , 6 , -4 , 7 , -13 , 2 , -3 , 2 , 14 , 6 , 5 , -13 , -4 , 18 , 10 , -5 , -4 , -13 , 8 , -1 , -2 , 6 , -26 , 15 , 26 , 8 , 6 , -4 , 0 , -34 , -13 , 1 ]  , </v>
      </c>
    </row>
    <row r="70" spans="1:1">
      <c r="A70" s="13" t="str">
        <f>jsRow('symptom factors'!A70:AL70, TRUE )</f>
        <v xml:space="preserve">[ -22 , -24 , 20 , -9 , -18 , 6 , -43 , 8 , 17 , -9 , -33 , -27 , 15 , 15 , 51 , 12 , -20 , 5 , -2 , 6 , 4 , -3 , -29 , -16 , 42 , -8 , -15 , 1 , 32 , -21 , 7 , -4 , 9 , -14 , -13 , -25 , -8 , 9 ]  , </v>
      </c>
    </row>
    <row r="71" spans="1:1">
      <c r="A71" s="13" t="str">
        <f>jsRow('symptom factors'!A71:AL71, TRUE )</f>
        <v xml:space="preserve">[ -6 , 1 , -3 , -9 , -8 , -9 , -6 , -6 , 1 , -1 , -3 , -3 , 2 , -10 , 8 , 5 , -6 , -12 , 4 , 13 , 6 , -4 , 0 , -13 , 13 , 9 , -3 , -1 , 11 , -2 , 16 , -21 , 5 , -1 , 22 , 3 , 10 , 10 ]  , </v>
      </c>
    </row>
    <row r="72" spans="1:1">
      <c r="A72" s="13" t="str">
        <f>jsRow('symptom factors'!A72:AL72, TRUE )</f>
        <v xml:space="preserve">[ 1 , -10 , 15 , -9 , -7 , -14 , -39 , -5 , 10 , 18 , 11 , 21 , 6 , 0 , 9 , 20 , 5 , 1 , -17 , 28 , 2 , -8 , -5 , -29 , 29 , -2 , 37 , -4 , -22 , -17 , 4 , 13 , -4 , 4 , -10 , -7 , 5 , -10 ]  , </v>
      </c>
    </row>
    <row r="73" spans="1:1">
      <c r="A73" s="13" t="str">
        <f>jsRow('symptom factors'!A73:AL73, TRUE )</f>
        <v xml:space="preserve">[ -15 , 6 , 8 , 5 , 10 , 1 , -39 , -3 , 17 , 27 , -13 , 1 , 9 , 12 , 23 , 34 , -3 , 20 , -20 , 36 , -20 , -38 , -9 , -28 , 12 , -9 , 24 , -28 , -59 , -15 , 25 , 8 , 9 , 13 , -39 , -2 , -19 , -8 ]  , </v>
      </c>
    </row>
    <row r="74" spans="1:1">
      <c r="A74" s="13" t="str">
        <f>jsRow('symptom factors'!A74:AL74, TRUE )</f>
        <v xml:space="preserve">[ -10 , -14 , 11 , 2 , -4 , -2 , -22 , -13 , -1 , -1 , -8 , 6 , 2 , -3 , 5 , 22 , 1 , -10 , 1 , 11 , 2 , -4 , -5 , -9 , 9 , -13 , 4 , -6 , 3 , -14 , 1 , -4 , 12 , 5 , -7 , -8 , -4 , 8 ]  , </v>
      </c>
    </row>
    <row r="75" spans="1:1">
      <c r="A75" s="13" t="str">
        <f>jsRow('symptom factors'!A75:AL75, TRUE )</f>
        <v xml:space="preserve">[ -6 , 11 , 30 , -14 , -23 , 0 , -11 , 8 , -2 , 23 , 3 , 16 , 15 , 17 , 49 , 14 , 9 , -11 , -22 , 28 , 15 , -31 , -8 , 3 , 35 , -22 , 71 , -13 , -29 , -13 , 2 , -27 , 8 , -21 , 4 , 9 , 29 , -11 ]  , </v>
      </c>
    </row>
    <row r="76" spans="1:1">
      <c r="A76" s="13" t="str">
        <f>jsRow('symptom factors'!A76:AL76, TRUE )</f>
        <v xml:space="preserve">[ 10 , 18 , -7 , 10 , 9 , 3 , 2 , 2 , 20 , 5 , -4 , 2 , -11 , 2 , -5 , 14 , -2 , -20 , 0 , 5 , -16 , -1 , 4 , 10 , 11 , -1 , -8 , 6 , 1 , -9 , 27 , 17 , 4 , -11 , 9 , 26 , -17 , 27 ]  , </v>
      </c>
    </row>
    <row r="77" spans="1:1">
      <c r="A77" s="13" t="str">
        <f>jsRow('symptom factors'!A77:AL77, TRUE )</f>
        <v xml:space="preserve">[ 3 , 3 , -3 , 1 , 2 , 0 , -4 , -5 , 1 , 2 , -4 , 1 , -1 , 0 , 3 , -4 , 4 , 1 , 9 , 14 , -1 , -2 , 6 , 1 , 7 , 5 , -8 , -1 , 1 , 0 , 3 , 2 , 1 , 1 , 2 , 9 , -6 , -6 ]  , </v>
      </c>
    </row>
    <row r="78" spans="1:1">
      <c r="A78" s="13" t="str">
        <f>jsRow('symptom factors'!A78:AL78, TRUE )</f>
        <v xml:space="preserve">[ 6 , 6 , 4 , -5 , 7 , -18 , -2 , -12 , -17 , -9 , -26 , -1 , -26 , 3 , 5 , 6 , 7 , 36 , 16 , 3 , -24 , 19 , 10 , 2 , 14 , -4 , 19 , -6 , -12 , 14 , -10 , 8 , 11 , 14 , 6 , 16 , 8 , 14 ]  , </v>
      </c>
    </row>
    <row r="79" spans="1:1">
      <c r="A79" s="13" t="str">
        <f>jsRow('symptom factors'!A79:AL79, TRUE )</f>
        <v xml:space="preserve">[ 9 , 0 , -10 , -1 , 5 , 4 , 9 , -6 , -2 , 17 , -4 , 6 , 5 , -2 , 6 , -3 , -3 , -3 , 5 , 7 , 3 , 5 , -1 , -4 , 10 , -9 , 7 , 1 , 6 , 6 , 9 , -4 , 3 , -3 , 0 , 6 , 7 , 9 ]  , </v>
      </c>
    </row>
    <row r="80" spans="1:1">
      <c r="A80" s="13" t="str">
        <f>jsRow('symptom factors'!A80:AL80, TRUE )</f>
        <v xml:space="preserve">[ 26 , 9 , -35 , 3 , 16 , 5 , 1 , -14 , 0 , 28 , -21 , 9 , 8 , -21 , 18 , -10 , 5 , -10 , 17 , 28 , 0 , 0 , 13 , 7 , -9 , -34 , 5 , -1 , 28 , 21 , 5 , -12 , 9 , -1 , -7 , 12 , 11 , 24 ]  , </v>
      </c>
    </row>
    <row r="81" spans="1:1">
      <c r="A81" s="13" t="str">
        <f>jsRow('symptom factors'!A81:AL81, TRUE )</f>
        <v xml:space="preserve">[ 19 , 10 , -18 , 3 , 13 , 4 , 4 , -8 , 5 , 22 , -19 , -1 , 8 , -14 , 14 , -4 , 11 , -7 , 14 , 23 , 7 , -10 , 8 , 8 , 5 , -25 , 9 , -1 , 14 , 18 , 3 , 7 , 3 , -4 , 5 , -4 , 15 , 9 ]  , </v>
      </c>
    </row>
    <row r="82" spans="1:1">
      <c r="A82" s="13" t="str">
        <f>jsRow('symptom factors'!A82:AL82, TRUE )</f>
        <v xml:space="preserve">[ -31 , -1 , -25 , -14 , -5 , -10 , 6 , 1 , -36 , 14 , -7 , 23 , 3 , -26 , -18 , -22 , -15 , -9 , 15 , -6 , -1 , -13 , -15 , -5 , 27 , -9 , 9 , 6 , 9 , -14 , -12 , 2 , -13 , -11 , 9 , 9 , 6 , 2 ]  , </v>
      </c>
    </row>
    <row r="83" spans="1:1">
      <c r="A83" s="13" t="str">
        <f>jsRow('symptom factors'!A83:AL83, TRUE )</f>
        <v xml:space="preserve">[ -3 , -17 , 0 , 2 , 10 , 7 , -10 , 0 , -5 , 1 , -3 , 0 , -9 , 1 , 4 , 5 , 8 , -5 , 20 , -1 , 8 , 6 , -12 , 6 , 15 , 13 , -10 , 9 , 1 , 11 , -5 , -10 , 16 , -5 , 5 , 15 , -7 , 13 ]  , </v>
      </c>
    </row>
    <row r="84" spans="1:1">
      <c r="A84" s="13" t="str">
        <f>jsRow('symptom factors'!A84:AL84, TRUE )</f>
        <v xml:space="preserve">[ 9 , -19 , -2 , 3 , -6 , 6 , 13 , -5 , 5 , 9 , 22 , 3 , -1 , 8 , -3 , -7 , 16 , 3 , 7 , -10 , 32 , 27 , -14 , -11 , 9 , 8 , 7 , -6 , 3 , 9 , 3 , 19 , -2 , 9 , 24 , -2 , -12 , 24 ]  , </v>
      </c>
    </row>
    <row r="85" spans="1:1">
      <c r="A85" s="13" t="str">
        <f>jsRow('symptom factors'!A85:AL85, TRUE )</f>
        <v xml:space="preserve">[ 13 , -6 , -5 , 8 , 1 , 6 , 1 , 5 , -12 , -3 , -10 , 2 , -4 , 8 , 15 , -7 , 5 , -34 , 19 , 28 , 26 , 20 , 6 , 13 , 13 , 40 , -5 , 14 , -27 , 5 , -17 , -14 , 33 , 20 , -6 , -18 , -2 , 7 ]  , </v>
      </c>
    </row>
    <row r="86" spans="1:1">
      <c r="A86" s="13" t="str">
        <f>jsRow('symptom factors'!A86:AL86, TRUE )</f>
        <v xml:space="preserve">[ -25 , -14 , 18 , -3 , 45 , 24 , 18 , -12 , -10 , -16 , -8 , 0 , -10 , -30 , -16 , 5 , -12 , 0 , -10 , 15 , 6 , -21 , -2 , 8 , -5 , 5 , -3 , 23 , 9 , 2 , 10 , 12 , 22 , -22 , -19 , -2 , 17 , 17 ]  , </v>
      </c>
    </row>
    <row r="87" spans="1:1">
      <c r="A87" s="13" t="str">
        <f>jsRow('symptom factors'!A87:AL87, TRUE )</f>
        <v xml:space="preserve">[ 6 , -2 , 38 , 35 , -6 , -16 , -11 , 36 , 13 , -6 , 23 , 41 , -27 , -1 , 4 , -34 , -38 , -5 , 34 , -14 , -5 , -17 , 8 , 19 , -6 , -21 , -17 , 2 , -4 , 27 , -8 , -1 , 9 , -6 , -6 , 2 , 10 , -3 ]  , </v>
      </c>
    </row>
    <row r="88" spans="1:1">
      <c r="A88" s="13" t="str">
        <f>jsRow('symptom factors'!A88:AL88, TRUE )</f>
        <v xml:space="preserve">[ -18 , -8 , 26 , 20 , 52 , 10 , 31 , -27 , 8 , -10 , -25 , -34 , 7 , 5 , 20 , -3 , -4 , 6 , -22 , -15 , 42 , 16 , 17 , 21 , 19 , 15 , -13 , 14 , 44 , 10 , -6 , 22 , -1 , -6 , 3 , -6 , -21 , -1 ]  , </v>
      </c>
    </row>
    <row r="89" spans="1:1">
      <c r="A89" s="13" t="str">
        <f>jsRow('symptom factors'!A89:AL89, TRUE )</f>
        <v xml:space="preserve">[ 0 , -43 , -8 , -2 , -11 , 30 , -55 , 54 , -30 , -12 , -49 , -43 , 25 , -6 , -7 , 57 , -12 , -18 , 26 , -25 , 33 , -23 , -29 , 45 , 6 , 8 , 12 , 29 , 39 , 62 , -12 , -2 , 21 , -12 , -10 , 46 , 5 , -17 ]  , </v>
      </c>
    </row>
    <row r="90" spans="1:1">
      <c r="A90" s="13" t="str">
        <f>jsRow('symptom factors'!A90:AL90, TRUE )</f>
        <v xml:space="preserve">[ -6 , -13 , 4 , -33 , -30 , -31 , -17 , -26 , 0 , 36 , -5 , -4 , 8 , -12 , 18 , -10 , 9 , -3 , -32 , -10 , 4 , -13 , 41 , 0 , -4 , -54 , -27 , 14 , -8 , -32 , 9 , 20 , 33 , -29 , -38 , 59 , 4 , 9 ]  , </v>
      </c>
    </row>
    <row r="91" spans="1:1">
      <c r="A91" s="13" t="str">
        <f>jsRow('symptom factors'!A91:AL91, TRUE )</f>
        <v xml:space="preserve">[ 16 , 4 , -2 , -9 , -1 , 3 , -6 , -6 , -11 , 5 , 2 , 14 , 6 , 0 , 0 , -5 , 1 , 16 , 7 , -2 , 24 , 19 , 10 , -13 , -5 , 2 , -4 , -2 , 3 , -3 , -4 , 5 , 6 , 0 , 13 , 1 , -10 , 17 ]  , </v>
      </c>
    </row>
    <row r="92" spans="1:1">
      <c r="A92" s="13" t="str">
        <f>jsRow('symptom factors'!A92:AL92, TRUE )</f>
        <v xml:space="preserve">[ 36 , 0 , -21 , -7 , -9 , 19 , -6 , -1 , -10 , 22 , 8 , 11 , -7 , -14 , 18 , -16 , 9 , 12 , 5 , -3 , 43 , -4 , -5 , -35 , -19 , -17 , 8 , 2 , 9 , 3 , -16 , 34 , 3 , -17 , 26 , -13 , -12 , 10 ]  , </v>
      </c>
    </row>
    <row r="93" spans="1:1">
      <c r="A93" s="13" t="str">
        <f>jsRow('symptom factors'!A93:AL93, TRUE )</f>
        <v xml:space="preserve">[ 23 , -24 , -25 , -18 , -13 , 8 , -38 , 6 , -4 , 15 , -4 , 10 , -5 , -11 , -10 , -16 , -1 , 23 , -2 , -19 , 56 , 23 , -26 , -43 , 28 , 16 , -21 , 9 , 31 , 1 , -1 , 36 , -1 , 5 , 34 , 4 , 2 , 13 ]  , </v>
      </c>
    </row>
    <row r="94" spans="1:1">
      <c r="A94" s="13" t="str">
        <f>jsRow('symptom factors'!A94:AL94, TRUE )</f>
        <v xml:space="preserve">[ 2 , -12 , 38 , 32 , -9 , -23 , -9 , 49 , 4 , -4 , 21 , 41 , -33 , -11 , 2 , -31 , -29 , 14 , 25 , 2 , 0 , -6 , 18 , 16 , -11 , -22 , -8 , -11 , -2 , 44 , 8 , 4 , 7 , -3 , 4 , -6 , 18 , 2 ]  , </v>
      </c>
    </row>
    <row r="95" spans="1:1">
      <c r="A95" s="13" t="str">
        <f>jsRow('symptom factors'!A95:AL95, TRUE )</f>
        <v xml:space="preserve">[ 4 , 7 , -10 , 0 , 6 , -4 , -11 , -5 , 7 , 3 , 2 , 6 , 4 , -7 , -13 , -26 , -21 , 4 , -6 , 16 , -4 , 16 , -1 , 7 , 14 , 8 , -8 , -11 , 17 , -6 , 1 , -2 , 2 , 0 , 10 , 10 , 4 , 14 ]  , </v>
      </c>
    </row>
    <row r="96" spans="1:1">
      <c r="A96" s="13" t="str">
        <f>jsRow('symptom factors'!A96:AL96, TRUE )</f>
        <v xml:space="preserve">[ 11 , -17 , -9 , -6 , -17 , 6 , -5 , 10 , -8 , 6 , 3 , -2 , 15 , -12 , -6 , -12 , -6 , -17 , -9 , -13 , 14 , 20 , -8 , -31 , 21 , -4 , -21 , 11 , 4 , -20 , 8 , 23 , -11 , 2 , 20 , -10 , 14 , 29 ]  , </v>
      </c>
    </row>
    <row r="97" spans="1:1">
      <c r="A97" s="13" t="str">
        <f>jsRow('symptom factors'!A97:AL97, TRUE )</f>
        <v xml:space="preserve">[ -9 , -8 , -3 , -12 , -15 , -9 , -24 , 4 , 7 , 15 , 4 , 3 , -2 , -12 , 5 , 0 , -11 , -4 , 4 , 5 , 4 , 12 , -8 , -17 , 30 , -1 , 6 , -4 , 7 , -18 , -3 , 21 , 21 , 6 , -31 , 1 , 19 , 24 ]  , </v>
      </c>
    </row>
    <row r="98" spans="1:1">
      <c r="A98" s="13" t="str">
        <f>jsRow('symptom factors'!A98:AL98, TRUE )</f>
        <v xml:space="preserve">[ -3 , -7 , 1 , -8 , -11 , -18 , -33 , -5 , 14 , 37 , 2 , 4 , 0 , -6 , -20 , 11 , -10 , 0 , 2 , 17 , 33 , 0 , -6 , -26 , 24 , 4 , 1 , -4 , 0 , -9 , -6 , 26 , 19 , 22 , -34 , -25 , -1 , 2 ]  , </v>
      </c>
    </row>
    <row r="99" spans="1:1">
      <c r="A99" s="13" t="str">
        <f>jsRow('symptom factors'!A99:AL99, TRUE )</f>
        <v xml:space="preserve">[ -9 , -13 , -19 , -14 , -20 , -10 , -21 , 12 , 3 , 6 , 4 , 14 , -11 , 9 , 24 , -2 , -14 , 5 , 9 , -8 , 22 , 29 , -39 , -35 , 25 , 7 , -12 , 2 , 22 , -11 , 1 , 17 , -40 , 25 , 30 , 4 , -11 , 23 ]  , </v>
      </c>
    </row>
    <row r="100" spans="1:1">
      <c r="A100" s="13" t="str">
        <f>jsRow('symptom factors'!A100:AL100, TRUE )</f>
        <v xml:space="preserve">[ -13 , 1 , 1 , 0 , 6 , -3 , -15 , -8 , -2 , 10 , 2 , 2 , -3 , -4 , 6 , -4 , -7 , -11 , -7 , -5 , 15 , 6 , 11 , 19 , 17 , 2 , 10 , -17 , 6 , -8 , 12 , -4 , -10 , -6 , -3 , -5 , -6 , -4 ]  , </v>
      </c>
    </row>
    <row r="101" spans="1:1">
      <c r="A101" s="13" t="str">
        <f>jsRow('symptom factors'!A101:AL101, TRUE )</f>
        <v xml:space="preserve">[ -14 , 20 , 0 , -7 , 6 , 3 , -25 , 1 , -13 , 21 , 14 , 8 , 6 , 9 , -6 , -8 , 0 , -12 , -21 , 12 , 33 , 9 , 5 , -18 , 41 , 2 , 24 , 7 , 5 , -19 , -8 , 11 , -29 , -2 , -7 , -15 , 38 , -16 ]  , </v>
      </c>
    </row>
    <row r="102" spans="1:1">
      <c r="A102" s="13" t="str">
        <f>jsRow('symptom factors'!A102:AL102, TRUE )</f>
        <v xml:space="preserve">[ -24 , 13 , -17 , -8 , 10 , -6 , -19 , 4 , -10 , 11 , 9 , 20 , 2 , 5 , -12 , -18 , -12 , -7 , -12 , -10 , 23 , -1 , 12 , -6 , 38 , -9 , 12 , 7 , 10 , -12 , -14 , 6 , -10 , -2 , -15 , -6 , 16 , -21 ]  , </v>
      </c>
    </row>
    <row r="103" spans="1:1">
      <c r="A103" s="13" t="str">
        <f>jsRow('symptom factors'!A103:AL103, TRUE )</f>
        <v xml:space="preserve">[ 16 , 1 , -4 , -11 , 4 , 8 , 3 , -5 , 0 , 13 , 3 , 9 , -7 , -2 , 8 , 8 , -13 , 11 , -6 , -4 , -1 , 1 , -8 , 3 , -4 , -5 , 2 , -16 , 3 , -8 , -1 , -1 , -28 , 7 , 3 , 0 , 17 , 13 ]  , </v>
      </c>
    </row>
    <row r="104" spans="1:1">
      <c r="A104" s="13" t="str">
        <f>jsRow('symptom factors'!A104:AL104, TRUE )</f>
        <v xml:space="preserve">[ 17 , 13 , -16 , 2 , 14 , 1 , -6 , -8 , 0 , 18 , -10 , 17 , 5 , -3 , 23 , -9 , 4 , -5 , 4 , 16 , -1 , -6 , 10 , 1 , -21 , -8 , 0 , -4 , 12 , -3 , 0 , 10 , -15 , 4 , 5 , -13 , -6 , 0 ]  , </v>
      </c>
    </row>
    <row r="105" spans="1:1">
      <c r="A105" s="13" t="str">
        <f>jsRow('symptom factors'!A105:AL105, TRUE )</f>
        <v xml:space="preserve">[ 14 , -20 , -13 , -20 , -25 , -11 , -18 , -11 , -14 , 4 , 5 , 3 , -25 , -14 , 7 , 31 , 9 , 10 , -17 , -10 , -12 , 1 , 15 , 18 , -5 , -20 , 8 , -10 , 14 , -15 , -7 , 13 , -24 , -1 , -20 , 2 , 14 , 33 ]  , </v>
      </c>
    </row>
    <row r="106" spans="1:1">
      <c r="A106" s="13" t="str">
        <f>jsRow('symptom factors'!A106:AL106, TRUE )</f>
        <v xml:space="preserve">[ 14 , -21 , -12 , -15 , -17 , -7 , -6 , -10 , -12 , 7 , 8 , 2 , -15 , -6 , 13 , 16 , 8 , 5 , -9 , -16 , -15 , 8 , 13 , 9 , 1 , -15 , 8 , -4 , 10 , -10 , -4 , 8 , -15 , -5 , -4 , 1 , 12 , 21 ]  , </v>
      </c>
    </row>
    <row r="107" spans="1:1">
      <c r="A107" s="13" t="str">
        <f>jsRow('symptom factors'!A107:AL107, TRUE )</f>
        <v xml:space="preserve">[ 7 , 6 , -7 , -4 , 0 , 3 , -1 , -3 , 2 , 12 , 2 , 7 , 2 , -5 , 6 , 8 , 1 , -1 , -2 , 6 , 0 , 3 , 0 , 8 , -11 , -2 , 2 , -8 , 5 , 1 , -7 , 9 , -12 , -2 , 7 , -6 , 6 , 5 ]  , </v>
      </c>
    </row>
    <row r="108" spans="1:1">
      <c r="A108" s="13" t="str">
        <f>jsRow('symptom factors'!A108:AL108, TRUE )</f>
        <v xml:space="preserve">[ -26 , 16 , -3 , -16 , -27 , -24 , -4 , 23 , 24 , -12 , -10 , -15 , 4 , 9 , 51 , 27 , -34 , 1 , -15 , -57 , 4 , 26 , -51 , -15 , 5 , -17 , -13 , 14 , -9 , -11 , 8 , -27 , 25 , 9 , 16 , -8 , -56 , 27 ]  , </v>
      </c>
    </row>
    <row r="109" spans="1:1">
      <c r="A109" s="13" t="str">
        <f>jsRow('symptom factors'!A109:AL109, TRUE )</f>
        <v xml:space="preserve">[ 7 , 3 , 4 , -10 , -4 , -4 , -5 , 4 , -8 , -6 , 3 , 6 , 1 , -5 , 11 , 2 , -4 , 5 , -20 , -3 , -4 , 6 , 16 , -3 , 3 , 2 , 4 , -9 , -5 , 18 , -3 , -12 , -5 , 5 , -9 , -9 , 7 , -6 ]  , </v>
      </c>
    </row>
    <row r="110" spans="1:1">
      <c r="A110" s="13" t="str">
        <f>jsRow('symptom factors'!A110:AL110, TRUE )</f>
        <v xml:space="preserve">[ 5 , 8 , -4 , -4 , 15 , -7 , -15 , -3 , -1 , 6 , -16 , 1 , -5 , 2 , 8 , 7 , -29 , -13 , -8 , -2 , 21 , 3 , 17 , 22 , -9 , -17 , -23 , -14 , -6 , -17 , 2 , -3 , -3 , -7 , -13 , 0 , -1 , 3 ]  , </v>
      </c>
    </row>
    <row r="111" spans="1:1">
      <c r="A111" s="13" t="str">
        <f>jsRow('symptom factors'!A111:AL111, TRUE )</f>
        <v xml:space="preserve">[ 0 , -2 , 11 , -5 , 10 , -8 , -22 , -13 , 2 , 3 , -20 , -2 , 6 , 0 , 19 , 10 , -15 , 6 , -6 , -11 , 31 , -2 , 13 , 35 , 17 , -22 , -13 , -30 , 11 , -10 , 22 , -2 , -4 , -9 , -12 , 3 , -17 , 0 ]  , </v>
      </c>
    </row>
    <row r="112" spans="1:1">
      <c r="A112" s="13" t="str">
        <f>jsRow('symptom factors'!A112:AL112, TRUE )</f>
        <v xml:space="preserve">[ -38 , 10 , 16 , 2 , 22 , -9 , -35 , -2 , 8 , 9 , -24 , 0 , 18 , 42 , 25 , -7 , -14 , 16 , -3 , -2 , 56 , 63 , 5 , 9 , -18 , -24 , 11 , -22 , 14 , 17 , 13 , -17 , -26 , -33 , -27 , -31 , -10 , -9 ]  , </v>
      </c>
    </row>
    <row r="113" spans="1:1">
      <c r="A113" s="13" t="str">
        <f>jsRow('symptom factors'!A113:AL113, TRUE )</f>
        <v xml:space="preserve">[ 0 , 6 , 2 , -5 , 3 , 9 , -3 , -12 , -1 , -8 , -14 , 6 , 7 , 11 , 2 , -2 , 7 , 12 , 9 , -5 , 27 , 26 , -11 , -1 , -15 , -22 , 12 , -7 , 2 , 8 , 2 , -6 , 16 , 0 , 1 , 3 , 2 , -14 ]  , </v>
      </c>
    </row>
    <row r="114" spans="1:1">
      <c r="A114" s="13" t="str">
        <f>jsRow('symptom factors'!A114:AL114, TRUE )</f>
        <v xml:space="preserve">[ 11 , -8 , 5 , -23 , 1 , 4 , 7 , -1 , -11 , -7 , 26 , 12 , 7 , -14 , -1 , 4 , 3 , -21 , 7 , 5 , -20 , 4 , 4 , 45 , 7 , 7 , -9 , -12 , -2 , 2 , -11 , 4 , -34 , -11 , 7 , 9 , 1 , 9 ]  , </v>
      </c>
    </row>
    <row r="115" spans="1:1">
      <c r="A115" s="13" t="str">
        <f>jsRow('symptom factors'!A115:AL115, TRUE )</f>
        <v xml:space="preserve">[ -1 , -21 , 32 , -2 , 11 , 10 , -19 , -8 , -1 , -14 , -24 , -34 , -8 , 16 , 7 , 29 , -39 , -22 , 12 , -6 , 28 , 0 , -5 , -7 , -27 , 3 , -22 , -10 , 18 , 6 , 0 , 38 , -36 , -29 , -3 , 9 , 14 , -36 ]  , </v>
      </c>
    </row>
    <row r="116" spans="1:1">
      <c r="A116" s="13" t="str">
        <f>jsRow('symptom factors'!A116:AL116, TRUE )</f>
        <v xml:space="preserve">[ 53 , -32 , -1 , -84 , 6 , -14 , -6 , 12 , -3 , -14 , 33 , 14 , 22 , -11 , 5 , 0 , 32 , -11 , -5 , 19 , 7 , -23 , -8 , -9 , 45 , 18 , -5 , -16 , 13 , 27 , -11 , 45 , -31 , 27 , 61 , -16 , -5 , 16 ]  , </v>
      </c>
    </row>
    <row r="117" spans="1:1">
      <c r="A117" s="13" t="str">
        <f>jsRow('symptom factors'!A117:AL117, TRUE )</f>
        <v xml:space="preserve">[ 26 , -36 , -26 , -33 , 7 , 0 , -26 , 16 , -9 , -24 , -7 , 24 , -22 , 47 , 1 , 9 , 45 , -7 , -23 , 23 , -19 , -9 , -46 , 48 , -9 , -5 , -3 , 25 , -9 , -10 , -41 , -3 , -9 , -21 , 36 , -5 , 5 , 5 ]  , </v>
      </c>
    </row>
    <row r="118" spans="1:1">
      <c r="A118" s="13" t="str">
        <f>jsRow('symptom factors'!A118:AL118, TRUE )</f>
        <v xml:space="preserve">[ 11 , 1 , 3 , -16 , 9 , -14 , -15 , -4 , 1 , -26 , 15 , 18 , 21 , 9 , -1 , 1 , 19 , -1 , 0 , 1 , 3 , 12 , -1 , -3 , -8 , -9 , -25 , -9 , -9 , 14 , -9 , -18 , 5 , 8 , -1 , -12 , 4 , 3 ]  , </v>
      </c>
    </row>
    <row r="119" spans="1:1">
      <c r="A119" s="13" t="str">
        <f>jsRow('symptom factors'!A119:AL119, TRUE )</f>
        <v xml:space="preserve">[ 4 , -40 , -19 , -8 , -13 , 0 , -18 , 4 , -18 , -20 , 6 , 3 , 21 , 25 , 7 , 5 , 23 , -35 , -2 , 21 , -25 , 1 , -21 , 30 , 2 , -10 , -9 , 6 , -20 , -24 , -16 , -12 , 1 , 0 , 0 , -12 , 20 , 9 ]  , </v>
      </c>
    </row>
    <row r="120" spans="1:1">
      <c r="A120" s="13" t="str">
        <f>jsRow('symptom factors'!A120:AL120, TRUE )</f>
        <v xml:space="preserve">[ 11 , -4 , -6 , -16 , 1 , -4 , -3 , -2 , 2 , -25 , 10 , 31 , 9 , 9 , -7 , 3 , 20 , -12 , 7 , -2 , 23 , 36 , -13 , 16 , -16 , 5 , -3 , -9 , -36 , 0 , -20 , 10 , 16 , 2 , -5 , -14 , 3 , 11 ]  , </v>
      </c>
    </row>
    <row r="121" spans="1:1">
      <c r="A121" s="13" t="str">
        <f>jsRow('symptom factors'!A121:AL121, TRUE )</f>
        <v xml:space="preserve">[ -36 , -34 , -5 , -54 , 15 , 33 , 3 , -17 , 9 , -52 , -1 , 30 , -10 , -33 , -21 , 2 , 5 , -26 , 25 , 30 , -4 , -47 , -9 , -3 , -20 , 6 , 3 , 20 , 8 , -14 , 31 , -13 , 5 , 8 , 13 , -5 , 7 , -11 ]  , </v>
      </c>
    </row>
    <row r="122" spans="1:1">
      <c r="A122" s="13" t="str">
        <f>jsRow('symptom factors'!A122:AL122, TRUE )</f>
        <v xml:space="preserve">[ 24 , -37 , -37 , -19 , -3 , -3 , -22 , 11 , -6 , -27 , 3 , 40 , -46 , 45 , 17 , 12 , 34 , -7 , -21 , 27 , -39 , -17 , -53 , 57 , -5 , -13 , -4 , 13 , 3 , -25 , -50 , 7 , 3 , -30 , 34 , 11 , -13 , -10 ]  , </v>
      </c>
    </row>
    <row r="123" spans="1:1">
      <c r="A123" s="13" t="str">
        <f>jsRow('symptom factors'!A123:AL123, TRUE )</f>
        <v xml:space="preserve">[ 12 , -38 , 1 , -73 , 9 , -5 , -19 , 5 , 13 , -61 , 23 , 8 , 13 , 17 , -38 , -8 , -1 , -44 , 20 , 14 , -1 , 26 , 25 , 2 , -7 , -13 , 5 , -1 , 2 , 23 , 26 , 16 , 24 , 18 , -7 , -17 , 12 , 13 ]  , </v>
      </c>
    </row>
    <row r="124" spans="1:1">
      <c r="A124" s="13" t="str">
        <f>jsRow('symptom factors'!A124:AL124, TRUE )</f>
        <v xml:space="preserve">[ 8 , -14 , -4 , -45 , 22 , -8 , -26 , -5 , -4 , -33 , 8 , -1 , 10 , 13 , -34 , -13 , -1 , -32 , 4 , 15 , -6 , 32 , 22 , 14 , -32 , -8 , -5 , -5 , -16 , 29 , 13 , 21 , 32 , 1 , -9 , -22 , 33 , 14 ]  , </v>
      </c>
    </row>
    <row r="125" spans="1:1">
      <c r="A125" s="13" t="str">
        <f>jsRow('symptom factors'!A125:AL125, TRUE )</f>
        <v xml:space="preserve">[ 26 , -16 , -25 , -30 , 19 , -2 , -14 , -11 , 5 , -19 , -22 , 13 , -44 , 19 , -11 , 4 , 24 , 12 , 11 , 15 , -20 , 1 , 5 , 28 , 2 , -10 , -4 , 16 , 31 , 11 , 9 , -9 , 10 , -11 , 15 , -11 , 1 , -9 ]  , </v>
      </c>
    </row>
    <row r="126" spans="1:1">
      <c r="A126" s="13" t="str">
        <f>jsRow('symptom factors'!A126:AL126, TRUE )</f>
        <v xml:space="preserve">[ 3 , -6 , 6 , -24 , 6 , 15 , -12 , -3 , 29 , -13 , -14 , 0 , -15 , 5 , -11 , -11 , 4 , -2 , 3 , -7 , -14 , 7 , -6 , 5 , 8 , -14 , -2 , -10 , 35 , -5 , 34 , -25 , 31 , -7 , 7 , -27 , -2 , -23 ]  , </v>
      </c>
    </row>
    <row r="127" spans="1:1">
      <c r="A127" s="13" t="str">
        <f>jsRow('symptom factors'!A127:AL127, TRUE )</f>
        <v xml:space="preserve">[ 7 , -14 , -6 , -10 , 5 , 9 , -7 , -3 , -15 , -4 , -8 , 12 , -30 , 14 , -8 , 11 , 10 , 2 , 5 , 7 , -14 , 12 , 3 , 5 , 1 , 2 , -1 , 16 , 4 , -3 , 11 , -13 , 5 , -16 , -6 , -4 , 10 , 3 ]  , </v>
      </c>
    </row>
    <row r="128" spans="1:1">
      <c r="A128" s="13" t="str">
        <f>jsRow('symptom factors'!A128:AL128, TRUE )</f>
        <v xml:space="preserve">[ 9 , -22 , -10 , 17 , -1 , -3 , -2 , 26 , -4 , 2 , 2 , 22 , -28 , 7 , -10 , 42 , 19 , -8 , -39 , -6 , 21 , -17 , 12 , 23 , -17 , 7 , 13 , 7 , 0 , -32 , -17 , -7 , -16 , 46 , -23 , -3 , 9 , -14 ]  , </v>
      </c>
    </row>
    <row r="129" spans="1:1">
      <c r="A129" s="13" t="str">
        <f>jsRow('symptom factors'!A129:AL129, TRUE )</f>
        <v xml:space="preserve">[ 8 , -15 , -14 , 9 , -1 , -10 , 10 , 10 , -3 , -21 , -6 , 24 , -36 , 1 , -1 , -7 , 25 , 0 , -33 , 14 , 36 , -2 , 29 , 5 , 0 , 1 , 14 , 34 , 10 , -34 , 15 , -6 , -13 , -5 , -5 , -2 , -28 , -7 ]  , </v>
      </c>
    </row>
    <row r="130" spans="1:1">
      <c r="A130" s="13" t="str">
        <f>jsRow('symptom factors'!A130:AL130, TRUE )</f>
        <v xml:space="preserve">[ 15 , 0 , 30 , 24 , -17 , -20 , -11 , 42 , -16 , -1 , 22 , 27 , -16 , -12 , 9 , -17 , 1 , 18 , -8 , 7 , -5 , -18 , 1 , -37 , 2 , -2 , 2 , 20 , 8 , -2 , 4 , -44 , -14 , -3 , -2 , -21 , -5 , -11 ]  , </v>
      </c>
    </row>
    <row r="131" spans="1:1">
      <c r="A131" s="13" t="str">
        <f>jsRow('symptom factors'!A131:AL131, TRUE )</f>
        <v xml:space="preserve">[ 12 , -15 , -2 , 14 , -8 , -7 , 12 , 15 , -3 , -3 , 11 , 26 , -26 , 12 , -4 , -18 , 3 , 8 , -21 , -11 , 14 , -28 , -2 , -27 , -5 , -12 , 6 , 10 , 4 , -12 , 13 , -2 , -22 , -13 , 13 , 2 , -1 , 7 ]  , </v>
      </c>
    </row>
    <row r="132" spans="1:1">
      <c r="A132" s="13" t="str">
        <f>jsRow('symptom factors'!A132:AL132, TRUE )</f>
        <v xml:space="preserve">[ 9 , -6 , -11 , 16 , 4 , -11 , 14 , 9 , 5 , -17 , -3 , 0 , -26 , 1 , -13 , -4 , -9 , -6 , -19 , -5 , 12 , 5 , -5 , 2 , -13 , -5 , 3 , 13 , -14 , -7 , 9 , 17 , -10 , -6 , -14 , 2 , 5 , 1 ]  , </v>
      </c>
    </row>
    <row r="133" spans="1:1">
      <c r="A133" s="13" t="str">
        <f>jsRow('symptom factors'!A133:AL133, TRUE )</f>
        <v xml:space="preserve">[ 5 , 0 , -4 , 2 , 5 , -2 , 2 , -1 , 1 , -2 , 4 , 6 , -14 , -3 , -11 , 1 , -4 , 2 , -10 , -6 , 1 , -7 , 1 , -4 , 5 , 8 , -5 , 1 , -18 , -7 , 6 , 1 , -6 , -9 , -9 , 5 , 5 , 2 ]  , </v>
      </c>
    </row>
    <row r="134" spans="1:1">
      <c r="A134" s="13" t="str">
        <f>jsRow('symptom factors'!A134:AL134, TRUE )</f>
        <v xml:space="preserve">[ 18 , 17 , -15 , 4 , 1 , -4 , 1 , -5 , 18 , -6 , -15 , -11 , -32 , -22 , -13 , 8 , -11 , 18 , -9 , 5 , -3 , -6 , 7 , 4 , 0 , -34 , -13 , 10 , -24 , -17 , -17 , 10 , 12 , 4 , 7 , -4 , -11 , 1 ]  , </v>
      </c>
    </row>
    <row r="135" spans="1:1">
      <c r="A135" s="13" t="str">
        <f>jsRow('symptom factors'!A135:AL135, TRUE )</f>
        <v xml:space="preserve">[ 4 , -5 , 8 , -3 , -18 , -11 , -1 , -20 , -2 , 14 , -9 , -28 , -28 , -21 , 13 , 14 , 9 , 6 , 1 , -26 , 7 , 15 , 42 , 3 , 11 , -55 , -21 , 9 , 1 , -27 , 8 , 5 , 21 , 13 , -22 , 22 , -1 , 30 ]  , </v>
      </c>
    </row>
    <row r="136" spans="1:1">
      <c r="A136" s="13" t="str">
        <f>jsRow('symptom factors'!A136:AL136, TRUE )</f>
        <v xml:space="preserve">[ 33 , -18 , -14 , 17 , -15 , -18 , 11 , 10 , -16 , -46 , -28 , 16 , -20 , 4 , -6 , -3 , 25 , -16 , -24 , -5 , 20 , 16 , -6 , 21 , -19 , -13 , 22 , 15 , -37 , -9 , -6 , -44 , 11 , 23 , -19 , 18 , 7 , -20 ]  , </v>
      </c>
    </row>
    <row r="137" spans="1:1">
      <c r="A137" s="13" t="str">
        <f>jsRow('symptom factors'!A137:AL137, TRUE )</f>
        <v xml:space="preserve">[ -12 , -8 , -2 , 8 , -1 , 11 , -14 , 9 , -28 , 12 , 7 , -11 , 21 , 23 , 18 , -1 , 12 , -20 , 13 , 25 , 5 , 8 , -9 , 10 , 1 , 17 , -21 , 7 , -2 , -24 , 8 , -34 , 1 , 11 , 0 , -8 , 5 , 12 ]  , </v>
      </c>
    </row>
    <row r="138" spans="1:1">
      <c r="A138" s="13" t="str">
        <f>jsRow('symptom factors'!A138:AL138, TRUE )</f>
        <v xml:space="preserve">[ 2 , -7 , 32 , 18 , -8 , -18 , -10 , 6 , -19 , -1 , 12 , 15 , -5 , -11 , 7 , -5 , 4 , 5 , 4 , 5 , 13 , -5 , 17 , -16 , -22 , 5 , -6 , 18 , 20 , -1 , 31 , -17 , -12 , -9 , -3 , -6 , 12 , -11 ]  , </v>
      </c>
    </row>
    <row r="139" spans="1:1">
      <c r="A139" s="13" t="str">
        <f>jsRow('symptom factors'!A139:AL139, TRUE )</f>
        <v xml:space="preserve">[ -39 , -21 , 24 , -16 , -2 , 42 , -13 , -19 , 78 , 21 , -7 , 8 , -9 , -22 , 18 , -14 , 7 , 17 , 1 , -4 , 3 , 28 , -21 , 17 , 4 , -12 , 5 , 33 , -12 , -9 , 12 , -20 , -3 , 6 , 6 , 3 , 21 , 10 ]  , </v>
      </c>
    </row>
    <row r="140" spans="1:1">
      <c r="A140" s="13" t="str">
        <f>jsRow('symptom factors'!A140:AL140, TRUE )</f>
        <v xml:space="preserve">[ -49 , -36 , 22 , -3 , -6 , 47 , -12 , -32 , 81 , 33 , -13 , 17 , -7 , -56 , -9 , -14 , 17 , 7 , -1 , 5 , -17 , 18 , -25 , -3 , -47 , 19 , 19 , 19 , -13 , 5 , 3 , -25 , -35 , 11 , -21 , 4 , 2 , -15 ]  , </v>
      </c>
    </row>
    <row r="141" spans="1:1">
      <c r="A141" s="13" t="str">
        <f>jsRow('symptom factors'!A141:AL141, TRUE )</f>
        <v xml:space="preserve">[ -41 , -28 , 15 , -8 , -6 , 28 , 0 , -28 , 71 , 32 , -8 , 18 , -10 , -42 , -5 , -19 , 14 , 4 , -2 , 9 , -19 , 13 , -22 , -1 , -44 , 11 , 20 , 14 , -11 , 10 , 0 , -23 , -18 , -1 , -11 , 2 , 2 , -19 ]  , </v>
      </c>
    </row>
    <row r="142" spans="1:1">
      <c r="A142" s="13" t="str">
        <f>jsRow('symptom factors'!A142:AL142, TRUE )</f>
        <v xml:space="preserve">[ -14 , -12 , 7 , -2 , -5 , 12 , -2 , -12 , 31 , 19 , -3 , 8 , -3 , -12 , 4 , -1 , 11 , 4 , -2 , 7 , -9 , 4 , -12 , -5 , -13 , 1 , 7 , 14 , -14 , 7 , -4 , -7 , -7 , -3 , -5 , 5 , -2 , -6 ]  , </v>
      </c>
    </row>
    <row r="143" spans="1:1">
      <c r="A143" s="13" t="str">
        <f>jsRow('symptom factors'!A143:AL143, TRUE )</f>
        <v xml:space="preserve">[ -12 , -22 , -3 , -8 , -3 , -6 , -22 , 1 , 2 , -1 , -12 , -13 , 2 , 4 , 25 , -15 , 2 , -1 , 7 , -13 , -16 , 7 , 5 , -4 , -3 , -12 , -18 , 24 , -4 , 7 , 1 , 4 , 5 , -13 , 10 , 0 , 6 , -11 ]  , </v>
      </c>
    </row>
    <row r="144" spans="1:1">
      <c r="A144" s="13" t="str">
        <f>jsRow('symptom factors'!A144:AL144, TRUE )</f>
        <v xml:space="preserve">[ -27 , -32 , 18 , 20 , 40 , 18 , 3 , -6 , 21 , 5 , 4 , 7 , -8 , -20 , 3 , 12 , 10 , 12 , -15 , -6 , 10 , -8 , 7 , 20 , 2 , 9 , -15 , -1 , -7 , 7 , -14 , -8 , -6 , 9 , -4 , -12 , -14 , 27 ]  , </v>
      </c>
    </row>
    <row r="145" spans="1:1">
      <c r="A145" s="13" t="str">
        <f>jsRow('symptom factors'!A145:AL145, TRUE )</f>
        <v xml:space="preserve">[ -29 , -39 , 1 , -12 , 13 , 13 , -16 , 0 , 23 , 9 , -7 , -16 , -13 , 3 , 16 , -8 , 0 , -7 , 2 , -21 , -17 , 3 , 6 , 9 , 9 , -14 , -12 , 14 , 6 , 0 , 8 , -20 , 2 , -4 , 17 , -13 , -3 , -4 ]  , </v>
      </c>
    </row>
    <row r="146" spans="1:1">
      <c r="A146" s="13" t="str">
        <f>jsRow('symptom factors'!A146:AL146, TRUE )</f>
        <v xml:space="preserve">[ -31 , -9 , 5 , 18 , 26 , 10 , -21 , 4 , 10 , 6 , 9 , 21 , -5 , -25 , 9 , -7 , 15 , 8 , -6 , -12 , 11 , -10 , 32 , 9 , 4 , -8 , -7 , 7 , -23 , 28 , -33 , -17 , -3 , 13 , -2 , -6 , 7 , 5 ]  , </v>
      </c>
    </row>
    <row r="147" spans="1:1">
      <c r="A147" s="13" t="str">
        <f>jsRow('symptom factors'!A147:AL147, TRUE )</f>
        <v xml:space="preserve">[ -25 , -21 , 8 , 9 , 18 , 14 , 0 , -11 , 32 , 14 , 1 , 13 , -6 , -31 , 9 , 1 , 10 , 4 , -5 , -10 , 8 , 17 , 3 , 17 , 7 , 13 , 2 , 17 , -11 , -3 , -14 , -15 , -12 , 10 , -1 , -1 , 2 , 29 ]  , </v>
      </c>
    </row>
    <row r="148" spans="1:1">
      <c r="A148" s="13" t="str">
        <f>jsRow('symptom factors'!A148:AL148, TRUE )</f>
        <v xml:space="preserve">[ 16 , -39 , 20 , -17 , 8 , -24 , -18 , -15 , 9 , -30 , 12 , -25 , 23 , -4 , -17 , -3 , -15 , 6 , 26 , 28 , 9 , 6 , -1 , -40 , -21 , -18 , 19 , -29 , -19 , 2 , 6 , -5 , -4 , 44 , -18 , 15 , -19 , -11 ]  , </v>
      </c>
    </row>
    <row r="149" spans="1:1">
      <c r="A149" s="13" t="str">
        <f>jsRow('symptom factors'!A149:AL149, TRUE )</f>
        <v xml:space="preserve">[ 31 , -20 , 21 , -50 , 48 , 7 , -1 , -27 , -7 , -53 , 60 , 3 , 22 , -7 , 1 , 8 , -21 , 21 , 2 , 15 , 0 , -30 , 16 , -47 , 21 , -11 , 12 , -8 , 3 , 2 , -14 , -30 , -9 , 26 , 7 , 25 , -55 , 14 ]  , </v>
      </c>
    </row>
    <row r="150" spans="1:1">
      <c r="A150" s="13" t="str">
        <f>jsRow('symptom factors'!A150:AL150, TRUE )</f>
        <v xml:space="preserve">[ -31 , -37 , 27 , -33 , 46 , 25 , 46 , -14 , 54 , -35 , 35 , 3 , 25 , -49 , -15 , 21 , 0 , 4 , 32 , 33 , 22 , -46 , 26 , -17 , 1 , -4 , 7 , -5 , -13 , -18 , 12 , -10 , -16 , -2 , 23 , 29 , -5 , 7 ]  , </v>
      </c>
    </row>
    <row r="151" spans="1:1">
      <c r="A151" s="13" t="str">
        <f>jsRow('symptom factors'!A151:AL151, TRUE )</f>
        <v xml:space="preserve">[ 5 , -28 , 6 , -29 , 16 , 13 , 55 , 1 , 31 , -10 , 40 , 12 , 26 , -19 , -12 , 19 , 17 , 18 , 35 , 14 , 7 , -29 , 27 , -23 , 19 , 8 , -4 , 8 , -4 , -7 , -2 , -13 , -8 , -21 , 13 , 26 , 6 , -16 ]  , </v>
      </c>
    </row>
    <row r="152" spans="1:1">
      <c r="A152" s="13" t="str">
        <f>jsRow('symptom factors'!A152:AL152, TRUE )</f>
        <v xml:space="preserve">[ -20 , 3 , -5 , -7 , 0 , -8 , 14 , -4 , -24 , 8 , -6 , 14 , 1 , -13 , -9 , 6 , -9 , -5 , 7 , 1 , 4 , -9 , -8 , -1 , -2 , -2 , 11 , 6 , 13 , -1 , 14 , -12 , 11 , -5 , 22 , -6 , 14 , -9 ]  , </v>
      </c>
    </row>
    <row r="153" spans="1:1">
      <c r="A153" s="13" t="str">
        <f>jsRow('symptom factors'!A153:AL153, TRUE )</f>
        <v xml:space="preserve">[ 11 , -40 , 35 , -110 , 42 , -7 , -4 , -21 , 2 , -90 , 62 , -13 , 28 , -18 , -28 , 2 , -39 , -12 , 52 , 14 , 0 , -62 , 23 , -45 , -32 , 5 , 30 , -13 , 17 , 17 , 15 , 19 , -17 , 29 , 5 , 8 , -9 , -21 ]  , </v>
      </c>
    </row>
    <row r="154" spans="1:1">
      <c r="A154" s="13" t="str">
        <f>jsRow('symptom factors'!A154:AL154, TRUE )</f>
        <v xml:space="preserve">[ -9 , -24 , 17 , -70 , 28 , -16 , 12 , -6 , -15 , -60 , 21 , 0 , 12 , -27 , -21 , 12 , -31 , -33 , 45 , 3 , 17 , -60 , 2 , -25 , 7 , -4 , 35 , 13 , 16 , 6 , 16 , 49 , -2 , 24 , -14 , 7 , 9 , -34 ]  , </v>
      </c>
    </row>
    <row r="155" spans="1:1">
      <c r="A155" s="13" t="str">
        <f>jsRow('symptom factors'!A155:AL155, TRUE )</f>
        <v xml:space="preserve">[ -4 , -23 , 27 , 2 , 7 , 5 , -6 , -14 , 9 , -17 , -3 , -28 , -7 , 6 , -2 , 16 , -44 , -9 , -4 , -5 , 23 , 0 , -2 , -7 , -16 , -12 , 6 , -7 , -1 , 9 , -1 , 30 , -17 , -16 , -8 , 7 , 4 , -18 ]  , </v>
      </c>
    </row>
    <row r="156" spans="1:1">
      <c r="A156" s="13" t="str">
        <f>jsRow('symptom factors'!A156:AL156, TRUE )</f>
        <v xml:space="preserve">[ 25 , -7 , 18 , -38 , 29 , 2 , -5 , -16 , 1 , -42 , 44 , 10 , 21 , -1 , -1 , 3 , -22 , 16 , -4 , 5 , -7 , -20 , 1 , -30 , 9 , -6 , 5 , -5 , 1 , 1 , -10 , -33 , -10 , 16 , -8 , 23 , -31 , 11 ]  , </v>
      </c>
    </row>
    <row r="157" spans="1:1">
      <c r="A157" s="13" t="str">
        <f>jsRow('symptom factors'!A157:AL157, TRUE )</f>
        <v xml:space="preserve">[ 2 , 25 , 45 , 10 , -1 , 2 , 4 , -7 , -20 , -21 , -13 , 12 , 20 , -25 , -3 , 29 , 14 , 7 , 10 , 19 , 12 , 53 , -8 , 8 , -10 , -30 , -26 , -1 , -9 , -22 , 11 , -17 , -1 , 19 , 15 , 1 , 25 , 5 ]  , </v>
      </c>
    </row>
    <row r="158" spans="1:1">
      <c r="A158" s="13" t="str">
        <f>jsRow('symptom factors'!A158:AL158, TRUE )</f>
        <v xml:space="preserve">[ -21 , -10 , 55 , 31 , 34 , -38 , 34 , 0 , -20 , 7 , -13 , 12 , 15 , -15 , 36 , -6 , -5 , 17 , -18 , 32 , 46 , -2 , 11 , -1 , -36 , -7 , 28 , 12 , 22 , 17 , 7 , -28 , 27 , -1 , 5 , -31 , -51 , -29 ]  , </v>
      </c>
    </row>
    <row r="159" spans="1:1">
      <c r="A159" s="13" t="str">
        <f>jsRow('symptom factors'!A159:AL159, TRUE )</f>
        <v xml:space="preserve">[ -24 , 5 , 17 , -4 , 0 , -22 , 17 , -35 , -22 , 1 , -15 , 31 , 17 , -29 , -9 , -6 , 2 , -14 , 0 , 17 , 11 , 1 , 13 , -9 , -34 , 9 , -5 , 8 , 21 , -16 , 28 , -5 , 26 , 2 , 6 , -5 , -3 , 2 ]  , </v>
      </c>
    </row>
    <row r="160" spans="1:1">
      <c r="A160" s="13" t="str">
        <f>jsRow('symptom factors'!A160:AL160, TRUE )</f>
        <v xml:space="preserve">[ 8 , -23 , 10 , 33 , 0 , -11 , 12 , -5 , -4 , -1 , 0 , 15 , 43 , -12 , 1 , -1 , 0 , -23 , -29 , 45 , 24 , 44 , -9 , -10 , -22 , -10 , 20 , -4 , 0 , -44 , 21 , -32 , 17 , 26 , -3 , 15 , 2 , -30 ]  , </v>
      </c>
    </row>
    <row r="161" spans="1:1">
      <c r="A161" s="13" t="str">
        <f>jsRow('symptom factors'!A161:AL161, TRUE )</f>
        <v xml:space="preserve">[ -1 , 7 , 33 , 28 , 9 , -3 , 6 , -14 , -39 , -9 , -13 , 3 , 10 , -23 , -2 , 20 , 55 , 7 , 43 , 17 , -22 , 19 , -26 , 14 , -16 , 10 , -49 , -30 , -4 , -41 , 39 , 3 , -4 , -18 , 23 , 41 , -6 , -6 ]  , </v>
      </c>
    </row>
    <row r="162" spans="1:1">
      <c r="A162" s="13" t="str">
        <f>jsRow('symptom factors'!A162:AL162, TRUE )</f>
        <v xml:space="preserve">[ 7 , -5 , 31 , 24 , -12 , -18 , -6 , 10 , 5 , -2 , 5 , 21 , -6 , 5 , -4 , -2 , -1 , 0 , 22 , 4 , -7 , 2 , -14 , 5 , -8 , -27 , 4 , -16 , 21 , 11 , 21 , -9 , 18 , 17 , 19 , 6 , 5 , -16 ]  , </v>
      </c>
    </row>
    <row r="163" spans="1:1">
      <c r="A163" s="13" t="str">
        <f>jsRow('symptom factors'!A163:AL163, TRUE )</f>
        <v xml:space="preserve">[ 12 , -10 , 60 , 45 , -21 , -25 , -11 , 57 , 1 , -3 , 16 , 59 , -18 , -21 , 5 , -25 , -25 , 2 , 38 , 6 , -8 , -6 , -4 , 7 , -25 , -29 , -4 , -21 , 1 , 8 , 33 , 2 , -8 , 1 , 21 , -5 , 15 , 7 ]  , </v>
      </c>
    </row>
    <row r="164" spans="1:1">
      <c r="A164" s="13" t="str">
        <f>jsRow('symptom factors'!A164:AL164, TRUE )</f>
        <v xml:space="preserve">[ 2 , -1 , 1 , 2 , -8 , -7 , -6 , -21 , 2 , 4 , -1 , 7 , -12 , -2 , -10 , 6 , 3 , 5 , 5 , 0 , -1 , 8 , 5 , 13 , 13 , 2 , -5 , -20 , 17 , 17 , 12 , 1 , 4 , 8 , 10 , 10 , -4 , -7 ]  , </v>
      </c>
    </row>
    <row r="165" spans="1:1">
      <c r="A165" s="13" t="str">
        <f>jsRow('symptom factors'!A165:AL165, TRUE )</f>
        <v xml:space="preserve">[ -24 , -18 , 25 , 30 , -15 , -44 , 25 , -40 , -62 , -8 , -29 , 9 , -10 , -43 , -15 , -19 , 62 , 3 , 8 , 19 , 7 , -1 , -22 , -29 , -37 , 5 , -18 , 4 , 17 , -33 , 27 , 38 , -12 , 5 , 16 , 1 , -5 , -46 ]  , </v>
      </c>
    </row>
    <row r="166" spans="1:1">
      <c r="A166" s="13" t="str">
        <f>jsRow('symptom factors'!A166:AL166, TRUE )</f>
        <v xml:space="preserve">[ 31 , -6 , 2 , 51 , -32 , -13 , 8 , -5 , -19 , -36 , -36 , 29 , 2 , -42 , -14 , 15 , 15 , -61 , -38 , 7 , 1 , 3 , -36 , -14 , 0 , 53 , -3 , 25 , -26 , -63 , -2 , 56 , 7 , -41 , 44 , -62 , -20 , -71 ]  , </v>
      </c>
    </row>
    <row r="167" spans="1:1">
      <c r="A167" s="13" t="str">
        <f>jsRow('symptom factors'!A167:AL167, TRUE )</f>
        <v xml:space="preserve">[ 14 , 32 , 49 , 3 , -5 , -17 , 3 , -3 , -25 , -16 , -20 , -2 , 27 , -48 , -15 , 32 , 66 , -6 , 28 , 5 , 10 , 40 , -17 , -13 , -13 , -17 , -67 , -37 , -14 , -52 , 41 , -2 , -30 , 41 , 20 , 26 , -3 , -7 ]  , </v>
      </c>
    </row>
    <row r="168" spans="1:1">
      <c r="A168" s="13" t="str">
        <f>jsRow('symptom factors'!A168:AL168, TRUE )</f>
        <v xml:space="preserve">[ 9 , -12 , 39 , 33 , 30 , -46 , 41 , 11 , -46 , -1 , -42 , -56 , -1 , -40 , 12 , -9 , 127 , 50 , -23 , 0 , 68 , -5 , -37 , -25 , -30 , -1 , -19 , -14 , 30 , -15 , 58 , -4 , 2 , 20 , 19 , 24 , -34 , -82 ]  , </v>
      </c>
    </row>
    <row r="169" spans="1:1">
      <c r="A169" s="13" t="str">
        <f>jsRow('symptom factors'!A169:AL169, TRUE )</f>
        <v xml:space="preserve">[ 14 , 49 , 35 , 22 , -13 , -23 , -9 , 16 , -7 , -8 , -1 , 45 , 30 , -1 , 7 , -29 , -15 , -14 , 35 , -4 , -39 , -6 , 29 , -12 , 9 , 49 , -33 , -42 , -24 , -1 , -17 , 6 , 35 , -2 , 54 , -37 , 5 , -4 ]  , </v>
      </c>
    </row>
    <row r="170" spans="1:1">
      <c r="A170" s="13" t="str">
        <f>jsRow('symptom factors'!A170:AL170, TRUE )</f>
        <v xml:space="preserve">[ -1 , 10 , -1 , -13 , 9 , 0 , 11 , -1 , -8 , 3 , -14 , 9 , -3 , -11 , 11 , -2 , 4 , 28 , 17 , -6 , 4 , -2 , -9 , 14 , 22 , -9 , 38 , 18 , -15 , -19 , -10 , 11 , 7 , -20 , 16 , -8 , 18 , -46 ]  , </v>
      </c>
    </row>
    <row r="171" spans="1:1">
      <c r="A171" s="13" t="str">
        <f>jsRow('symptom factors'!A171:AL171, TRUE )</f>
        <v xml:space="preserve">[ -5 , 11 , 26 , -7 , -19 , -1 , 28 , -33 , -2 , -12 , -29 , -23 , -16 , 39 , 2 , 12 , -21 , -23 , 3 , 10 , 8 , 4 , -11 , 0 , 8 , -3 , 13 , -11 , -27 , 29 , 10 , -20 , -39 , -29 , 20 , -6 , 16 , 34 ]  , </v>
      </c>
    </row>
    <row r="172" spans="1:1">
      <c r="A172" s="13" t="str">
        <f>jsRow('symptom factors'!A172:AL172, TRUE )</f>
        <v xml:space="preserve">[ 7 , 24 , 16 , -11 , -5 , 34 , -14 , -22 , -24 , 22 , 5 , 11 , 4 , 0 , 15 , -18 , 9 , 0 , -18 , -2 , -1 , -4 , 8 , 4 , -10 , 10 , -20 , 18 , 37 , 14 , -11 , 28 , 20 , 33 , -5 , 3 , -18 , 4 ]  , </v>
      </c>
    </row>
    <row r="173" spans="1:1">
      <c r="A173" s="13" t="str">
        <f>jsRow('symptom factors'!A173:AL173, TRUE )</f>
        <v xml:space="preserve">[ -3 , 25 , 27 , -1 , -10 , 43 , -19 , -32 , -20 , 24 , 17 , 3 , -8 , 16 , 33 , -26 , 2 , -12 , -13 , -14 , 10 , -8 , 4 , 19 , 9 , 22 , -28 , 27 , 59 , 21 , -16 , 34 , 29 , 34 , 5 , 14 , -24 , -11 ]  , </v>
      </c>
    </row>
    <row r="174" spans="1:1">
      <c r="A174" s="13" t="str">
        <f>jsRow('symptom factors'!A174:AL174, TRUE )</f>
        <v xml:space="preserve">[ -5 , 8 , 24 , -2 , -24 , 0 , 25 , -28 , 0 , -24 , -40 , -29 , -19 , 46 , -5 , 19 , -30 , -18 , 8 , 6 , 16 , 2 , 0 , -1 , 4 , -5 , 11 , -36 , -26 , 19 , 11 , -16 , -36 , -44 , 29 , -11 , 25 , 28 ]  , </v>
      </c>
    </row>
    <row r="175" spans="1:1">
      <c r="A175" s="13" t="str">
        <f>jsRow('symptom factors'!A175:AL175, TRUE )</f>
        <v xml:space="preserve">[ -1 , 12 , 32 , 0 , -38 , 22 , 11 , -33 , -15 , -10 , -29 , -1 , -10 , 27 , 5 , 2 , -16 , -31 , -6 , 12 , 15 , -19 , 22 , -5 , -11 , -1 , -20 , -6 , -12 , 12 , -7 , -3 , -24 , -7 , 1 , 2 , 18 , 16 ]  , </v>
      </c>
    </row>
    <row r="176" spans="1:1">
      <c r="A176" s="13" t="str">
        <f>jsRow('symptom factors'!A176:AL176, TRUE )</f>
        <v xml:space="preserve">[ 34 , 28 , 11 , 7 , -21 , 22 , 23 , -22 , 9 , -23 , -9 , 20 , -5 , 48 , 2 , -9 , -15 , -3 , -28 , -12 , 43 , -7 , 25 , -17 , 2 , -9 , -11 , 8 , -3 , 2 , -7 , -27 , 8 , 13 , -5 , 23 , -16 , -7 ]  , </v>
      </c>
    </row>
    <row r="177" spans="1:1">
      <c r="A177" s="13" t="str">
        <f>jsRow('symptom factors'!A177:AL177, TRUE )</f>
        <v xml:space="preserve">[ 16 , -5 , -5 , -10 , -17 , 9 , -16 , -23 , -9 , -1 , -26 , 10 , -27 , 34 , -11 , -4 , -20 , -22 , 15 , 27 , -27 , 31 , 16 , -18 , -3 , 10 , -6 , -5 , 9 , 7 , 9 , -68 , -4 , 18 , -32 , -6 , -27 , -22 ]  , </v>
      </c>
    </row>
    <row r="178" spans="1:1">
      <c r="A178" s="13" t="str">
        <f>jsRow('symptom factors'!A178:AL178, TRUE )</f>
        <v xml:space="preserve">[ -11 , 2 , 5 , 0 , -51 , 38 , 0 , -27 , 12 , 10 , 3 , 23 , -32 , 46 , -24 , -8 , 15 , -26 , 8 , 29 , -31 , 1 , -18 , -16 , -12 , 8 , -8 , -25 , 20 , 31 , -26 , 4 , 6 , -8 , -11 , 53 , -17 , -59 ]  , </v>
      </c>
    </row>
    <row r="179" spans="1:1">
      <c r="A179" s="13" t="str">
        <f>jsRow('symptom factors'!A179:AL179, TRUE )</f>
        <v xml:space="preserve">[ -11 , 16 , 21 , 19 , -56 , 17 , 8 , -54 , 9 , -15 , -21 , 26 , -40 , 61 , -8 , -19 , -13 , -38 , -5 , -29 , 6 , -19 , -16 , -33 , 0 , 25 , 5 , 1 , 10 , 17 , -42 , -22 , -12 , 32 , 9 , 9 , -8 , 2 ]  , </v>
      </c>
    </row>
    <row r="180" spans="1:1">
      <c r="A180" s="13" t="str">
        <f>jsRow('symptom factors'!A180:AL180, TRUE )</f>
        <v xml:space="preserve">[ 16 , 4 , -8 , 25 , -29 , 26 , 23 , -27 , 24 , -16 , -17 , 16 , -8 , 26 , -2 , 0 , -15 , -26 , 2 , -17 , 19 , -21 , 4 , -24 , 9 , 1 , 7 , 21 , -32 , 2 , -4 , 1 , -18 , -5 , 29 , 14 , -34 , -10 ]  , </v>
      </c>
    </row>
    <row r="181" spans="1:1">
      <c r="A181" s="13" t="str">
        <f>jsRow('symptom factors'!A181:AL181, TRUE )</f>
        <v xml:space="preserve">[ -23 , 21 , 29 , -12 , -48 , -14 , 24 , -65 , -28 , 0 , -24 , 12 , -8 , 37 , -2 , -23 , 12 , -8 , -20 , 0 , -1 , -29 , 15 , 8 , -11 , -2 , 3 , 7 , 8 , 46 , -11 , 8 , 10 , 6 , -9 , 2 , -1 , 32 ]  , </v>
      </c>
    </row>
    <row r="182" spans="1:1">
      <c r="A182" s="13" t="str">
        <f>jsRow('symptom factors'!A182:AL182, TRUE )</f>
        <v xml:space="preserve">[ 6 , -4 , -5 , -1 , -12 , 20 , -23 , -24 , 10 , -3 , 12 , 3 , -21 , 2 , -29 , 1 , 0 , -5 , -7 , -14 , -27 , 35 , 9 , -2 , -8 , -25 , -11 , 4 , 33 , -1 , 33 , -7 , 3 , -15 , -2 , -12 , 40 , -7 ]  , </v>
      </c>
    </row>
    <row r="183" spans="1:1">
      <c r="A183" s="13" t="str">
        <f>jsRow('symptom factors'!A183:AL183, TRUE )</f>
        <v xml:space="preserve">[ -10 , 37 , -18 , 22 , 26 , 5 , -20 , 4 , 23 , -5 , 16 , 19 , 17 , 33 , 3 , 21 , 23 , -17 , 23 , 16 , -31 , 29 , 41 , -19 , 7 , -31 , 10 , 25 , 30 , 1 , 8 , 30 , -43 , -15 , 12 , 3 , -40 , -2 ]  , </v>
      </c>
    </row>
    <row r="184" spans="1:1">
      <c r="A184" s="13" t="str">
        <f>jsRow('symptom factors'!A184:AL184, TRUE )</f>
        <v xml:space="preserve">[ -31 , 38 , -41 , 17 , -23 , 17 , 12 , -9 , 7 , -32 , -5 , -19 , -24 , 11 , -3 , 20 , -3 , 0 , 27 , 41 , -30 , 6 , 11 , -16 , -9 , -43 , -11 , -1 , 5 , 31 , 14 , 15 , -78 , 24 , 9 , -40 , -61 , 28 ]  , </v>
      </c>
    </row>
    <row r="185" spans="1:1">
      <c r="A185" s="13" t="str">
        <f>jsRow('symptom factors'!A185:AL185, TRUE )</f>
        <v xml:space="preserve">[ 3 , 22 , 2 , 12 , 15 , 12 , -17 , -8 , 5 , 7 , 2 , 21 , 16 , 27 , 9 , 1 , 5 , -29 , 19 , 0 , -3 , -2 , 23 , -12 , 7 , 7 , -2 , 41 , 12 , -22 , 12 , 25 , -7 , 12 , 8 , 7 , -14 , -19 ]  , </v>
      </c>
    </row>
    <row r="186" spans="1:1">
      <c r="A186" s="13" t="str">
        <f>jsRow('symptom factors'!A186:AL186, TRUE )</f>
        <v xml:space="preserve">[ 2 , -21 , -7 , 50 , -13 , -6 , -14 , -35 , 5 , -24 , 21 , -3 , 12 , 5 , 6 , -7 , 1 , 19 , -4 , 1 , -13 , 1 , -21 , 27 , 10 , 13 , 17 , -2 , 15 , 28 , 36 , -5 , -5 , 6 , 24 , 13 , 7 , 5 ]  , </v>
      </c>
    </row>
    <row r="187" spans="1:1">
      <c r="A187" s="13" t="str">
        <f>jsRow('symptom factors'!A187:AL187, TRUE )</f>
        <v xml:space="preserve">[ 7 , -17 , -35 , 64 , -32 , 11 , -16 , -55 , 2 , -64 , 36 , -13 , 21 , -8 , 42 , -8 , 1 , 35 , -22 , -23 , -28 , -14 , -12 , -16 , 10 , -12 , 15 , 15 , 10 , 5 , 7 , 36 , -14 , -8 , -12 , -16 , 22 , -18 ]  , </v>
      </c>
    </row>
    <row r="188" spans="1:1">
      <c r="A188" s="13" t="str">
        <f>jsRow('symptom factors'!A188:AL188, TRUE )</f>
        <v xml:space="preserve">[ 15 , -16 , -41 , 51 , -27 , 20 , -13 , -45 , 1 , -58 , 25 , -12 , 26 , -14 , 27 , -1 , 5 , 39 , -15 , 5 , -2 , 2 , -7 , -28 , 10 , -12 , -2 , -7 , -8 , -7 , 22 , 5 , 9 , -21 , -13 , -8 , 16 , 0 ]  , </v>
      </c>
    </row>
    <row r="189" spans="1:1">
      <c r="A189" s="13" t="str">
        <f>jsRow('symptom factors'!A189:AL189, TRUE )</f>
        <v xml:space="preserve">[ 8 , 0 , -25 , 28 , -17 , 11 , -10 , -24 , 2 , -35 , 13 , -10 , 23 , -16 , 14 , 5 , -2 , 18 , -1 , 17 , -11 , -5 , -2 , -12 , -1 , -14 , -9 , -6 , -4 , 3 , 14 , -4 , 9 , -6 , -19 , -10 , 18 , 1 ]  , </v>
      </c>
    </row>
    <row r="190" spans="1:1">
      <c r="A190" s="13" t="str">
        <f>jsRow('symptom factors'!A190:AL190, TRUE )</f>
        <v xml:space="preserve">[ 0 , -1 , -16 , 39 , -18 , 7 , -16 , -46 , 7 , -31 , 27 , -6 , 5 , -9 , 14 , -11 , 15 , 1 , 1 , -5 , -10 , -12 , 0 , -6 , 17 , -19 , 12 , 15 , 19 , -6 , -4 , 11 , -1 , 9 , -3 , -7 , 16 , 3 ]  , </v>
      </c>
    </row>
    <row r="191" spans="1:1">
      <c r="A191" s="13" t="str">
        <f>jsRow('symptom factors'!A191:AL191, TRUE )</f>
        <v xml:space="preserve">[ -11 , 3 , -29 , 27 , -11 , 0 , -17 , -25 , -3 , -33 , 28 , 1 , 33 , -9 , 7 , -10 , -8 , 0 , -7 , -26 , -25 , 6 , 20 , -5 , 18 , 4 , -14 , -14 , -2 , 5 , -4 , 6 , 2 , -4 , -16 , 2 , 42 , 9 ]  , </v>
      </c>
    </row>
    <row r="192" spans="1:1">
      <c r="A192" s="13" t="str">
        <f>jsRow('symptom factors'!A192:AL192, TRUE )</f>
        <v xml:space="preserve">[ -3 , 14 , -17 , 7 , 1 , 1 , -6 , -9 , -8 , -26 , 20 , -23 , 34 , 5 , 0 , -26 , -19 , 8 , 0 , -29 , 11 , -13 , 22 , 19 , 29 , -26 , 9 , 35 , 15 , -17 , -6 , -1 , 16 , -3 , -16 , 22 , -3 , -21 ]  , </v>
      </c>
    </row>
    <row r="193" spans="1:1">
      <c r="A193" s="13" t="str">
        <f>jsRow('symptom factors'!A193:AL193, TRUE )</f>
        <v xml:space="preserve">[ -2 , -35 , -18 , 57 , 13 , 0 , -15 , -10 , 0 , -22 , 31 , 3 , -11 , -3 , 2 , -17 , 1 , 11 , -1 , -3 , 9 , -4 , -1 , 30 , 18 , 28 , 0 , 14 , -15 , 20 , 9 , 15 , 17 , -6 , 13 , -4 , -26 , 6 ]  , </v>
      </c>
    </row>
    <row r="194" spans="1:1">
      <c r="A194" s="13" t="str">
        <f>jsRow('symptom factors'!A194:AL194, TRUE )</f>
        <v xml:space="preserve">[ -9 , 6 , 0 , 11 , -2 , -6 , -14 , -9 , 13 , -1 , 15 , -14 , -12 , -2 , 10 , -6 , 11 , -2 , 1 , 12 , 5 , -7 , 16 , 21 , 21 , -9 , 15 , -16 , -2 , -14 , 8 , -18 , 33 , 14 , 37 , 14 , 3 , 16 ]  , </v>
      </c>
    </row>
    <row r="195" spans="1:1">
      <c r="A195" s="13" t="str">
        <f>jsRow('symptom factors'!A195:AL195, TRUE )</f>
        <v xml:space="preserve">[ 3 , -16 , 0 , 46 , 2 , 6 , -9 , -31 , 10 , -26 , 6 , -10 , -4 , 1 , 8 , 4 , -23 , 3 , -10 , -20 , 3 , -18 , -17 , 5 , -2 , 16 , 20 , -1 , 1 , 14 , 22 , 22 , -13 , 3 , 4 , 16 , 7 , -11 ]  , </v>
      </c>
    </row>
    <row r="196" spans="1:1">
      <c r="A196" s="13" t="str">
        <f>jsRow('symptom factors'!A196:AL196, TRUE )</f>
        <v xml:space="preserve">[ 0 , -20 , -13 , 29 , 2 , -2 , -1 , -10 , 14 , 1 , 18 , -13 , -13 , 9 , 0 , -19 , 9 , 12 , -26 , -2 , 19 , 11 , -14 , 30 , 23 , 16 , 21 , -6 , 14 , 8 , 7 , -7 , -1 , 23 , 26 , 25 , -8 , 12 ]  , </v>
      </c>
    </row>
    <row r="197" spans="1:1">
      <c r="A197" s="13" t="str">
        <f>jsRow('symptom factors'!A197:AL197, TRUE )</f>
        <v xml:space="preserve">[ 4 , 10 , 8 , 36 , 9 , -5 , -15 , -20 , 10 , -8 , 19 , -16 , 10 , -5 , 7 , -15 , -3 , -2 , 31 , -17 , -26 , -7 , -18 , 35 , 4 , 9 , 24 , 5 , 16 , -13 , 14 , 1 , 5 , -12 , -3 , 35 , -20 , 2 ]  , </v>
      </c>
    </row>
    <row r="198" spans="1:1">
      <c r="A198" s="13" t="str">
        <f>jsRow('symptom factors'!A198:AL198, TRUE )</f>
        <v xml:space="preserve">[ -14 , -4 , -9 , -10 , 9 , -12 , -15 , -9 , -14 , 7 , -11 , 14 , 8 , -7 , -10 , -10 , -11 , 7 , -5 , 10 , -7 , -10 , -6 , 7 , 20 , -15 , -2 , 7 , -1 , -8 , -17 , -6 , -3 , 3 , -12 , 0 , -20 , 7 ]  , </v>
      </c>
    </row>
    <row r="199" spans="1:1">
      <c r="A199" s="13" t="str">
        <f>jsRow('symptom factors'!A199:AL199, TRUE )</f>
        <v xml:space="preserve">[ 1 , -5 , 4 , 6 , 0 , -8 , -6 , -6 , -5 , 9 , 6 , -5 , 6 , 6 , 5 , 9 , 8 , 8 , -4 , 4 , -14 , -22 , -1 , 3 , 1 , 9 , 13 , -9 , -11 , 6 , -4 , 16 , 5 , 15 , 16 , -16 , 13 , 1 ]  , </v>
      </c>
    </row>
    <row r="200" spans="1:1">
      <c r="A200" s="13" t="str">
        <f>jsRow('symptom factors'!A200:AL200, TRUE )</f>
        <v xml:space="preserve">[ -6 , 1 , 1 , -6 , 4 , -22 , -30 , -8 , 2 , 29 , 1 , 4 , 12 , 9 , -9 , 3 , 0 , 1 , -20 , 17 , -15 , -23 , -11 , 6 , 1 , -22 , 2 , -7 , -14 , -9 , -7 , 5 , 7 , 8 , -13 , 4 , -16 , 8 ]  , </v>
      </c>
    </row>
    <row r="201" spans="1:1">
      <c r="A201" s="13" t="str">
        <f>jsRow('symptom factors'!A201:AL201, TRUE )</f>
        <v xml:space="preserve">[ -10 , 5 , 23 , 19 , -2 , -42 , -29 , 1 , 3 , 22 , 19 , 13 , 17 , 5 , -19 , -6 , -12 , 15 , -2 , 28 , -15 , -6 , -2 , -4 , -8 , -37 , 17 , -10 , -5 , 5 , 8 , -4 , 3 , 17 , -5 , -4 , -14 , 21 ]  , </v>
      </c>
    </row>
    <row r="202" spans="1:1">
      <c r="A202" s="13" t="str">
        <f>jsRow('symptom factors'!A202:AL202, TRUE )</f>
        <v xml:space="preserve">[ 6 , 23 , 28 , 41 , -26 , -25 , -26 , -30 , 15 , 4 , 7 , -7 , 48 , 28 , -37 , 3 , 8 , -14 , 7 , 2 , -21 , -20 , -9 , -5 , -13 , 3 , 0 , 50 , 9 , 21 , -26 , -5 , -14 , 1 , 44 , -56 , -3 , 26 ]  , </v>
      </c>
    </row>
    <row r="203" spans="1:1">
      <c r="A203" s="13" t="str">
        <f>jsRow('symptom factors'!A203:AL203, TRUE )</f>
        <v xml:space="preserve">[ 5 , 7 , -6 , 0 , 0 , -10 , -3 , -7 , -2 , 1 , -7 , -2 , 10 , 1 , -18 , 4 , -13 , 6 , -11 , 15 , -6 , 1 , -6 , -5 , 1 , -10 , -7 , 2 , -11 , -8 , -1 , -10 , 3 , 10 , -1 , -1 , -7 , 14 ]  , </v>
      </c>
    </row>
    <row r="204" spans="1:1">
      <c r="A204" s="13" t="str">
        <f>jsRow('symptom factors'!A204:AL204, TRUE )</f>
        <v xml:space="preserve">[ -1 , -2 , 8 , 27 , -9 , -32 , -25 , -15 , 4 , 31 , 8 , -17 , 23 , 21 , -48 , 17 , -6 , 8 , 8 , 16 , -14 , -14 , 3 , -3 , -11 , -1 , 15 , 17 , -2 , 2 , -18 , -4 , 8 , 15 , 6 , -33 , -15 , 27 ]  , </v>
      </c>
    </row>
    <row r="205" spans="1:1">
      <c r="A205" s="13" t="str">
        <f>jsRow('symptom factors'!A205:AL205, TRUE )</f>
        <v xml:space="preserve">[ -3 , -2 , 12 , 11 , -14 , -19 , -9 , -26 , 5 , 10 , -2 , 4 , 6 , 2 , -20 , 3 , 4 , -2 , -6 , -13 , -17 , -6 , -1 , -1 , -7 , -10 , 0 , 16 , -2 , 5 , -4 , -13 , 16 , 9 , -13 , -5 , 3 , 11 ]  , </v>
      </c>
    </row>
    <row r="206" spans="1:1">
      <c r="A206" s="13" t="str">
        <f>jsRow('symptom factors'!A206:AL206, TRUE )</f>
        <v xml:space="preserve">[ 0 , 6 , 3 , 0 , -5 , -7 , -2 , 3 , -2 , 3 , 0 , 4 , 15 , 0 , -18 , 9 , -2 , -1 , 0 , 2 , -9 , 7 , -5 , -11 , 0 , 14 , 10 , 14 , 1 , 10 , 6 , 7 , -9 , 1 , 25 , -15 , 3 , 3 ]  , </v>
      </c>
    </row>
    <row r="207" spans="1:1">
      <c r="A207" s="13" t="str">
        <f>jsRow('symptom factors'!A207:AL207, TRUE )</f>
        <v xml:space="preserve">[ 1 , 1 , 3 , 3 , -7 , -11 , -9 , 3 , 3 , 4 , 2 , 1 , 21 , -4 , -17 , -3 , -3 , -2 , 6 , 4 , -3 , 11 , -1 , -1 , -2 , 0 , 12 , 4 , -5 , 2 , -7 , 1 , 4 , 2 , 2 , -13 , -11 , -1 ]  , </v>
      </c>
    </row>
    <row r="208" spans="1:1">
      <c r="A208" s="13" t="str">
        <f>jsRow('symptom factors'!A208:AL208, TRUE )</f>
        <v xml:space="preserve">[ 7 , 3 , 2 , -1 , -6 , 5 , -4 , 4 , 3 , 13 , 2 , -17 , 13 , 6 , -29 , 5 , 12 , 12 , 12 , -10 , 10 , -1 , -4 , 4 , -4 , 10 , 2 , 20 , 4 , 4 , 1 , -10 , -7 , -13 , -1 , -14 , 3 , -1 ]  , </v>
      </c>
    </row>
    <row r="209" spans="1:1">
      <c r="A209" s="13" t="str">
        <f>jsRow('symptom factors'!A209:AL209, TRUE )</f>
        <v xml:space="preserve">[ 3 , 1 , 10 , -3 , -15 , 8 , -8 , 20 , 9 , -5 , -23 , -13 , 26 , 6 , 5 , 2 , -7 , 5 , 5 , 2 , -2 , -16 , 11 , 15 , -7 , -24 , 22 , 1 , -15 , -25 , -14 , 5 , -4 , -8 , 9 , 22 , -14 , 5 ]  , </v>
      </c>
    </row>
    <row r="210" spans="1:1">
      <c r="A210" s="13" t="str">
        <f>jsRow('symptom factors'!A210:AL210, TRUE )</f>
        <v xml:space="preserve">[ -18 , -5 , 19 , 8 , 38 , 18 , -2 , -2 , -5 , -1 , -25 , 5 , -4 , -8 , 0 , -8 , -5 , 32 , -4 , 6 , -29 , -15 , 8 , 10 , 10 , -4 , 5 , -3 , -12 , 15 , -14 , 33 , -11 , -5 , 15 , -15 , 6 , -4 ]  , </v>
      </c>
    </row>
    <row r="211" spans="1:1">
      <c r="A211" s="13" t="str">
        <f>jsRow('symptom factors'!A211:AL211, TRUE )</f>
        <v xml:space="preserve">[ 10 , 12 , -11 , -7 , 24 , 3 , -3 , -12 , 1 , 4 , -24 , 19 , -11 , -2 , 3 , 1 , -8 , 29 , 11 , 11 , -25 , -5 , 7 , 7 , 8 , 14 , 22 , -1 , -24 , -6 , 1 , 16 , 13 , -15 , 23 , -1 , -22 , 7 ]  , </v>
      </c>
    </row>
    <row r="212" spans="1:1">
      <c r="A212" s="13" t="str">
        <f>jsRow('symptom factors'!A212:AL212, TRUE )</f>
        <v xml:space="preserve">[ -72 , 8 , -41 , -16 , 3 , -14 , 13 , -8 , -52 , -9 , -29 , 37 , 13 , -28 , -26 , -19 , -21 , 13 , 19 , -28 , 14 , 12 , -27 , -1 , 36 , -12 , 15 , -4 , 33 , 7 , -10 , -27 , -27 , 2 , 15 , 9 , -5 , -9 ]  , </v>
      </c>
    </row>
    <row r="213" spans="1:1">
      <c r="A213" s="13" t="str">
        <f>jsRow('symptom factors'!A213:AL213, TRUE )</f>
        <v xml:space="preserve">[ -45 , 9 , -38 , 1 , 9 , -10 , 3 , 17 , -1 , 3 , 20 , 24 , -3 , 35 , -54 , -14 , 16 , 7 , -16 , -20 , 34 , 20 , 31 , -21 , -5 , -26 , 23 , -13 , -10 , 15 , -11 , 12 , 8 , -7 , -9 , 1 , 7 , -38 ]  , </v>
      </c>
    </row>
    <row r="214" spans="1:1">
      <c r="A214" s="13" t="str">
        <f>jsRow('symptom factors'!A214:AL214, TRUE )</f>
        <v xml:space="preserve">[ 1 , -15 , 16 , 18 , 6 , 10 , -20 , -16 , 8 , 13 , 4 , -9 , -2 , -7 , -6 , 5 , -1 , 8 , 13 , -10 , 7 , 7 , -11 , 20 , 24 , 19 , -7 , -15 , 19 , 3 , -5 , -5 , -6 , -11 , 8 , 6 , -35 , 11 ]  , </v>
      </c>
    </row>
    <row r="215" spans="1:1">
      <c r="A215" s="13" t="str">
        <f>jsRow('symptom factors'!A215:AL215, TRUE )</f>
        <v xml:space="preserve">[ 18 , 8 , 21 , 24 , 1 , 33 , -16 , 2 , -9 , 10 , -15 , 5 , -12 , -6 , -37 , 24 , -54 , -17 , 13 , -14 , -41 , 11 , -4 , 15 , 7 , -17 , -23 , -8 , 6 , -37 , 5 , 12 , 19 , -22 , 26 , -13 , 14 , -38 ]  , </v>
      </c>
    </row>
    <row r="216" spans="1:1">
      <c r="A216" s="13" t="str">
        <f>jsRow('symptom factors'!A216:AL216, TRUE )</f>
        <v xml:space="preserve">[ -2 , -2 , 9 , -2 , -36 , -34 , -1 , -25 , -8 , 32 , 1 , 14 , 24 , 0 , -28 , 16 , 21 , 10 , -14 , -1 , -19 , -16 , 12 , 10 , -13 , -5 , 6 , 11 , 7 , 8 , -12 , -28 , -9 , -1 , 46 , 3 , -2 , -8 ]  , </v>
      </c>
    </row>
    <row r="217" spans="1:1">
      <c r="A217" s="13" t="str">
        <f>jsRow('symptom factors'!A217:AL217, TRUE )</f>
        <v xml:space="preserve">[ 45 , 2 , 30 , 0 , -26 , -30 , -65 , -26 , 28 , 46 , 26 , -47 , 42 , -3 , -88 , 1 , 16 , 46 , 9 , -26 , -22 , -27 , -17 , 38 , 22 , 26 , 28 , 1 , 31 , -2 , -16 , -75 , -3 , -36 , -28 , -29 , -46 , -21 ]  , </v>
      </c>
    </row>
    <row r="218" spans="1:1">
      <c r="A218" s="13" t="str">
        <f>jsRow('symptom factors'!A218:AL218, TRUE )</f>
        <v xml:space="preserve">[ 29 , 5 , -1 , 5 , -12 , -40 , -61 , -22 , 26 , 43 , 19 , -43 , -39 , -3 , -113 , 37 , -10 , 25 , -29 , -16 , 10 , -33 , 12 , 9 , -2 , 13 , 7 , -1 , 2 , -30 , 19 , -20 , 25 , 31 , 11 , -48 , 7 , 39 ]  , </v>
      </c>
    </row>
    <row r="219" spans="1:1">
      <c r="A219" s="13" t="str">
        <f>jsRow('symptom factors'!A219:AL219, TRUE )</f>
        <v xml:space="preserve">[ -27 , 3 , 2 , 3 , -10 , -12 , -10 , -13 , 9 , 24 , -19 , 3 , 11 , 8 , -14 , -16 , 6 , -15 , -12 , -2 , -8 , 21 , 50 , -6 , -17 , 7 , -5 , 7 , -21 , 11 , 7 , 24 , -29 , -5 , 3 , 24 , 11 , 8 ]  , </v>
      </c>
    </row>
    <row r="220" spans="1:1">
      <c r="A220" s="13" t="str">
        <f>jsRow('symptom factors'!A220:AL220, TRUE )</f>
        <v xml:space="preserve">[ -39 , 8 , 1 , -5 , -4 , -33 , 18 , -35 , -38 , 7 , -26 , 36 , 28 , -16 , -34 , -21 , -6 , 4 , -9 , -7 , -12 , -25 , 6 , 5 , -10 , 6 , 8 , -11 , 28 , -10 , -16 , 21 , 15 , -14 , 5 , -20 , 15 , -3 ]  , </v>
      </c>
    </row>
    <row r="221" spans="1:1">
      <c r="A221" s="13" t="str">
        <f>jsRow('symptom factors'!A221:AL221, TRUE )</f>
        <v xml:space="preserve">[ -46 , 19 , -16 , 19 , 38 , -27 , -29 , -4 , -7 , 12 , 28 , 26 , 9 , 35 , -50 , -10 , 7 , -18 , -26 , -27 , 26 , 35 , 35 , -3 , 3 , -15 , -7 , -31 , 16 , 9 , -14 , 15 , -42 , -28 , -27 , 0 , 18 , -4 ]  , </v>
      </c>
    </row>
    <row r="222" spans="1:1">
      <c r="A222" s="13" t="str">
        <f>jsRow('symptom factors'!A222:AL222, TRUE )</f>
        <v xml:space="preserve">[ 1 , -11 , 32 , 28 , -5 , -19 , -9 , 41 , 4 , -3 , 18 , 34 , -29 , -7 , 0 , -29 , -27 , 11 , 22 , 1 , 0 , -5 , 17 , 11 , -10 , -19 , -10 , -11 , -4 , 37 , 3 , 2 , 5 , -5 , 3 , -5 , 13 , 2 ]  , </v>
      </c>
    </row>
    <row r="223" spans="1:1">
      <c r="A223" s="13" t="str">
        <f>jsRow('symptom factors'!A223:AL223, TRUE )</f>
        <v xml:space="preserve">[ 19 , -29 , -25 , 10 , -7 , 28 , -27 , 40 , -29 , 10 , -24 , -28 , 20 , 4 , -39 , 24 , -14 , -13 , 31 , -1 , 16 , -14 , -23 , 24 , -19 , 8 , 12 , 29 , 36 , 69 , -17 , -6 , -3 , -15 , -10 , 35 , 19 , -5 ]  , </v>
      </c>
    </row>
    <row r="224" spans="1:1">
      <c r="A224" s="13" t="str">
        <f>jsRow('symptom factors'!A224:AL224, TRUE )</f>
        <v xml:space="preserve">[ 18 , -3 , -11 , -2 , 6 , 16 , 13 , 12 , 12 , 38 , -12 , -19 , 58 , 14 , 45 , -52 , 10 , -21 , -8 , -36 , -34 , -5 , 31 , 12 , -26 , 32 , -42 , -31 , -5 , -5 , 12 , 2 , 5 , -13 , 10 , -23 , 13 , -14 ]  , </v>
      </c>
    </row>
    <row r="225" spans="1:1">
      <c r="A225" s="13" t="str">
        <f>jsRow('symptom factors'!A225:AL225, TRUE )</f>
        <v xml:space="preserve">[ -22 , -26 , 12 , 25 , 53 , 18 , 32 , -22 , -13 , -6 , -37 , -9 , -6 , -20 , -15 , 2 , -4 , 32 , -24 , 20 , -19 , -11 , 21 , -9 , 2 , 9 , 1 , -24 , 22 , -4 , -46 , 13 , -23 , -5 , 4 , -12 , 9 , 5 ]  , </v>
      </c>
    </row>
    <row r="226" spans="1:1">
      <c r="A226" s="13" t="str">
        <f>jsRow('symptom factors'!A226:AL226, TRUE )</f>
        <v xml:space="preserve">[ 55 , -8 , -29 , 13 , 11 , 23 , -3 , 10 , -5 , 6 , -39 , 32 , -31 , -6 , -23 , 12 , -51 , -31 , -43 , -17 , 6 , 5 , 0 , -4 , -19 , 47 , -17 , 7 , -19 , -23 , 25 , -7 , 31 , 20 , -1 , -26 , -28 , 8 ]  , </v>
      </c>
    </row>
    <row r="227" spans="1:1">
      <c r="A227" s="13" t="str">
        <f>jsRow('symptom factors'!A227:AL227, TRUE )</f>
        <v xml:space="preserve">[ 31 , 6 , -21 , 5 , 17 , 13 , 0 , 1 , -7 , 5 , -47 , 17 , 0 , -8 , 4 , 1 , -40 , 5 , -13 , -11 , -20 , -2 , 15 , -16 , -23 , 10 , 8 , -32 , -23 , -14 , -24 , -2 , 16 , 17 , -17 , 3 , -4 , 4 ]  , </v>
      </c>
    </row>
    <row r="228" spans="1:1">
      <c r="A228" s="13" t="str">
        <f>jsRow('symptom factors'!A228:AL228, TRUE )</f>
        <v xml:space="preserve">[ 51 , 10 , -49 , 5 , 21 , 27 , 8 , 21 , -11 , 36 , -24 , 0 , 13 , -31 , -3 , -6 , -1 , -24 , 34 , -4 , -10 , -47 , 13 , -20 , 0 , -33 , 33 , -3 , 37 , 62 , 31 , -47 , -10 , 0 , -44 , 31 , -11 , 6 ]  , </v>
      </c>
    </row>
    <row r="229" spans="1:1">
      <c r="A229" s="13" t="str">
        <f>jsRow('symptom factors'!A229:AL229, TRUE )</f>
        <v xml:space="preserve">[ 49 , 8 , -49 , 33 , 7 , 5 , -4 , 5 , -8 , 36 , -33 , -2 , 35 , -28 , -2 , -14 , 7 , -19 , 25 , 9 , 21 , -38 , -27 , -21 , -3 , 15 , 13 , 17 , -1 , 52 , 35 , -70 , -4 , 22 , -48 , 20 , 43 , 4 ]  , </v>
      </c>
    </row>
    <row r="230" spans="1:1">
      <c r="A230" s="13" t="str">
        <f>jsRow('symptom factors'!A230:AL230, TRUE )</f>
        <v xml:space="preserve">[ 32 , 29 , -17 , -9 , -10 , -18 , -9 , -14 , 19 , 2 , -2 , -12 , -6 , -28 , -19 , -14 , -17 , 23 , 23 , 12 , 33 , -24 , 13 , 10 , 24 , 13 , -48 , 2 , -16 , 10 , -39 , -6 , 27 , -70 , 16 , 15 , -53 , 4 ]  , </v>
      </c>
    </row>
    <row r="231" spans="1:1">
      <c r="A231" s="13" t="str">
        <f>jsRow('symptom factors'!A231:AL231, TRUE )</f>
        <v xml:space="preserve">[ 25 , -32 , -26 , 23 , -16 , 13 , 9 , 12 , -12 , 13 , -41 , -9 , 40 , -20 , -14 , -8 , 0 , -37 , 1 , -9 , 1 , 7 , -10 , -2 , -29 , -18 , 21 , 9 , -43 , 24 , 7 , 0 , -8 , 11 , -8 , 23 , 5 , 13 ]  , </v>
      </c>
    </row>
    <row r="232" spans="1:1">
      <c r="A232" s="13" t="str">
        <f>jsRow('symptom factors'!A232:AL232, TRUE )</f>
        <v xml:space="preserve">[ -6 , -10 , -16 , -2 , -3 , -1 , -7 , 2 , -10 , 5 , -9 , -9 , 8 , -7 , -6 , -10 , 4 , -11 , -16 , -14 , -8 , 7 , 1 , -3 , -11 , -4 , 6 , 1 , -26 , 34 , 5 , 18 , -3 , -19 , 16 , 15 , -12 , -9 ]  , </v>
      </c>
    </row>
    <row r="233" spans="1:1">
      <c r="A233" s="13" t="str">
        <f>jsRow('symptom factors'!A233:AL233, TRUE )</f>
        <v xml:space="preserve">[ 69 , 17 , -48 , 28 , 5 , 13 , 26 , 25 , -2 , 31 , -29 , -2 , 63 , -57 , -5 , -5 , 19 , -42 , 45 , -17 , 18 , -21 , -8 , 25 , -9 , -17 , 47 , 32 , -10 , 75 , 8 , -4 , -7 , -31 , -13 , -20 , -6 , -13 ]  , </v>
      </c>
    </row>
    <row r="234" spans="1:1">
      <c r="A234" s="13" t="str">
        <f>jsRow('symptom factors'!A234:AL234, TRUE )</f>
        <v xml:space="preserve">[ -15 , 8 , -11 , 3 , 10 , 6 , -5 , 9 , -9 , -2 , -7 , 6 , 9 , 3 , -8 , -4 , -2 , -6 , -6 , -13 , -4 , -9 , 22 , -7 , 2 , 1 , -1 , -18 , -11 , 9 , 8 , 11 , 8 , 16 , 7 , 3 , -6 , -13 ]  , </v>
      </c>
    </row>
    <row r="235" spans="1:1">
      <c r="A235" s="13" t="str">
        <f>jsRow('symptom factors'!A235:AL235, TRUE )</f>
        <v xml:space="preserve">[ -9 , 25 , 35 , 36 , 115 , -16 , 62 , -4 , 17 , -25 , 33 , -33 , 13 , 77 , -16 , 33 , 29 , -46 , -46 , -32 , -3 , -10 , -27 , 3 , -40 , 1 , -14 , -6 , 22 , 0 , -45 , -13 , 19 , -35 , -52 , 6 , 31 , 30 ]  , </v>
      </c>
    </row>
    <row r="236" spans="1:1">
      <c r="A236" s="13" t="str">
        <f>jsRow('symptom factors'!A236:AL236, TRUE )</f>
        <v xml:space="preserve">[ 30 , 18 , -1 , -3 , 40 , -5 , 50 , 2 , 51 , -20 , -15 , -17 , 10 , 37 , -21 , -87 , -3 , 7 , -42 , -25 , -31 , 12 , 3 , 23 , 33 , 0 , 21 , -52 , 14 , -22 , 9 , -2 , 50 , 8 , -7 , -31 , 22 , -34 ]  , </v>
      </c>
    </row>
    <row r="237" spans="1:1">
      <c r="A237" s="13" t="str">
        <f>jsRow('symptom factors'!A237:AL237, TRUE )</f>
        <v xml:space="preserve">[ 68 , 1 , -49 , -10 , 23 , 30 , -7 , -14 , -15 , 2 , -2 , 34 , -16 , 0 , 1 , 13 , -37 , 43 , -12 , -2 , -4 , -9 , -4 , -48 , -30 , -15 , 22 , -12 , 0 , -18 , 11 , -53 , 4 , 39 , -24 , 38 , 5 , 28 ]  , </v>
      </c>
    </row>
    <row r="238" spans="1:1">
      <c r="A238" s="13" t="str">
        <f>jsRow('symptom factors'!A238:AL238, TRUE )</f>
        <v xml:space="preserve">[ 26 , -55 , -21 , 51 , -16 , 18 , 20 , 3 , -13 , -23 , -31 , -3 , 43 , -21 , -28 , -25 , -9 , -55 , -40 , 31 , -4 , 17 , -21 , -4 , -8 , -11 , 34 , -30 , -58 , -21 , -17 , 4 , 23 , 13 , 7 , 25 , -10 , 1 ]  , </v>
      </c>
    </row>
    <row r="239" spans="1:1">
      <c r="A239" s="13" t="str">
        <f>jsRow('symptom factors'!A239:AL239, TRUE )</f>
        <v xml:space="preserve">[ -59 , 1 , 2 , -10 , -25 , -27 , 31 , -65 , -43 , -9 , -35 , 51 , -3 , -31 , -29 , -29 , 3 , 3 , -15 , 6 , -26 , -49 , -31 , -12 , -32 , 21 , 7 , 12 , 25 , -24 , -10 , 19 , 18 , -22 , -5 , -15 , 13 , 18 ]  , </v>
      </c>
    </row>
    <row r="240" spans="1:1">
      <c r="A240" s="13" t="str">
        <f>jsRow('symptom factors'!A240:AL240, TRUE )</f>
        <v xml:space="preserve">[ 6 , -22 , 0 , 10 , -4 , -30 , -59 , -34 , -15 , 17 , 8 , -21 , -1 , -13 , -56 , 27 , -1 , -24 , -1 , -12 , 13 , -1 , 7 , 0 , -10 , 24 , -7 , -20 , -15 , -1 , -26 , -8 , 26 , 16 , -5 , -38 , 16 , -31 ]  , </v>
      </c>
    </row>
    <row r="241" spans="1:1">
      <c r="A241" s="13" t="str">
        <f>jsRow('symptom factors'!A241:AL241, TRUE )</f>
        <v xml:space="preserve">[ -10 , 31 , 35 , 32 , 107 , -22 , 57 , 4 , 22 , -35 , 29 , -43 , 24 , 78 , -31 , 33 , 37 , -43 , -39 , -27 , -8 , -13 , -29 , 7 , -37 , -7 , -2 , -3 , 34 , 6 , -39 , -10 , 7 , -26 , -51 , -8 , 38 , 20 ]  , </v>
      </c>
    </row>
    <row r="242" spans="1:1">
      <c r="A242" s="13" t="str">
        <f>jsRow('symptom factors'!A242:AL242, TRUE )</f>
        <v xml:space="preserve">[ 15 , -11 , -3 , 9 , -13 , -11 , -19 , -12 , -6 , -1 , 1 , 18 , 4 , -21 , 0 , -3 , -6 , -16 , 17 , 1 , 18 , 36 , -25 , -10 , -2 , 35 , 5 , -17 , -57 , 27 , -20 , 27 , 20 , -3 , -4 , -26 , -46 , -4 ]  , </v>
      </c>
    </row>
    <row r="243" spans="1:1">
      <c r="A243" s="13" t="str">
        <f>jsRow('symptom factors'!A243:AL243, TRUE )</f>
        <v xml:space="preserve">[ 2 , -5 , 3 , -1 , 0 , 32 , -1 , 25 , 3 , -19 , -33 , -12 , 7 , -5 , -21 , -27 , 16 , 5 , -31 , -17 , -22 , -12 , 18 , -13 , 4 , -6 , 23 , -42 , 20 , -9 , -8 , 0 , -3 , 3 , 8 , -26 , -24 , 1 ]  , </v>
      </c>
    </row>
    <row r="244" spans="1:1">
      <c r="A244" s="13" t="str">
        <f>jsRow('symptom factors'!A244:AL244, TRUE )</f>
        <v xml:space="preserve">[ 29 , 12 , 5 , -17 , 41 , -26 , 35 , -17 , -2 , 33 , 12 , 14 , 15 , 17 , 49 , 33 , -6 , 22 , -4 , -18 , -26 , 8 , -1 , 14 , 1 , 29 , -10 , -14 , -8 , 33 , -9 , 28 , 12 , 31 , 2 , -33 , 36 , -1 ]  , </v>
      </c>
    </row>
    <row r="245" spans="1:1">
      <c r="A245" s="13" t="str">
        <f>jsRow('symptom factors'!A245:AL245, TRUE )</f>
        <v xml:space="preserve">[ -17 , -60 , 11 , 7 , -10 , -20 , -36 , 35 , -62 , 18 , -2 , -51 , -10 , 7 , 14 , 21 , 46 , -7 , -6 , 4 , -24 , -19 , 25 , 30 , -1 , 2 , 11 , 7 , -12 , 6 , -30 , 36 , 20 , 12 , -10 , -8 , 30 , -20 ]  , </v>
      </c>
    </row>
    <row r="246" spans="1:1">
      <c r="A246" s="13" t="str">
        <f>jsRow('symptom factors'!A246:AL246, TRUE )</f>
        <v xml:space="preserve">[ 0 , 2 , 27 , -4 , -2 , 15 , -16 , 18 , 23 , -9 , -26 , 0 , 13 , 2 , 21 , 19 , -15 , -13 , -4 , -23 , 26 , -17 , -6 , 6 , -5 , -11 , -3 , 9 , 13 , -16 , -9 , 29 , 13 , 13 , -10 , 18 , -15 , 5 ]  , </v>
      </c>
    </row>
    <row r="247" spans="1:1">
      <c r="A247" s="13" t="str">
        <f>jsRow('symptom factors'!A247:AL247, TRUE )</f>
        <v xml:space="preserve">[ 13 , 24 , 24 , -11 , -14 , -4 , -5 , 31 , 19 , -11 , 20 , 6 , 44 , -11 , 1 , -2 , 0 , -4 , -8 , 31 , 18 , -30 , -9 , -5 , 14 , 25 , 5 , 8 , 18 , -4 , -6 , 6 , 11 , -17 , 15 , 19 , 16 , -14 ]  , </v>
      </c>
    </row>
    <row r="248" spans="1:1">
      <c r="A248" s="13" t="str">
        <f>jsRow('symptom factors'!A248:AL248, TRUE )</f>
        <v xml:space="preserve">[ 2 , 3 , 17 , -8 , -10 , 5 , -5 , 8 , -19 , 4 , 26 , -8 , 8 , -15 , -20 , -10 , -5 , -14 , 10 , -6 , -12 , 5 , -5 , 6 , -9 , 12 , 7 , 6 , -6 , -11 , 2 , 24 , -9 , -9 , 7 , 8 , -27 , 6 ]  , </v>
      </c>
    </row>
    <row r="249" spans="1:1">
      <c r="A249" s="13" t="str">
        <f>jsRow('symptom factors'!A249:AL249, TRUE )</f>
        <v xml:space="preserve">[ 20 , -36 , 1 , -37 , -13 , -14 , 40 , -11 , 15 , 17 , 25 , -8 , -10 , -28 , -37 , -1 , 13 , -19 , -3 , -71 , 26 , -9 , 3 , 34 , 10 , -19 , -26 , 25 , -13 , -17 , 43 , 27 , -2 , -11 , -47 , -3 , -19 , 63 ]  , </v>
      </c>
    </row>
    <row r="250" spans="1:1">
      <c r="A250" s="13" t="str">
        <f>jsRow('symptom factors'!A250:AL250, TRUE )</f>
        <v xml:space="preserve">[ 20 , -11 , -17 , -43 , -2 , -27 , 6 , 1 , 32 , 11 , 12 , 5 , 15 , -2 , 50 , -18 , -24 , 14 , -25 , -42 , -20 , -7 , 26 , 2 , -50 , 32 , -20 , 27 , -10 , 9 , 0 , -10 , -19 , 0 , 1 , -7 , 12 , -25 ]  , </v>
      </c>
    </row>
    <row r="251" spans="1:1">
      <c r="A251" s="13" t="str">
        <f>jsRow('symptom factors'!A251:AL251, TRUE )</f>
        <v xml:space="preserve">[ 47 , -2 , 0 , -28 , 12 , -27 , -12 , -34 , 23 , 48 , -4 , -35 , -14 , 10 , -12 , 25 , 28 , 54 , 3 , -31 , 7 , -58 , 8 , -3 , 3 , 29 , -50 , -40 , -45 , 46 , 35 , -12 , -68 , -13 , 3 , 28 , 2 , -39 ]  , </v>
      </c>
    </row>
    <row r="252" spans="1:1">
      <c r="A252" s="13" t="str">
        <f>jsRow('symptom factors'!A252:AL252, TRUE )</f>
        <v xml:space="preserve">[ 19 , 7 , 20 , -4 , -1 , 3 , -19 , 13 , 4 , 9 , -16 , -19 , -25 , -2 , -32 , 7 , 44 , 12 , -9 , -8 , -7 , -28 , -18 , -46 , 35 , 8 , -37 , -42 , -7 , 21 , 20 , 0 , -18 , -45 , -14 , 29 , 14 , -30 ]  , </v>
      </c>
    </row>
    <row r="253" spans="1:1">
      <c r="A253" s="13" t="str">
        <f>jsRow('symptom factors'!A253:AL253, TRUE )</f>
        <v xml:space="preserve">[ -5 , 5 , 2 , -8 , -8 , 1 , -18 , 44 , 3 , -12 , -18 , 0 , -10 , -2 , 16 , -20 , 42 , -6 , -33 , 5 , -8 , 0 , -41 , -60 , 24 , 17 , -22 , 3 , 25 , 16 , -10 , -17 , 12 , -39 , -12 , -4 , -6 , 1 ]  , </v>
      </c>
    </row>
    <row r="254" spans="1:1">
      <c r="A254" s="13" t="str">
        <f>jsRow('symptom factors'!A254:AL254, TRUE )</f>
        <v xml:space="preserve">[ 16 , -1 , 19 , -26 , -23 , 75 , -27 , 49 , 2 , -35 , -32 , -11 , 0 , -26 , -35 , -51 , 46 , -26 , -22 , -16 , -28 , -1 , 20 , -57 , 16 , 2 , 29 , -37 , 4 , 21 , -16 , 6 , -11 , -28 , -7 , 1 , -42 , 72 ]  , </v>
      </c>
    </row>
    <row r="255" spans="1:1">
      <c r="A255" s="13" t="str">
        <f>jsRow('symptom factors'!A255:AL255, TRUE )</f>
        <v xml:space="preserve">[ 23 , -6 , -9 , -34 , 26 , -51 , 44 , -27 , 12 , 37 , 22 , 6 , 17 , 12 , 43 , 40 , -32 , 21 , -4 , -26 , -28 , -29 , -37 , 25 , -28 , 28 , -8 , 3 , 1 , 20 , -7 , -7 , -18 , 27 , 31 , -38 , -9 , -32 ]  , </v>
      </c>
    </row>
    <row r="256" spans="1:1">
      <c r="A256" s="13" t="str">
        <f>jsRow('symptom factors'!A256:AL256, TRUE )</f>
        <v xml:space="preserve">[ -3 , 8 , 40 , -14 , -19 , 76 , 4 , 24 , 29 , 6 , -11 , 6 , 19 , -26 , -28 , -16 , 37 , -9 , -15 , -2 , -9 , 1 , -4 , 2 , 17 , -1 , -7 , -26 , -7 , 5 , 14 , 23 , -23 , 9 , -1 , -25 , 21 , 65 ]  , </v>
      </c>
    </row>
    <row r="257" spans="1:1">
      <c r="A257" s="13" t="str">
        <f>jsRow('symptom factors'!A257:AL257, TRUE )</f>
        <v xml:space="preserve">[ 11 , -9 , -6 , -33 , 0 , -42 , -5 , -4 , -13 , -3 , -2 , -11 , 4 , 8 , 35 , 6 , 2 , 6 , -8 , -22 , -16 , 4 , -2 , -8 , -8 , 4 , -1 , 14 , 0 , 17 , 6 , 2 , -19 , -7 , 0 , -4 , 21 , 7 ]  , </v>
      </c>
    </row>
    <row r="258" spans="1:1">
      <c r="A258" s="13" t="str">
        <f>jsRow('symptom factors'!A258:AL258, TRUE )</f>
        <v xml:space="preserve">[ 6 , 21 , 25 , 0 , 10 , -9 , 19 , 5 , -2 , -8 , -19 , 3 , -9 , 8 , 2 , -12 , 29 , 30 , 13 , -28 , -20 , 0 , -43 , -26 , 17 , -23 , -18 , 24 , -6 , 15 , -10 , -4 , 32 , 3 , -10 , -10 , 23 , 18 ]  , </v>
      </c>
    </row>
    <row r="259" spans="1:1">
      <c r="A259" s="13" t="str">
        <f>jsRow('symptom factors'!A259:AL259, TRUE )</f>
        <v xml:space="preserve">[ -14 , 6 , 3 , 1 , -2 , -1 , 6 , 17 , 17 , 4 , -6 , 7 , 12 , -16 , -1 , 40 , -11 , -2 , -23 , -8 , -23 , 30 , -8 , -28 , 13 , -13 , -7 , 1 , 2 , 26 , 4 , 1 , 8 , 6 , 29 , 9 , 11 , -7 ]  , </v>
      </c>
    </row>
    <row r="260" spans="1:1">
      <c r="A260" s="13" t="str">
        <f>jsRow('symptom factors'!A260:AL260, TRUE )</f>
        <v xml:space="preserve">[ 7 , 10 , 8 , -1 , -3 , -1 , -3 , 1 , -4 , -2 , 15 , 6 , 13 , -6 , 4 , -15 , 9 , 1 , 8 , -6 , -7 , 1 , -5 , -7 , -6 , 10 , -27 , -7 , 2 , -13 , -19 , -13 , 6 , -3 , -11 , 8 , -4 , 2 ]  , </v>
      </c>
    </row>
    <row r="261" spans="1:1">
      <c r="A261" s="13" t="str">
        <f>jsRow('symptom factors'!A261:AL261, TRUE )</f>
        <v xml:space="preserve">[ 3 , -1 , 11 , 0 , -1 , -5 , 13 , 1 , -7 , 4 , 7 , -16 , -7 , -2 , 5 , 0 , 6 , 4 , 0 , 7 , 4 , 7 , -2 , -8 , -7 , -9 , -16 , -5 , 9 , -6 , 2 , -3 , -7 , 1 , -7 , 13 , -11 , -16 ]  , </v>
      </c>
    </row>
    <row r="262" spans="1:1">
      <c r="A262" s="13" t="str">
        <f>jsRow('symptom factors'!A262:AL262, TRUE )</f>
        <v xml:space="preserve">[ 10 , 10 , 21 , -1 , -1 , 26 , 7 , 2 , -25 , 5 , 9 , 0 , -7 , -16 , 2 , 3 , -15 , 0 , -12 , 12 , -2 , 9 , 6 , 2 , 19 , 4 , -12 , 25 , -17 , 5 , 15 , -7 , 1 , -17 , -19 , -10 , 5 , -12 ]  , </v>
      </c>
    </row>
    <row r="263" spans="1:1">
      <c r="A263" s="13" t="str">
        <f>jsRow('symptom factors'!A263:AL263, TRUE )</f>
        <v xml:space="preserve">[ 5 , 9 , 16 , -8 , -34 , 24 , 10 , 10 , -3 , 21 , 19 , -27 , 7 , 3 , -63 , 3 , 35 , 9 , 16 , -60 , 8 , -31 , 19 , 14 , 23 , -26 , 12 , 43 , -6 , -30 , 24 , -7 , 5 , 30 , 10 , -17 , 14 , -10 ]  , </v>
      </c>
    </row>
    <row r="264" spans="1:1">
      <c r="A264" s="13" t="str">
        <f>jsRow('symptom factors'!A264:AL264, TRUE )</f>
        <v xml:space="preserve">[ -19 , -25 , 32 , 7 , -2 , -21 , -20 , -20 , 34 , 19 , -14 , -11 , -2 , 12 , 15 , -3 , -22 , 8 , -12 , 29 , -17 , 20 , -14 , -26 , -11 , 25 , 41 , -42 , -4 , 12 , -35 , -26 , -19 , -42 , -24 , -27 , -52 , 9 ]  , </v>
      </c>
    </row>
    <row r="265" spans="1:1">
      <c r="A265" s="13" t="str">
        <f>jsRow('symptom factors'!A265:AL265, TRUE )</f>
        <v xml:space="preserve">[ 7 , -4 , 12 , 2 , -26 , -5 , -1 , 10 , -4 , 16 , 28 , 18 , -4 , 12 , 12 , -19 , -14 , -9 , 8 , -6 , -25 , 0 , -35 , 28 , -2 , -37 , 3 , -63 , -1 , -30 , -2 , -12 , -34 , -30 , -18 , 28 , -13 , 1 ]  , </v>
      </c>
    </row>
    <row r="266" spans="1:1">
      <c r="A266" s="13" t="str">
        <f>jsRow('symptom factors'!A266:AL266, TRUE )</f>
        <v xml:space="preserve">[ -5 , 2 , 14 , -12 , -31 , 12 , -17 , -14 , 43 , 13 , -9 , 31 , 14 , 2 , -8 , 15 , 26 , 5 , -11 , 41 , 0 , -12 , -12 , -26 , -12 , 3 , -1 , 30 , -8 , 25 , 0 , 39 , 52 , 3 , -22 , 65 , -21 , -43 ]  , </v>
      </c>
    </row>
    <row r="267" spans="1:1">
      <c r="A267" s="13" t="str">
        <f>jsRow('symptom factors'!A267:AL267, TRUE )</f>
        <v xml:space="preserve">[ -12 , 4 , 43 , -15 , -51 , -23 , 55 , -48 , -24 , 41 , -27 , -2 , 30 , 44 , 22 , -19 , 17 , -10 , -26 , 15 , 18 , -62 , 6 , 9 , 30 , -29 , 29 , -41 , 3 , 21 , -17 , 22 , 9 , 21 , -6 , 30 , 33 , 39 ]  , </v>
      </c>
    </row>
    <row r="268" spans="1:1">
      <c r="A268" s="13" t="str">
        <f>jsRow('symptom factors'!A268:AL268, TRUE )</f>
        <v xml:space="preserve">[ -1 , -21 , -8 , -39 , -7 , -24 , -21 , -8 , -1 , 6 , -1 , -17 , 13 , -1 , 23 , -28 , 4 , -2 , -8 , -16 , -38 , 1 , 5 , -13 , -17 , -3 , -23 , 20 , -4 , 9 , -10 , 7 , -27 , -25 , 12 , 4 , 4 , -9 ]  , </v>
      </c>
    </row>
    <row r="269" spans="1:1">
      <c r="A269" s="13" t="str">
        <f>jsRow('symptom factors'!A269:AL269, TRUE )</f>
        <v xml:space="preserve">[ 4 , -2 , -11 , 2 , -1 , -4 , 32 , 5 , 4 , 12 , 4 , 5 , -3 , -12 , -9 , 18 , -10 , 17 , -14 , 7 , -21 , 2 , 1 , -16 , 30 , 24 , -10 , -6 , -13 , 9 , 4 , 10 , 20 , -22 , 5 , 20 , 7 , -14 ]  , </v>
      </c>
    </row>
    <row r="270" spans="1:1">
      <c r="A270" s="13" t="str">
        <f>jsRow('symptom factors'!A270:AL270, TRUE )</f>
        <v xml:space="preserve">[ 2 , -11 , -20 , 19 , 3 , -3 , -22 , -16 , -4 , 7 , -8 , -38 , -13 , -18 , -28 , 25 , -41 , -9 , 27 , -22 , 21 , 11 , -10 , -45 , 4 , -14 , -33 , -32 , 30 , -9 , -76 , -16 , -36 , 6 , 17 , 2 , 37 , -47 ]  , </v>
      </c>
    </row>
    <row r="271" spans="1:1">
      <c r="A271" s="13" t="str">
        <f>jsRow('symptom factors'!A271:AL271, TRUE )</f>
        <v xml:space="preserve">[ -25 , 22 , -15 , -1 , 3 , -5 , -7 , 3 , 1 , 2 , 22 , -30 , -32 , -14 , 6 , -2 , 8 , -29 , -9 , 6 , 16 , -20 , -9 , 1 , -14 , -10 , 4 , -25 , -19 , 7 , 4 , -6 , 28 , 8 , 31 , 5 , 3 , 2 ]  , </v>
      </c>
    </row>
    <row r="272" spans="1:1">
      <c r="A272" s="13" t="str">
        <f>jsRow('symptom factors'!A272:AL272, TRUE )</f>
        <v xml:space="preserve">[ -39 , 7 , -21 , -15 , 1 , 2 , -14 , 10 , -6 , 6 , 10 , -21 , -9 , -10 , 7 , -25 , -6 , -14 , -4 , -34 , 2 , -1 , -3 , -8 , -29 , -12 , 2 , -10 , -32 , 7 , 4 , -1 , 19 , 3 , 48 , 36 , 21 , -12 ]  , </v>
      </c>
    </row>
    <row r="273" spans="1:1">
      <c r="A273" s="13" t="str">
        <f>jsRow('symptom factors'!A273:AL273, TRUE )</f>
        <v xml:space="preserve">[ -24 , 56 , -24 , -16 , 22 , -39 , 6 , 15 , 18 , -2 , 15 , -20 , -10 , 1 , -19 , -10 , 3 , -6 , -25 , 15 , -9 , 25 , -55 , -2 , -20 , -4 , 31 , -1 , 10 , 12 , 35 , 22 , -15 , -8 , -12 , 11 , 15 , 13 ]  , </v>
      </c>
    </row>
    <row r="274" spans="1:1">
      <c r="A274" s="13" t="str">
        <f>jsRow('symptom factors'!A274:AL274, TRUE )</f>
        <v xml:space="preserve">[ -11 , 29 , -18 , -6 , 2 , -11 , 0 , 1 , 11 , 0 , 19 , -22 , -22 , -18 , 7 , -10 , -7 , -30 , -5 , 17 , 6 , -11 , -17 , 1 , -15 , -4 , -2 , -13 , 10 , -8 , 4 , -3 , 18 , -3 , 5 , -9 , 4 , 10 ]  , </v>
      </c>
    </row>
    <row r="275" spans="1:1">
      <c r="A275" s="13" t="str">
        <f>jsRow('symptom factors'!A275:AL275, TRUE )</f>
        <v xml:space="preserve">[ -10 , 12 , -5 , -3 , 9 , -20 , 5 , 0 , -1 , -5 , 1 , 4 , 7 , -8 , -8 , -1 , -8 , -12 , -18 , -3 , -3 , 9 , -14 , 0 , -12 , 12 , 6 , 10 , 8 , 5 , 17 , 3 , 15 , -41 , -14 , 8 , -16 , 15 ]  , </v>
      </c>
    </row>
    <row r="276" spans="1:1">
      <c r="A276" s="13" t="str">
        <f>jsRow('symptom factors'!A276:AL276, TRUE )</f>
        <v xml:space="preserve">[ -10 , -1 , -8 , 8 , -13 , -5 , 2 , 35 , 16 , -2 , -4 , 13 , 12 , -15 , 0 , 47 , -21 , 1 , -29 , 8 , -7 , 8 , -12 , -3 , -11 , -3 , -2 , -16 , 37 , 29 , -15 , 7 , 11 , 29 , 12 , 15 , 4 , 1 ]  , </v>
      </c>
    </row>
    <row r="277" spans="1:1">
      <c r="A277" s="13" t="str">
        <f>jsRow('symptom factors'!A277:AL277, TRUE )</f>
        <v xml:space="preserve">[ -8 , 3 , -1 , 5 , -1 , -2 , 6 , 1 , 13 , -1 , 12 , 4 , 7 , -12 , 6 , 16 , 4 , -6 , -9 , 5 , -7 , 2 , 11 , -7 , 9 , -17 , 10 , 2 , 0 , 10 , -11 , -9 , 2 , -8 , 7 , -13 , -17 , -15 ]  , </v>
      </c>
    </row>
    <row r="278" spans="1:1">
      <c r="A278" s="13" t="str">
        <f>jsRow('symptom factors'!A278:AL278, TRUE )</f>
        <v xml:space="preserve">[ -5 , 3 , 1 , -5 , -20 , -12 , 5 , 1 , -4 , -12 , -5 , 1 , -4 , -12 , 6 , 20 , 8 , -5 , -5 , -5 , -9 , 13 , 26 , 2 , 14 , 8 , 13 , -1 , 8 , 10 , 15 , -10 , 0 , -6 , 1 , 4 , -4 , -1 ]  , </v>
      </c>
    </row>
    <row r="279" spans="1:1">
      <c r="A279" s="13" t="str">
        <f>jsRow('symptom factors'!A279:AL279, TRUE )</f>
        <v xml:space="preserve">[ -6 , 2 , -2 , -2 , -10 , -10 , 7 , 6 , -5 , -5 , -5 , 2 , 1 , -8 , -1 , 12 , 5 , -1 , -5 , -8 , -9 , 11 , 22 , 1 , 9 , 9 , 8 , -2 , 3 , 10 , 3 , 0 , -1 , -5 , 1 , 11 , -4 , -2 ]  , </v>
      </c>
    </row>
    <row r="280" spans="1:1">
      <c r="A280" s="13" t="str">
        <f>jsRow('symptom factors'!A280:AL280, TRUE )</f>
        <v xml:space="preserve">[ 16 , -41 , 2 , 5 , -2 , -1 , 20 , 4 , -7 , 17 , -11 , -1 , 29 , 2 , -14 , 10 , -12 , 38 , -43 , 4 , -9 , 15 , -8 , 0 , -31 , -36 , -33 , -7 , 11 , 19 , 31 , 34 , 6 , -1 , 0 , -1 , -41 , -8 ]  , </v>
      </c>
    </row>
    <row r="281" spans="1:1">
      <c r="A281" s="13" t="str">
        <f>jsRow('symptom factors'!A281:AL281, TRUE )</f>
        <v xml:space="preserve">[ 4 , 1 , -3 , 0 , 3 , -23 , -14 , -5 , 23 , -7 , -24 , 10 , 1 , -6 , 16 , 5 , 12 , -9 , 1 , -10 , -1 , -7 , 12 , -16 , 4 , 8 , -9 , 5 , -5 , -6 , -5 , -11 , 8 , -13 , 15 , 4 , 22 , -5 ]  , </v>
      </c>
    </row>
    <row r="282" spans="1:1">
      <c r="A282" s="13" t="str">
        <f>jsRow('symptom factors'!A282:AL282, TRUE )</f>
        <v xml:space="preserve">[ 3 , -17 , -1 , -25 , -15 , -9 , -2 , -20 , -8 , 0 , 3 , 12 , 9 , -5 , 6 , -9 , 5 , 19 , -21 , 23 , 18 , 27 , -3 , 24 , 6 , 9 , 0 , -39 , 16 , 15 , 4 , -9 , -6 , -18 , 5 , -6 , -3 , -21 ]  , </v>
      </c>
    </row>
    <row r="283" spans="1:1">
      <c r="A283" s="13" t="str">
        <f>jsRow('symptom factors'!A283:AL283, TRUE )</f>
        <v xml:space="preserve">[ 9 , -11 , 10 , 4 , 12 , -18 , -4 , -5 , 15 , 8 , -27 , 13 , 9 , 12 , -3 , 6 , 10 , 6 , 9 , -20 , 12 , 5 , 29 , -18 , 21 , -8 , -1 , 19 , -10 , -7 , 9 , -9 , -13 , -8 , 15 , -7 , 0 , 18 ]  , </v>
      </c>
    </row>
    <row r="284" spans="1:1">
      <c r="A284" s="13" t="str">
        <f>jsRow('symptom factors'!A284:AL284, TRUE )</f>
        <v xml:space="preserve">[ 11 , -18 , -4 , -3 , -1 , 0 , 10 , 2 , 10 , -5 , -20 , 25 , 22 , 6 , -7 , -4 , 5 , 21 , 0 , 3 , 11 , 0 , -14 , 3 , 5 , -14 , -8 , 19 , 0 , 8 , 7 , 27 , -9 , 6 , -2 , -26 , -10 , -8 ]  , </v>
      </c>
    </row>
    <row r="285" spans="1:1">
      <c r="A285" s="13" t="str">
        <f>jsRow('symptom factors'!A285:AL285, TRUE )</f>
        <v xml:space="preserve">[ 29 , 7 , 16 , 8 , 18 , -5 , -1 , -21 , 7 , -2 , 3 , -10 , -7 , -19 , 2 , -4 , 9 , -24 , -1 , -15 , 2 , 49 , 20 , -11 , 9 , -1 , 27 , 19 , -7 , -13 , -20 , -40 , -13 , -8 , 30 , 12 , 14 , 0 ]  , </v>
      </c>
    </row>
    <row r="286" spans="1:1">
      <c r="A286" s="13" t="str">
        <f>jsRow('symptom factors'!A286:AL286, TRUE )</f>
        <v xml:space="preserve">[ 12 , 10 , 2 , 4 , -13 , 1 , -1 , 12 , -6 , -6 , -7 , -6 , -1 , -4 , -2 , 5 , 8 , 12 , 0 , -6 , 4 , 1 , -1 , -3 , 3 , 0 , -3 , -1 , 6 , 10 , 1 , 14 , -9 , 23 , 3 , -10 , 4 , 4 ]  , </v>
      </c>
    </row>
    <row r="287" spans="1:1">
      <c r="A287" s="13" t="str">
        <f>jsRow('symptom factors'!A287:AL287, TRUE )</f>
        <v xml:space="preserve">[ 16 , 6 , 19 , 2 , -8 , 1 , 12 , -5 , 5 , 0 , -1 , -12 , -4 , -6 , 6 , 8 , 1 , -5 , 4 , 1 , 0 , 14 , -7 , -1 , -7 , 11 , 15 , 2 , 5 , 3 , -10 , 2 , -7 , 16 , 4 , -6 , 11 , 3 ]  , </v>
      </c>
    </row>
    <row r="288" spans="1:1">
      <c r="A288" s="13" t="str">
        <f>jsRow('symptom factors'!A288:AL288, TRUE )</f>
        <v xml:space="preserve">[ 28 , -3 , 24 , -5 , 4 , -15 , 10 , -5 , 13 , -4 , 9 , -9 , -11 , -15 , 2 , -12 , -6 , -20 , -15 , -13 , -8 , 29 , -2 , -9 , -4 , -16 , 33 , 11 , 15 , -1 , -25 , 1 , 8 , -16 , 24 , 15 , -4 , -4 ]  , </v>
      </c>
    </row>
    <row r="289" spans="1:1">
      <c r="A289" s="13" t="str">
        <f>jsRow('symptom factors'!A289:AL289, TRUE )</f>
        <v xml:space="preserve">[ -1 , -4 , -5 , 5 , 1 , -17 , 2 , 1 , 21 , -6 , -11 , 6 , 3 , 4 , 2 , 0 , 7 , -12 , 8 , -4 , 8 , -11 , 2 , -5 , 5 , 5 , -7 , -12 , -5 , -2 , 1 , 3 , 1 , 0 , -3 , 2 , 1 , 1 ]  , </v>
      </c>
    </row>
    <row r="290" spans="1:1">
      <c r="A290" s="13" t="str">
        <f>jsRow('symptom factors'!A290:AL290, TRUE )</f>
        <v xml:space="preserve">[ 24 , 4 , 28 , 10 , 33 , 4 , -15 , -18 , 11 , 19 , 13 , -15 , 11 , 10 , -14 , 4 , 16 , -3 , -28 , 37 , 12 , 7 , 17 , -23 , -5 , -25 , 0 , 8 , -29 , 0 , -15 , -6 , 33 , -12 , 50 , 28 , 24 , -10 ]  , </v>
      </c>
    </row>
    <row r="291" spans="1:1">
      <c r="A291" s="13" t="str">
        <f>jsRow('symptom factors'!A291:AL291, TRUE )</f>
        <v xml:space="preserve">[ 2 , -50 , 2 , 9 , 45 , 15 , -27 , -5 , -12 , 29 , -15 , 16 , 24 , 41 , -24 , -21 , -13 , 7 , -35 , 32 , -12 , 6 , 13 , -19 , 15 , -42 , -33 , 7 , 0 , 2 , 41 , 16 , 7 , -8 , 34 , 23 , 40 , 3 ]  , </v>
      </c>
    </row>
    <row r="292" spans="1:1">
      <c r="A292" s="13" t="str">
        <f>jsRow('symptom factors'!A292:AL292, TRUE )</f>
        <v xml:space="preserve">[ 1 , -41 , -5 , 6 , 38 , 27 , -20 , -6 , -10 , 34 , 0 , 10 , 13 , 30 , -14 , -9 , -17 , 4 , -44 , 46 , -7 , -5 , 13 , -15 , 11 , -53 , -30 , 11 , 7 , 15 , 31 , 15 , 17 , -14 , 47 , 20 , 44 , -3 ]  , </v>
      </c>
    </row>
    <row r="293" spans="1:1">
      <c r="A293" s="13" t="str">
        <f>jsRow('symptom factors'!A293:AL293, TRUE )</f>
        <v xml:space="preserve">[ 0 , -2 , 8 , -2 , 3 , -1 , -6 , 4 , -5 , -3 , -6 , 12 , 10 , 14 , -9 , -2 , -5 , 8 , -6 , -5 , 0 , 4 , -4 , 6 , 13 , 20 , 3 , -2 , -5 , -1 , 13 , -6 , -6 , 11 , -6 , 20 , -1 , 0 ]  , </v>
      </c>
    </row>
    <row r="294" spans="1:1">
      <c r="A294" s="13" t="str">
        <f>jsRow('symptom factors'!A294:AL294, TRUE )</f>
        <v xml:space="preserve">[ 14 , -68 , 6 , -9 , 11 , -26 , -10 , 5 , -41 , -3 , -41 , -7 , 13 , -5 , 0 , -17 , -6 , 46 , -22 , 7 , -16 , 13 , -4 , 2 , 13 , -53 , 5 , 1 , -8 , 19 , 18 , 39 , 5 , -16 , 8 , -10 , -19 , 4 ]  , </v>
      </c>
    </row>
    <row r="295" spans="1:1">
      <c r="A295" s="13" t="str">
        <f>jsRow('symptom factors'!A295:AL295, TRUE )</f>
        <v xml:space="preserve">[ 27 , -11 , 15 , 3 , 16 , -17 , 4 , -17 , 5 , 16 , 12 , 2 , -23 , -3 , 3 , -17 , 16 , -23 , -6 , 3 , -4 , 24 , 1 , -17 , 2 , 3 , 18 , 8 , 5 , 15 , -27 , 23 , 2 , -13 , -29 , 19 , 12 , -14 ]  , </v>
      </c>
    </row>
    <row r="296" spans="1:1">
      <c r="A296" s="13" t="str">
        <f>jsRow('symptom factors'!A296:AL296, TRUE )</f>
        <v xml:space="preserve">[ 19 , -26 , 4 , 22 , 31 , -43 , -12 , -1 , 10 , -5 , -16 , 13 , -6 , 3 , -3 , -9 , 25 , -11 , 7 , -14 , -3 , 16 , 0 , -11 , 29 , -5 , 15 , -13 , 10 , 18 , -26 , 30 , -4 , -11 , -66 , 5 , -5 , -12 ]  , </v>
      </c>
    </row>
    <row r="297" spans="1:1">
      <c r="A297" s="13" t="str">
        <f>jsRow('symptom factors'!A297:AL297, TRUE )</f>
        <v xml:space="preserve">[ 0 , 2 , 3 , 1 , 14 , -8 , -3 , -6 , -16 , -9 , -16 , -20 , 23 , 18 , -1 , -16 , -9 , -4 , 8 , 8 , -9 , -10 , 4 , -5 , 6 , -30 , -1 , 20 , -21 , 4 , 5 , -9 , 8 , -19 , 13 , -16 , -11 , -6 ]  , </v>
      </c>
    </row>
    <row r="298" spans="1:1">
      <c r="A298" s="13" t="str">
        <f>jsRow('symptom factors'!A298:AL298, TRUE )</f>
        <v xml:space="preserve">[ 36 , 10 , 33 , 21 , 65 , -13 , -40 , -31 , -31 , 10 , 19 , 10 , -2 , -37 , 24 , 14 , -21 , -45 , -8 , 28 , -2 , -4 , -41 , -25 , 17 , 10 , -6 , -8 , 2 , 4 , -15 , -2 , -26 , -48 , -8 , 16 , 14 , 31 ]  , </v>
      </c>
    </row>
    <row r="299" spans="1:1">
      <c r="A299" s="13" t="str">
        <f>jsRow('symptom factors'!A299:AL299, TRUE )</f>
        <v xml:space="preserve">[ 32 , -12 , 40 , -44 , -74 , 2 , 26 , -23 , 28 , 0 , 12 , -9 , 19 , -34 , 10 , -40 , -49 , 9 , -3 , -10 , -3 , 5 , -19 , 12 , 15 , -11 , 31 , -6 , 11 , -1 , 13 , 20 , 31 , -6 , -13 , -20 , 25 , 0 ]  , </v>
      </c>
    </row>
    <row r="300" spans="1:1">
      <c r="A300" s="13" t="str">
        <f>jsRow('symptom factors'!A300:AL300, TRUE )</f>
        <v xml:space="preserve">[ -6 , -33 , 9 , 4 , -14 , -28 , 14 , 3 , 13 , -28 , -29 , -14 , 12 , -10 , -19 , -12 , -17 , -13 , -5 , 5 , 27 , -18 , -12 , 3 , 28 , -14 , -17 , 8 , 9 , 30 , -13 , -25 , 16 , 0 , 12 , 11 , -4 , 16 ]  , </v>
      </c>
    </row>
    <row r="301" spans="1:1">
      <c r="A301" s="13" t="str">
        <f>jsRow('symptom factors'!A301:AL301, TRUE )</f>
        <v xml:space="preserve">[ 20 , -49 , 35 , -19 , -34 , 10 , 14 , -19 , -26 , -5 , -11 , -15 , -4 , -33 , 6 , -10 , -23 , -17 , -6 , -2 , 16 , -3 , 1 , 20 , 19 , 7 , 6 , -20 , -1 , 12 , -23 , -3 , 41 , 24 , 17 , -3 , 23 , 12 ]  , </v>
      </c>
    </row>
    <row r="302" spans="1:1">
      <c r="A302" s="13" t="str">
        <f>jsRow('symptom factors'!A302:AL302, TRUE )</f>
        <v xml:space="preserve">[ 4 , -17 , -4 , -13 , -15 , 18 , 17 , -15 , -11 , 1 , -3 , -1 , -1 , -17 , 5 , -8 , -18 , -7 , -4 , -14 , 13 , -17 , 7 , 14 , 9 , 6 , -15 , -1 , -10 , -4 , -3 , -6 , 8 , -26 , -2 , -7 , -1 , 7 ]  , </v>
      </c>
    </row>
    <row r="303" spans="1:1">
      <c r="A303" s="13" t="str">
        <f>jsRow('symptom factors'!A303:AL303, TRUE )</f>
        <v xml:space="preserve">[ 5 , -23 , 21 , 1 , 16 , -18 , -3 , 15 , -19 , 2 , -10 , -12 , 29 , 9 , -2 , -22 , -11 , -23 , -8 , -11 , -9 , 2 , -7 , 3 , -14 , -28 , 10 , 25 , 10 , 5 , 0 , -11 , -20 , 8 , 2 , 8 , -18 , 4 ]  , </v>
      </c>
    </row>
    <row r="304" spans="1:1">
      <c r="A304" s="13" t="str">
        <f>jsRow('symptom factors'!A304:AL304, TRUE )</f>
        <v xml:space="preserve">[ 19 , -11 , 19 , 9 , -5 , 0 , -6 , 2 , 7 , 8 , 1 , 10 , -1 , -10 , -2 , 14 , 10 , -10 , -20 , 14 , -1 , -3 , 21 , 19 , 12 , 14 , -4 , -6 , 26 , -2 , 12 , 13 , -9 , -5 , -13 , -12 , 3 , 11 ]  , </v>
      </c>
    </row>
    <row r="305" spans="1:1">
      <c r="A305" s="13" t="str">
        <f>jsRow('symptom factors'!A305:AL305, TRUE )</f>
        <v xml:space="preserve">[ 48 , 19 , 12 , 17 , 4 , -29 , 6 , 6 , -26 , 6 , 2 , 4 , -4 , -8 , 3 , 28 , 1 , -13 , -10 , 9 , 5 , -10 , -11 , 19 , 35 , 5 , 15 , -14 , 40 , 6 , -14 , 10 , -6 , -2 , 17 , 9 , -20 , 14 ]  , </v>
      </c>
    </row>
    <row r="306" spans="1:1">
      <c r="A306" s="13" t="str">
        <f>jsRow('symptom factors'!A306:AL306, TRUE )</f>
        <v xml:space="preserve">[ 13 , -14 , 10 , 9 , 1 , -27 , -23 , 16 , -22 , -20 , -32 , -21 , 16 , -26 , 18 , 3 , -7 , -20 , -13 , 11 , -32 , -4 , -5 , -13 , -11 , -4 , -2 , 31 , 29 , -10 , -21 , -3 , -22 , -3 , 25 , 32 , -5 , 28 ]  , </v>
      </c>
    </row>
    <row r="307" spans="1:1">
      <c r="A307" s="13" t="str">
        <f>jsRow('symptom factors'!A307:AL307, TRUE )</f>
        <v xml:space="preserve">[ 14 , -8 , 0 , 6 , 12 , -5 , 8 , -20 , 2 , 7 , 0 , 14 , 4 , -7 , -5 , -11 , -2 , 0 , 1 , 0 , 12 , -3 , -8 , -8 , 2 , 3 , 11 , -14 , 11 , -1 , -9 , -3 , -10 , -10 , -5 , -6 , -3 , -8 ]  , </v>
      </c>
    </row>
    <row r="308" spans="1:1">
      <c r="A308" s="13" t="str">
        <f>jsRow('symptom factors'!A308:AL308, TRUE )</f>
        <v xml:space="preserve">[ -4 , -6 , 11 , 15 , 24 , -4 , 0 , -15 , -8 , -12 , -7 , 11 , 2 , -6 , 5 , 13 , 10 , -25 , 10 , -9 , -16 , 12 , -8 , 11 , 18 , 4 , -5 , -14 , 9 , 5 , 20 , -3 , 5 , 33 , -3 , -23 , -7 , 10 ]  , </v>
      </c>
    </row>
    <row r="309" spans="1:1">
      <c r="A309" s="13" t="str">
        <f>jsRow('symptom factors'!A309:AL309, TRUE )</f>
        <v xml:space="preserve">[ 26 , -7 , 17 , 5 , 6 , 0 , -6 , -14 , 2 , 7 , 9 , -1 , -1 , -20 , 10 , -12 , -6 , 4 , -24 , 4 , 0 , 12 , 4 , -15 , -14 , 2 , -5 , -13 , 12 , 5 , -18 , -2 , -6 , -31 , 26 , 1 , -8 , 36 ]  , </v>
      </c>
    </row>
    <row r="310" spans="1:1">
      <c r="A310" s="13" t="str">
        <f>jsRow('symptom factors'!A310:AL310, TRUE )</f>
        <v xml:space="preserve">[ 4 , -1 , 6 , 0 , -4 , 3 , -7 , -6 , -2 , -6 , -7 , 6 , 0 , -10 , -1 , 5 , 4 , -5 , -7 , 4 , 8 , -9 , -3 , 12 , 3 , -1 , -13 , -3 , 12 , 6 , -5 , -6 , -2 , -8 , -2 , -10 , 2 , 10 ]  , </v>
      </c>
    </row>
    <row r="311" spans="1:1">
      <c r="A311" s="13" t="str">
        <f>jsRow('symptom factors'!A311:AL311, TRUE )</f>
        <v xml:space="preserve">[ 28 , 12 , 14 , -13 , -12 , -6 , 4 , -7 , 17 , 6 , 6 , 7 , -3 , 0 , -6 , -2 , -2 , -2 , -11 , 13 , 12 , 5 , -5 , 6 , -8 , -7 , 9 , 3 , 9 , 2 , 2 , 17 , -2 , -11 , -8 , -12 , 11 , -7 ]  , </v>
      </c>
    </row>
    <row r="312" spans="1:1">
      <c r="A312" s="13" t="str">
        <f>jsRow('symptom factors'!A312:AL312, TRUE )</f>
        <v xml:space="preserve">[ 27 , -8 , 10 , 6 , 18 , 5 , -6 , -9 , -14 , 10 , -5 , 11 , -2 , 2 , 9 , -45 , -7 , 3 , -4 , 33 , 10 , 5 , -16 , -30 , -17 , 6 , -6 , -4 , 18 , -3 , -31 , 1 , -13 , -14 , -9 , -14 , 7 , 6 ]  , </v>
      </c>
    </row>
    <row r="313" spans="1:1">
      <c r="A313" s="13" t="str">
        <f>jsRow('symptom factors'!A313:AL313, TRUE )</f>
        <v xml:space="preserve">[ 9 , -9 , -16 , -5 , 5 , -10 , 0 , -27 , -19 , 2 , 6 , -4 , -20 , 9 , 5 , 3 , -12 , 11 , 6 , -20 , 18 , 6 , 0 , -13 , -25 , -9 , 6 , -17 , -3 , -8 , 11 , -25 , 1 , -8 , 22 , -10 , -1 , -1 ]  , </v>
      </c>
    </row>
    <row r="314" spans="1:1">
      <c r="A314" s="13" t="str">
        <f>jsRow('symptom factors'!A314:AL314, TRUE )</f>
        <v xml:space="preserve">[ 27 , -10 , -1 , -13 , -30 , 12 , 1 , -25 , 29 , 19 , -22 , 16 , -6 , 6 , -17 , -30 , -30 , 36 , 10 , 5 , 5 , 11 , -16 , 9 , -15 , 15 , 24 , 2 , 15 , -34 , -16 , 29 , 7 , 3 , -24 , 5 , 1 , -23 ]  , </v>
      </c>
    </row>
    <row r="315" spans="1:1">
      <c r="A315" s="13" t="str">
        <f>jsRow('symptom factors'!A315:AL315, TRUE )</f>
        <v xml:space="preserve">[ 8 , -3 , 10 , -1 , 19 , -4 , -9 , -8 , -12 , 15 , -8 , -10 , -26 , -19 , 3 , -8 , -1 , -32 , 3 , -11 , -20 , -10 , -23 , -3 , 12 , -1 , 21 , 0 , 2 , 1 , 4 , 5 , -11 , 24 , 3 , 8 , -12 , -7 ]  , </v>
      </c>
    </row>
    <row r="316" spans="1:1">
      <c r="A316" s="13" t="str">
        <f>jsRow('symptom factors'!A316:AL316, TRUE )</f>
        <v xml:space="preserve">[ 42 , 17 , 42 , -7 , 13 , -11 , -1 , -29 , 34 , 2 , 12 , -6 , -9 , -43 , -2 , -23 , 3 , -23 , -44 , -30 , 4 , 30 , 33 , -23 , -1 , -18 , 39 , 14 , 18 , -11 , -15 , 11 , 6 , 0 , 41 , 22 , 0 , 9 ]  , </v>
      </c>
    </row>
    <row r="317" spans="1:1">
      <c r="A317" s="13" t="str">
        <f>jsRow('symptom factors'!A317:AL317, TRUE )</f>
        <v xml:space="preserve">[ 30 , -8 , 31 , 13 , -6 , 7 , 1 , 9 , 28 , -14 , 17 , -31 , -15 , 14 , 11 , 26 , 25 , -37 , -13 , 22 , -24 , -20 , 34 , 7 , -13 , 15 , -2 , -3 , -7 , 7 , 36 , 31 , 12 , 6 , -3 , -24 , 3 , 3 ]  , </v>
      </c>
    </row>
    <row r="318" spans="1:1">
      <c r="A318" s="13" t="str">
        <f>jsRow('symptom factors'!A318:AL318, TRUE )</f>
        <v xml:space="preserve">[ 54 , 19 , -16 , -23 , -36 , -21 , -14 , 5 , 8 , 9 , 30 , -10 , 5 , 32 , -6 , -6 , 11 , -9 , 1 , -13 , 9 , 16 , -12 , 1 , 11 , -18 , 47 , -19 , 6 , 6 , 14 , 17 , 22 , -4 , -14 , 3 , 6 , -35 ]  , </v>
      </c>
    </row>
    <row r="319" spans="1:1">
      <c r="A319" s="13" t="str">
        <f>jsRow('symptom factors'!A319:AL319, TRUE )</f>
        <v xml:space="preserve">[ -13 , -28 , 0 , 10 , -10 , -1 , -17 , -27 , -39 , 9 , 30 , 36 , 4 , 2 , -14 , 38 , -4 , -15 , -9 , -21 , 1 , 1 , -2 , -17 , -10 , -19 , -36 , 14 , -39 , -3 , -27 , 19 , 4 , -19 , -13 , 47 , -15 , 40 ]  , </v>
      </c>
    </row>
    <row r="320" spans="1:1">
      <c r="A320" s="13" t="str">
        <f>jsRow('symptom factors'!A320:AL320, TRUE )</f>
        <v xml:space="preserve">[ 2 , 8 , -26 , -12 , -12 , 4 , 1 , -5 , 3 , 10 , 2 , -8 , -9 , -14 , -16 , -14 , 6 , 8 , 2 , 13 , -3 , 1 , -14 , -16 , -9 , 15 , -4 , -8 , -17 , -15 , 4 , 7 , -20 , -6 , -14 , 5 , 22 , 15 ]  , </v>
      </c>
    </row>
    <row r="321" spans="1:1">
      <c r="A321" s="13" t="str">
        <f>jsRow('symptom factors'!A321:AL321, TRUE )</f>
        <v xml:space="preserve">[ -2 , -4 , -7 , -3 , 2 , -5 , -5 , -6 , -3 , -5 , -4 , 1 , -16 , 6 , -4 , 3 , -5 , 5 , -11 , 13 , 17 , 6 , 5 , -19 , -18 , 11 , -4 , 16 , 2 , 19 , 11 , 1 , 10 , 14 , -1 , -16 , 1 , 7 ]  , </v>
      </c>
    </row>
    <row r="322" spans="1:1">
      <c r="A322" s="13" t="str">
        <f>jsRow('symptom factors'!A322:AL322, TRUE )</f>
        <v xml:space="preserve">[ 0 , -10 , 5 , 1 , 0 , 12 , -10 , -11 , -18 , 10 , 9 , 26 , 4 , -4 , 11 , 33 , 16 , -4 , 4 , -47 , -7 , -15 , 1 , -8 , -26 , -15 , 15 , -23 , 7 , -14 , 8 , -9 , 16 , -10 , -12 , -13 , -24 , -3 ]  , </v>
      </c>
    </row>
    <row r="323" spans="1:1">
      <c r="A323" s="13" t="str">
        <f>jsRow('symptom factors'!A323:AL323, TRUE )</f>
        <v xml:space="preserve">[ -3 , -3 , -13 , 2 , 5 , -16 , -10 , -6 , -3 , 5 , 1 , -5 , -25 , -1 , 4 , 5 , -19 , -11 , -24 , 6 , 0 , -21 , 19 , -13 , 9 , 18 , -10 , 4 , 15 , 14 , 18 , -18 , 18 , 11 , 5 , -1 , -16 , -9 ]  , </v>
      </c>
    </row>
    <row r="324" spans="1:1">
      <c r="A324" s="13" t="str">
        <f>jsRow('symptom factors'!A324:AL324, TRUE )</f>
        <v xml:space="preserve">[ -1 , 7 , -14 , 2 , 4 , -5 , -16 , 1 , 9 , 4 , -6 , 3 , 4 , -12 , -16 , 1 , 7 , 6 , -16 , 7 , 8 , 0 , -3 , 16 , -6 , 6 , -2 , -21 , -10 , -11 , 12 , 17 , -12 , -5 , 13 , 8 , 10 , 1 ]  , </v>
      </c>
    </row>
    <row r="325" spans="1:1">
      <c r="A325" s="13" t="str">
        <f>jsRow('symptom factors'!A325:AL325, TRUE )</f>
        <v xml:space="preserve">[ -2 , -10 , -3 , 4 , 8 , 19 , 0 , -8 , -4 , 12 , 3 , 9 , -12 , 18 , 2 , 13 , 19 , 8 , 27 , -7 , 18 , -8 , 2 , -16 , -5 , 12 , 12 , -20 , 8 , 2 , 10 , 2 , 20 , -13 , 7 , -4 , 8 , 12 ]  , </v>
      </c>
    </row>
    <row r="326" spans="1:1">
      <c r="A326" s="13" t="str">
        <f>jsRow('symptom factors'!A326:AL326, TRUE )</f>
        <v xml:space="preserve">[ -3 , 3 , -3 , 1 , 0 , 6 , -8 , 0 , -7 , 2 , 7 , 9 , 3 , 3 , -3 , 4 , 7 , -1 , 4 , 5 , -13 , -4 , 6 , -7 , -9 , 6 , 4 , -12 , 9 , -9 , -2 , -11 , 1 , 2 , -2 , 11 , 14 , 9 ]  , </v>
      </c>
    </row>
    <row r="327" spans="1:1">
      <c r="A327" s="13" t="str">
        <f>jsRow('symptom factors'!A327:AL327, TRUE )</f>
        <v xml:space="preserve">[ -1 , -4 , -1 , 4 , 2 , 13 , -9 , 5 , -6 , 2 , 5 , 13 , 3 , 8 , 7 , 26 , -3 , 4 , 13 , -13 , 9 , -3 , 2 , -12 , -10 , 20 , 28 , -13 , 11 , -3 , -1 , 2 , 19 , -30 , 8 , 1 , 5 , 20 ]  , </v>
      </c>
    </row>
    <row r="328" spans="1:1">
      <c r="A328" s="13" t="str">
        <f>jsRow('symptom factors'!A328:AL328, TRUE )</f>
        <v xml:space="preserve">[ -5 , -1 , -15 , 2 , 1 , -19 , -7 , -3 , 19 , -7 , -7 , 6 , 3 , 2 , -9 , 0 , 13 , 1 , 12 , -9 , 4 , -6 , -4 , -3 , -3 , -5 , -8 , -23 , 10 , 9 , -15 , 11 , 13 , 12 , 13 , 9 , -16 , 3 ]  , </v>
      </c>
    </row>
    <row r="329" spans="1:1">
      <c r="A329" s="13" t="str">
        <f>jsRow('symptom factors'!A329:AL329, TRUE )</f>
        <v xml:space="preserve">[ -10 , -4 , -12 , -1 , -6 , -8 , -7 , 3 , -1 , -7 , 13 , 1 , -11 , -1 , -15 , -12 , 17 , -6 , 4 , 18 , -10 , 1 , 0 , -1 , -3 , -5 , -2 , -7 , 4 , 3 , -12 , -14 , -2 , 12 , -6 , 5 , -6 , 13 ]  , </v>
      </c>
    </row>
    <row r="330" spans="1:1">
      <c r="A330" s="13" t="str">
        <f>jsRow('symptom factors'!A330:AL330, TRUE )</f>
        <v xml:space="preserve">[ -7 , -6 , 2 , 9 , 8 , -7 , 2 , -5 , 10 , -15 , -10 , 13 , 3 , 1 , -9 , 10 , 16 , -22 , 7 , -6 , -4 , -10 , 8 , 13 , 10 , 0 , -11 , -1 , 5 , -1 , 0 , -16 , 0 , 10 , 2 , -7 , 3 , 8 ]  , </v>
      </c>
    </row>
    <row r="331" spans="1:1">
      <c r="A331" s="13" t="str">
        <f>jsRow('symptom factors'!A331:AL331, TRUE )</f>
        <v xml:space="preserve">[ 3 , 5 , 1 , 3 , 15 , 13 , -7 , 3 , 9 , 5 , 4 , 14 , 17 , 12 , -10 , 0 , -16 , 4 , -20 , -1 , 3 , -10 , -27 , -1 , -2 , 1 , -13 , -5 , 5 , 1 , 11 , -3 , -2 , 7 , 16 , 13 , 9 , 12 ]  , </v>
      </c>
    </row>
    <row r="332" spans="1:1">
      <c r="A332" s="13" t="str">
        <f>jsRow('symptom factors'!A332:AL332, TRUE )</f>
        <v xml:space="preserve">[ 9 , 45 , 10 , -25 , 6 , 18 , -9 , -35 , -3 , 3 , 13 , 46 , -6 , -16 , -15 , 22 , -7 , -14 , -2 , -24 , -5 , 12 , -27 , 7 , 8 , -37 , -10 , -2 , -44 , 53 , 13 , 2 , -6 , -8 , -16 , -11 , -39 , -15 ]  , </v>
      </c>
    </row>
    <row r="333" spans="1:1">
      <c r="A333" s="13" t="str">
        <f>jsRow('symptom factors'!A333:AL333, TRUE )</f>
        <v xml:space="preserve">[ 6 , 17 , -3 , -12 , 7 , 16 , 25 , -22 , -1 , 14 , 19 , 34 , 6 , -3 , -18 , 29 , -2 , -13 , -17 , -28 , -6 , 7 , -29 , 8 , 20 , -52 , -18 , 10 , -32 , 37 , 20 , 9 , -3 , -1 , 3 , -16 , -18 , -9 ]  , </v>
      </c>
    </row>
    <row r="334" spans="1:1">
      <c r="A334" s="13" t="str">
        <f>jsRow('symptom factors'!A334:AL334, TRUE )</f>
        <v xml:space="preserve">[ 2 , 23 , 9 , -7 , -2 , -4 , -35 , 3 , 2 , -15 , -12 , 0 , -4 , -12 , 4 , -7 , 4 , 13 , -5 , -9 , 6 , -2 , 6 , 2 , -28 , 15 , 7 , 4 , -2 , 0 , 1 , 8 , -7 , -2 , -3 , 15 , 13 , 4 ]  , </v>
      </c>
    </row>
    <row r="335" spans="1:1">
      <c r="A335" s="13" t="str">
        <f>jsRow('symptom factors'!A335:AL335, TRUE )</f>
        <v xml:space="preserve">[ 0 , 8 , -1 , -6 , -2 , 0 , -18 , -3 , 0 , -10 , -13 , -6 , -2 , -6 , 2 , -5 , 1 , 8 , -10 , -11 , 2 , -4 , -3 , -2 , -15 , 10 , -1 , 12 , -3 , 8 , 9 , 3 , -2 , 2 , 4 , 7 , 9 , 5 ]  , </v>
      </c>
    </row>
    <row r="336" spans="1:1">
      <c r="A336" s="13" t="str">
        <f>jsRow('symptom factors'!A336:AL336, TRUE )</f>
        <v xml:space="preserve">[ 8 , 20 , -5 , -4 , 4 , 14 , 2 , -14 , 20 , -18 , -8 , 39 , 9 , -10 , 12 , 13 , 7 , -21 , -18 , -24 , 9 , -16 , -13 , 20 , 31 , -21 , -9 , -1 , -7 , 13 , -11 , -4 , -11 , 8 , 11 , 0 , 19 , -31 ]  , </v>
      </c>
    </row>
    <row r="337" spans="1:1">
      <c r="A337" s="13" t="str">
        <f>jsRow('symptom factors'!A337:AL337, TRUE )</f>
        <v xml:space="preserve">[ 13 , 34 , -2 , -8 , 3 , 15 , -14 , -13 , 8 , -19 , -1 , 26 , 3 , -13 , 2 , 11 , 6 , -7 , -27 , -24 , 13 , -16 , -19 , 25 , 11 , -13 , -5 , -1 , -1 , 14 , -5 , -3 , -12 , -1 , 8 , 14 , 12 , -15 ]  , </v>
      </c>
    </row>
    <row r="338" spans="1:1">
      <c r="A338" s="13" t="str">
        <f>jsRow('symptom factors'!A338:AL338, TRUE )</f>
        <v xml:space="preserve">[ -10 , -4 , 11 , 9 , 11 , 9 , 7 , -7 , 3 , -10 , -5 , -7 , -17 , 4 , -13 , 7 , 11 , -4 , 26 , -4 , -14 , 10 , 11 , 16 , 11 , -2 , -2 , -4 , -6 , 6 , 3 , 13 , 15 , 13 , -2 , 2 , 0 , 9 ]  , </v>
      </c>
    </row>
    <row r="339" spans="1:1">
      <c r="A339" s="13" t="str">
        <f>jsRow('symptom factors'!A339:AL339, TRUE )</f>
        <v xml:space="preserve">[ 1 , -1 , 7 , -4 , 19 , -3 , -18 , -31 , -25 , 2 , 2 , -5 , -12 , 9 , 5 , -42 , 4 , -8 , 23 , -13 , 0 , -5 , -12 , -9 , 17 , 13 , 1 , -11 , -35 , -10 , 40 , -1 , -12 , -2 , -4 , -13 , -14 , 10 ]  , </v>
      </c>
    </row>
    <row r="340" spans="1:1">
      <c r="A340" s="13" t="str">
        <f>jsRow('symptom factors'!A340:AL340, TRUE )</f>
        <v xml:space="preserve">[ -5 , -1 , 5 , 6 , 9 , 2 , -8 , -5 , 0 , -12 , -9 , 11 , -6 , -3 , -6 , 6 , 2 , -6 , 16 , -5 , -8 , 4 , 6 , 16 , 4 , 11 , 8 , -3 , -2 , 9 , 10 , -5 , -10 , 8 , 6 , -13 , 0 , -1 ]  , </v>
      </c>
    </row>
    <row r="341" spans="1:1">
      <c r="A341" s="13" t="str">
        <f>jsRow('symptom factors'!A341:AL341, TRUE )</f>
        <v xml:space="preserve">[ -2 , 7 , 3 , -3 , 1 , 4 , -10 , -2 , -4 , -13 , -7 , 11 , 6 , -4 , 5 , 3 , -7 , 3 , 0 , 3 , -1 , 5 , 6 , -1 , 8 , 9 , 3 , -4 , -1 , -7 , -9 , -7 , 5 , 3 , -3 , 1 , -8 , -8 ]  , </v>
      </c>
    </row>
    <row r="342" spans="1:1">
      <c r="A342" s="13" t="str">
        <f>jsRow('symptom factors'!A342:AL342, TRUE )</f>
        <v xml:space="preserve">[ 4 , 8 , 2 , 0 , 11 , 5 , -19 , -5 , -5 , -4 , -4 , -3 , 0 , 10 , -2 , -18 , 4 , 7 , 5 , -3 , 19 , -17 , -8 , 7 , -13 , -6 , 7 , -2 , -5 , -8 , -2 , -3 , 2 , 0 , 6 , -3 , -10 , 2 ]  , </v>
      </c>
    </row>
    <row r="343" spans="1:1">
      <c r="A343" s="13" t="str">
        <f>jsRow('symptom factors'!A343:AL343, TRUE )</f>
        <v xml:space="preserve">[ -2 , -2 , -10 , -1 , -9 , -3 , -3 , -1 , 1 , 3 , 2 , 7 , 6 , -8 , -1 , -5 , 7 , -12 , -5 , 10 , 23 , -1 , 11 , 24 , -7 , 4 , 1 , -21 , 6 , 1 , 13 , -1 , -12 , -8 , 2 , -5 , -13 , -7 ]  , </v>
      </c>
    </row>
    <row r="344" spans="1:1">
      <c r="A344" s="13" t="str">
        <f>jsRow('symptom factors'!A344:AL344, TRUE )</f>
        <v xml:space="preserve">[ 2 , 5 , 0 , -1 , 5 , 6 , -5 , -3 , 0 , -1 , 1 , 7 , 4 , -1 , -4 , -2 , -2 , 4 , -1 , 2 , 2 , -3 , -10 , -4 , 2 , 3 , -5 , -4 , -5 , 4 , -7 , -2 , 2 , 3 , -3 , -9 , 2 , -3 ]  , </v>
      </c>
    </row>
    <row r="345" spans="1:1">
      <c r="A345" s="13" t="str">
        <f>jsRow('symptom factors'!A345:AL345, TRUE )</f>
        <v xml:space="preserve">[ 10 , -12 , -12 , 3 , -9 , -34 , 28 , -7 , 48 , 4 , -35 , 18 , 5 , 10 , -2 , 3 , -24 , -1 , 40 , 3 , -10 , -5 , -4 , -3 , -7 , 5 , -5 , 12 , 24 , -38 , 10 , 22 , -4 , 5 , -12 , 7 , 17 , 13 ]  , </v>
      </c>
    </row>
    <row r="346" spans="1:1">
      <c r="A346" s="13" t="str">
        <f>jsRow('symptom factors'!A346:AL346, TRUE )</f>
        <v xml:space="preserve">[ 26 , -18 , -44 , 21 , 1 , 16 , 63 , -33 , -20 , -27 , 24 , 4 , -12 , -28 , -53 , -34 , -9 , -1 , 27 , -58 , -14 , 49 , 50 , 21 , -60 , 26 , -34 , 17 , 27 , 0 , -46 , -8 , 7 , 25 , 4 , 44 , -6 , 8 ]  , </v>
      </c>
    </row>
    <row r="347" spans="1:1">
      <c r="A347" s="13" t="str">
        <f>jsRow('symptom factors'!A347:AL347, TRUE )</f>
        <v xml:space="preserve">[ 19 , 2 , -7 , -11 , -12 , 1 , 30 , -5 , 6 , -2 , 15 , -5 , 5 , -1 , -10 , -10 , -5 , 12 , 3 , -21 , -13 , 7 , 4 , 9 , -9 , -2 , -2 , -2 , 24 , -16 , -26 , -5 , -6 , 0 , 1 , 36 , 15 , -5 ]  , </v>
      </c>
    </row>
    <row r="348" spans="1:1">
      <c r="A348" s="13" t="str">
        <f>jsRow('symptom factors'!A348:AL348, TRUE )</f>
        <v xml:space="preserve">[ 22 , 20 , -22 , 7 , 15 , -6 , 46 , -7 , -15 , 14 , 35 , 24 , -13 , -14 , -47 , -16 , 19 , -6 , 1 , -9 , -6 , 6 , 29 , 12 , -43 , 5 , 11 , 3 , -35 , 21 , -8 , 6 , -9 , 10 , 14 , 27 , 10 , -12 ]  , </v>
      </c>
    </row>
    <row r="349" spans="1:1">
      <c r="A349" s="13" t="str">
        <f>jsRow('symptom factors'!A349:AL349, TRUE )</f>
        <v xml:space="preserve">[ 0 , -7 , 5 , 16 , 10 , 13 , -1 , 0 , -9 , -2 , 1 , 9 , 5 , 7 , -7 , -3 , 2 , 7 , -2 , -6 , -3 , 9 , 3 , 14 , -6 , -8 , 9 , 0 , -8 , 5 , -10 , 23 , -7 , 6 , -23 , -6 , -13 , -13 ]  , </v>
      </c>
    </row>
    <row r="350" spans="1:1">
      <c r="A350" s="13" t="str">
        <f>jsRow('symptom factors'!A350:AL350, TRUE )</f>
        <v xml:space="preserve">[ -2 , 5 , -17 , 8 , 4 , 14 , 42 , 7 , -8 , -12 , -10 , -24 , -4 , 1 , -6 , -24 , -5 , -2 , 16 , -30 , -5 , 10 , 6 , 25 , -31 , -1 , -41 , 8 , 19 , 17 , -5 , -10 , 4 , -8 , 11 , 9 , -3 , 6 ]  , </v>
      </c>
    </row>
    <row r="351" spans="1:1">
      <c r="A351" s="13" t="str">
        <f>jsRow('symptom factors'!A351:AL351, TRUE )</f>
        <v xml:space="preserve">[ 15 , -7 , -9 , -6 , -11 , -1 , 39 , 4 , -16 , -24 , 14 , -2 , -8 , -11 , -22 , -36 , 2 , -20 , 20 , -38 , 20 , 38 , 9 , 26 , -12 , 8 , -25 , 30 , 57 , 15 , -26 , -6 , -9 , -15 , 40 , 3 , 20 , 6 ]  , </v>
      </c>
    </row>
    <row r="352" spans="1:1">
      <c r="A352" s="13" t="str">
        <f>jsRow('symptom factors'!A352:AL352, TRUE )</f>
        <v xml:space="preserve">[ 11 , 19 , -11 , -2 , 4 , 2 , 18 , 13 , 0 , -3 , 7 , -4 , -4 , 2 , -7 , -20 , 0 , 13 , -1 , -9 , 1 , 2 , 3 , 11 , -8 , 16 , -2 , 3 , -2 , 13 , -2 , 2 , -14 , -4 , 5 , 7 , 3 , -6 ]  , </v>
      </c>
    </row>
    <row r="353" spans="1:1">
      <c r="A353" s="13" t="str">
        <f>jsRow('symptom factors'!A353:AL353, TRUE )</f>
        <v xml:space="preserve">[ 6 , -12 , -32 , 13 , 21 , 0 , 12 , -7 , 2 , -21 , -2 , -17 , -15 , -16 , -48 , -16 , -9 , 12 , 21 , -29 , -16 , 31 , 8 , -6 , -35 , 21 , -73 , 15 , 28 , 13 , -3 , 28 , -8 , 19 , -3 , -8 , -28 , 9 ]  , </v>
      </c>
    </row>
    <row r="354" spans="1:1">
      <c r="A354" s="13" t="str">
        <f>jsRow('symptom factors'!A354:AL354, TRUE )</f>
        <v xml:space="preserve">[ -10 , -16 , 6 , -11 , -10 , -3 , -4 , -2 , -20 , -5 , 4 , -1 , 11 , -2 , 5 , -14 , 2 , 22 , 0 , -5 , 17 , 0 , -5 , -10 , -11 , 1 , 9 , -7 , -1 , 9 , -28 , -17 , -5 , 11 , -10 , -26 , 17 , -27 ]  , </v>
      </c>
    </row>
    <row r="355" spans="1:1">
      <c r="A355" s="13" t="str">
        <f>jsRow('symptom factors'!A355:AL355, TRUE )</f>
        <v xml:space="preserve">[ 0 , 3 , 4 , 3 , -2 , 0 , -2 , 1 , 1 , -5 , -1 , 4 , 0 , 0 , -4 , 8 , -5 , 1 , -14 , -5 , 10 , 0 , -9 , 1 , -6 , -3 , 9 , -4 , 3 , -1 , 0 , -6 , -3 , 1 , 3 , -13 , 4 , 12 ]  , </v>
      </c>
    </row>
    <row r="356" spans="1:1">
      <c r="A356" s="13" t="str">
        <f>jsRow('symptom factors'!A356:AL356, TRUE )</f>
        <v xml:space="preserve">[ -5 , -1 , -5 , 3 , -8 , 18 , -5 , 11 , 15 , 4 , 22 , 3 , 22 , -5 , -7 , -5 , -9 , -35 , -18 , -1 , 28 , -23 , -11 , -1 , -14 , 7 , -15 , 2 , 13 , -14 , 9 , -8 , -12 , -13 , -8 , -18 , -8 , -11 ]  , </v>
      </c>
    </row>
    <row r="357" spans="1:1">
      <c r="A357" s="13" t="str">
        <f>jsRow('symptom factors'!A357:AL357, TRUE )</f>
        <v xml:space="preserve">[ -8 , 2 , 9 , -3 , -4 , -4 , -10 , 4 , 4 , -23 , 4 , -6 , -5 , -2 , -4 , 2 , 0 , 2 , -7 , -5 , 0 , -7 , 2 , 1 , -18 , 9 , 1 , -3 , -3 , -5 , -2 , 4 , -5 , 3 , 0 , -4 , -5 , -7 ]  , </v>
      </c>
    </row>
    <row r="358" spans="1:1">
      <c r="A358" s="13" t="str">
        <f>jsRow('symptom factors'!A358:AL358, TRUE )</f>
        <v xml:space="preserve">[ -26 , -8 , 36 , -5 , -14 , -5 , 1 , 14 , 2 , -32 , 23 , -9 , -6 , 18 , -17 , 10 , -5 , 10 , -17 , -26 , 2 , -2 , -12 , -9 , 2 , 33 , 1 , 0 , -26 , -21 , 1 , 11 , -11 , 1 , 5 , -9 , -9 , -23 ]  , </v>
      </c>
    </row>
    <row r="359" spans="1:1">
      <c r="A359" s="13" t="str">
        <f>jsRow('symptom factors'!A359:AL359, TRUE )</f>
        <v xml:space="preserve">[ -18 , -10 , 18 , -4 , -11 , -4 , 2 , 8 , -3 , -23 , 22 , 1 , -5 , 11 , -14 , 3 , -11 , 6 , -14 , -21 , -4 , 9 , -8 , -10 , -10 , 23 , -3 , -1 , -11 , -18 , 3 , -8 , -4 , 4 , -6 , 7 , -14 , -9 ]  , </v>
      </c>
    </row>
    <row r="360" spans="1:1">
      <c r="A360" s="13" t="str">
        <f>jsRow('symptom factors'!A360:AL360, TRUE )</f>
        <v xml:space="preserve">[ 32 , 6 , 26 , 14 , 6 , 10 , -11 , -1 , 34 , -17 , 6 , -21 , -5 , 25 , 16 , 23 , 15 , 12 , -15 , 7 , 4 , 11 , 13 , 6 , -26 , 12 , -7 , -9 , -8 , 14 , 11 , -3 , 12 , 12 , -12 , -10 , -7 , -1 ]  , </v>
      </c>
    </row>
    <row r="361" spans="1:1">
      <c r="A361" s="13" t="str">
        <f>jsRow('symptom factors'!A361:AL361, TRUE )</f>
        <v xml:space="preserve">[ 3 , 19 , -1 , -2 , -10 , -8 , 8 , 0 , 4 , -2 , 2 , 1 , 8 , -2 , -4 , -5 , -8 , 6 , -21 , 1 , -6 , -7 , 11 , -6 , -14 , -12 , 10 , -10 , -1 , -11 , 4 , 10 , -16 , 5 , -6 , -14 , 7 , -13 ]  , </v>
      </c>
    </row>
    <row r="362" spans="1:1">
      <c r="A362" s="13" t="str">
        <f>jsRow('symptom factors'!A362:AL362, TRUE )</f>
        <v xml:space="preserve">[ -8 , 21 , 1 , -3 , 5 , -6 , -15 , 6 , -5 , -9 , -22 , -2 , 0 , -9 , 3 , 7 , -15 , -2 , -8 , 10 , -31 , -28 , 13 , 10 , -9 , -7 , -7 , 5 , -3 , -9 , -4 , -19 , 1 , -9 , -26 , 2 , 12 , -24 ]  , </v>
      </c>
    </row>
    <row r="363" spans="1:1">
      <c r="A363" s="13" t="str">
        <f>jsRow('symptom factors'!A363:AL363, TRUE )</f>
        <v xml:space="preserve">[ -13 , 5 , 3 , -9 , -3 , -6 , -1 , -4 , 13 , 5 , 11 , -4 , 5 , -8 , -13 , 5 , -5 , 34 , -19 , -29 , -26 , -20 , -6 , -15 , -13 , -41 , 3 , -13 , 25 , -6 , 16 , 15 , -33 , -22 , 6 , 19 , 3 , -9 ]  , </v>
      </c>
    </row>
    <row r="364" spans="1:1">
      <c r="A364" s="13" t="str">
        <f>jsRow('symptom factors'!A364:AL364, TRUE )</f>
        <v xml:space="preserve">[ 26 , 19 , -18 , 3 , -45 , -24 , -23 , 13 , 8 , 12 , 7 , 2 , 8 , 29 , 15 , -3 , 12 , 3 , 10 , -13 , -3 , 19 , 0 , -6 , 6 , -2 , 5 , -25 , -8 , -3 , -11 , -13 , -23 , 23 , 16 , 1 , -18 , -15 ]  , </v>
      </c>
    </row>
    <row r="365" spans="1:1">
      <c r="A365" s="13" t="str">
        <f>jsRow('symptom factors'!A365:AL365, TRUE )</f>
        <v xml:space="preserve">[ -5 , 8 , -37 , -35 , 6 , 16 , 6 , -35 , -14 , 2 , -24 , -39 , 25 , 0 , -6 , 36 , 39 , 8 , -34 , 16 , 8 , 14 , -10 , -17 , 7 , 24 , 20 , -5 , 6 , -27 , 7 , 0 , -10 , 8 , 4 , -3 , -11 , 5 ]  , </v>
      </c>
    </row>
    <row r="366" spans="1:1">
      <c r="A366" s="13" t="str">
        <f>jsRow('symptom factors'!A366:AL366, TRUE )</f>
        <v xml:space="preserve">[ 18 , 2 , -29 , -21 , -55 , -10 , -24 , 28 , -6 , 18 , 28 , 31 , -5 , -3 , -17 , -1 , 3 , -9 , 21 , 13 , -45 , -13 , -16 , -25 , -19 , -19 , 9 , -10 , -47 , -10 , 5 , -19 , 2 , 2 , -1 , 8 , 22 , -3 ]  , </v>
      </c>
    </row>
    <row r="367" spans="1:1">
      <c r="A367" s="13" t="str">
        <f>jsRow('symptom factors'!A367:AL367, TRUE )</f>
        <v xml:space="preserve">[ 1 , 48 , 9 , 1 , 11 , -31 , 50 , -53 , 29 , 9 , 48 , 46 , -27 , 5 , 5 , -56 , 13 , 20 , -27 , 27 , -30 , 20 , 27 , -44 , -5 , -5 , -10 , -32 , -37 , -62 , 11 , 1 , -23 , 13 , 7 , -47 , -5 , 19 ]  , </v>
      </c>
    </row>
    <row r="368" spans="1:1">
      <c r="A368" s="13" t="str">
        <f>jsRow('symptom factors'!A368:AL368, TRUE )</f>
        <v xml:space="preserve">[ 5 , 9 , -6 , 31 , 28 , 31 , 21 , 27 , 2 , -30 , 7 , 1 , -7 , 13 , -14 , 7 , -10 , 2 , 31 , 7 , -7 , 15 , -40 , -4 , 3 , 51 , 24 , -10 , 6 , 32 , -10 , -17 , -33 , 26 , 39 , -57 , -2 , -12 ]  , </v>
      </c>
    </row>
    <row r="369" spans="1:1">
      <c r="A369" s="13" t="str">
        <f>jsRow('symptom factors'!A369:AL369, TRUE )</f>
        <v xml:space="preserve">[ -15 , -2 , 0 , 8 , -1 , -3 , 1 , 5 , 10 , -7 , -5 , -13 , -8 , -1 , 1 , 4 , -4 , -16 , -10 , 2 , -22 , -21 , -11 , 11 , 4 , -1 , 6 , -1 , -3 , 4 , 3 , -3 , -7 , 0 , -13 , -2 , 11 , -17 ]  , </v>
      </c>
    </row>
    <row r="370" spans="1:1">
      <c r="A370" s="13" t="str">
        <f>jsRow('symptom factors'!A370:AL370, TRUE )</f>
        <v xml:space="preserve">[ -35 , -1 , 20 , 6 , 7 , -19 , 6 , 2 , 10 , -19 , -7 , -12 , 7 , 15 , -16 , 14 , -9 , -11 , -6 , 2 , -44 , 4 , 4 , 33 , 18 , 16 , -10 , 0 , -10 , -3 , 16 , -33 , -3 , 15 , -26 , 14 , 13 , -12 ]  , </v>
      </c>
    </row>
    <row r="371" spans="1:1">
      <c r="A371" s="13" t="str">
        <f>jsRow('symptom factors'!A371:AL371, TRUE )</f>
        <v xml:space="preserve">[ -23 , 20 , 23 , 16 , 10 , -8 , 41 , -5 , 6 , -9 , 5 , -13 , 7 , 12 , 13 , 12 , 0 , -24 , 1 , 16 , -58 , -21 , 27 , 39 , -29 , -19 , 17 , -5 , -33 , -1 , 1 , -33 , 2 , -9 , -32 , -2 , 0 , -17 ]  , </v>
      </c>
    </row>
    <row r="372" spans="1:1">
      <c r="A372" s="13" t="str">
        <f>jsRow('symptom factors'!A372:AL372, TRUE )</f>
        <v xml:space="preserve">[ -1 , 17 , -37 , -33 , 9 , 22 , 4 , -49 , -6 , 0 , -22 , -39 , 31 , 10 , -4 , 33 , 29 , -11 , -25 , 0 , 4 , 3 , -20 , -15 , 12 , 25 , 11 , 8 , 3 , -44 , -9 , -6 , -8 , 4 , -7 , 5 , -19 , -1 ]  , </v>
      </c>
    </row>
    <row r="373" spans="1:1">
      <c r="A373" s="13" t="str">
        <f>jsRow('symptom factors'!A373:AL373, TRUE )</f>
        <v xml:space="preserve">[ -3 , -4 , 10 , 3 , -4 , 2 , 2 , 3 , -7 , -6 , -6 , -3 , -4 , 5 , 13 , 28 , 19 , 0 , 7 , -11 , 10 , -18 , 1 , -2 , -12 , -10 , 11 , 7 , -14 , 6 , 1 , -1 , -4 , 5 , -9 , -13 , -3 , -12 ]  , </v>
      </c>
    </row>
    <row r="374" spans="1:1">
      <c r="A374" s="13" t="str">
        <f>jsRow('symptom factors'!A374:AL374, TRUE )</f>
        <v xml:space="preserve">[ -11 , 13 , 7 , 5 , 15 , -6 , 8 , -9 , 10 , -1 , -1 , -1 , -13 , 14 , 9 , 8 , 6 , 16 , 8 , 10 , -16 , -18 , 9 , 27 , -22 , 1 , 17 , -7 , -7 , 19 , -9 , -20 , 12 , -5 , -18 , 12 , -12 , -33 ]  , </v>
      </c>
    </row>
    <row r="375" spans="1:1">
      <c r="A375" s="13" t="str">
        <f>jsRow('symptom factors'!A375:AL375, TRUE )</f>
        <v xml:space="preserve">[ 11 , 13 , 3 , 11 , 16 , 9 , 19 , -4 , -8 , -18 , -6 , -1 , 0 , 11 , -7 , 1 , 12 , 7 , -4 , -3 , 0 , -15 , 6 , 18 , -29 , 4 , -3 , 1 , -5 , 18 , 2 , -22 , -22 , -5 , 28 , -1 , -20 , -22 ]  , </v>
      </c>
    </row>
    <row r="376" spans="1:1">
      <c r="A376" s="13" t="str">
        <f>jsRow('symptom factors'!A376:AL376, TRUE )</f>
        <v xml:space="preserve">[ 4 , 9 , -2 , 7 , 10 , 18 , 30 , 5 , -14 , -38 , -2 , -4 , 0 , 5 , 20 , -12 , 10 , 1 , -2 , -17 , -31 , -1 , 5 , 26 , -24 , -3 , -1 , 3 , 0 , 9 , 5 , -26 , -20 , -23 , 33 , 26 , 1 , -2 ]  , </v>
      </c>
    </row>
    <row r="377" spans="1:1">
      <c r="A377" s="13" t="str">
        <f>jsRow('symptom factors'!A377:AL377, TRUE )</f>
        <v xml:space="preserve">[ 9 , 15 , 19 , 14 , 19 , 9 , 19 , -11 , -3 , -7 , -4 , -14 , 11 , -10 , -24 , 2 , 14 , -4 , -9 , 9 , -20 , -30 , 38 , 35 , -25 , -6 , 12 , -2 , -23 , 10 , -2 , -17 , 40 , -26 , -32 , -4 , 11 , -23 ]  , </v>
      </c>
    </row>
    <row r="378" spans="1:1">
      <c r="A378" s="13" t="str">
        <f>jsRow('symptom factors'!A378:AL378, TRUE )</f>
        <v xml:space="preserve">[ 14 , 1 , -1 , -1 , -6 , 3 , 12 , 9 , 2 , -10 , -2 , -2 , 2 , 3 , -6 , 3 , 7 , 12 , 6 , 6 , -13 , -7 , -12 , -19 , -17 , -1 , -10 , 16 , -6 , 8 , -13 , 4 , 9 , 6 , 1 , 5 , 6 , 4 ]  , </v>
      </c>
    </row>
    <row r="379" spans="1:1">
      <c r="A379" s="13" t="str">
        <f>jsRow('symptom factors'!A379:AL379, TRUE )</f>
        <v xml:space="preserve">[ 15 , -15 , 1 , 6 , -5 , -3 , 20 , -1 , 12 , -25 , -15 , -5 , -7 , -10 , 4 , 9 , 0 , 15 , 21 , -10 , -29 , -12 , -7 , 20 , -40 , 1 , -21 , -10 , -4 , 18 , 7 , -12 , 27 , 3 , 4 , 14 , -39 , 18 ]  , </v>
      </c>
    </row>
    <row r="380" spans="1:1">
      <c r="A380" s="13" t="str">
        <f>jsRow('symptom factors'!A380:AL380, TRUE )</f>
        <v xml:space="preserve">[ 25 , -8 , 18 , 8 , -9 , 6 , 14 , -3 , 8 , -14 , -10 , -18 , -4 , -6 , 11 , 20 , 13 , 10 , 11 , 12 , -20 , -2 , -14 , 8 , -36 , 12 , -10 , -10 , -9 , 12 , 13 , -7 , 9 , 3 , 13 , 6 , -17 , 23 ]  , </v>
      </c>
    </row>
    <row r="381" spans="1:1">
      <c r="A381" s="13" t="str">
        <f>jsRow('symptom factors'!A381:AL381, TRUE )</f>
        <v xml:space="preserve">[ -15 , 0 , 2 , 10 , -6 , -7 , -4 , 4 , 0 , -13 , -4 , -8 , 5 , 2 , -8 , -8 , 10 , -12 , 3 , 5 , 3 , -3 , 7 , -5 , 6 , 5 , -1 , 14 , -4 , 8 , 1 , 3 , 28 , -8 , -3 , -2 , -17 , -13 ]  , </v>
      </c>
    </row>
    <row r="382" spans="1:1">
      <c r="A382" s="13" t="str">
        <f>jsRow('symptom factors'!A382:AL382, TRUE )</f>
        <v xml:space="preserve">[ -16 , -8 , 17 , -2 , -14 , -1 , 2 , 9 , -2 , -21 , 9 , -15 , -7 , 2 , -25 , 11 , -3 , 8 , -4 , -14 , 5 , 4 , -12 , 0 , 22 , 10 , 2 , 1 , -11 , 2 , -1 , -11 , 13 , -2 , -8 , 12 , 5 , 2 ]  , </v>
      </c>
    </row>
    <row r="383" spans="1:1">
      <c r="A383" s="13" t="str">
        <f>jsRow('symptom factors'!A383:AL383, TRUE )</f>
        <v xml:space="preserve">[ -15 , 19 , 13 , 17 , 26 , 11 , 23 , 12 , 17 , -5 , -2 , -5 , 29 , 11 , -4 , -33 , -9 , -11 , 17 , 10 , 13 , -1 , -14 , -21 , -3 , 17 , -4 , 10 , -12 , 15 , 13 , -12 , 22 , -1 , 20 , 3 , -12 , -34 ]  , </v>
      </c>
    </row>
    <row r="384" spans="1:1">
      <c r="A384" s="13" t="str">
        <f>jsRow('symptom factors'!A384:AL384, TRUE )</f>
        <v xml:space="preserve">[ -14 , 15 , 10 , 12 , 17 , 7 , 17 , 11 , 17 , -3 , -3 , -5 , 19 , 5 , -9 , -19 , -10 , -8 , 9 , 15 , 14 , -5 , -11 , -15 , -8 , 9 , -7 , 6 , -10 , 11 , 11 , -6 , 14 , 2 , 6 , 4 , -10 , -24 ]  , </v>
      </c>
    </row>
    <row r="385" spans="1:1">
      <c r="A385" s="13" t="str">
        <f>jsRow('symptom factors'!A385:AL385, TRUE )</f>
        <v xml:space="preserve">[ -19 , -18 , 20 , 17 , 17 , 1 , 6 , -7 , -7 , -24 , -4 , -3 , 8 , 3 , -10 , 3 , 1 , -9 , 14 , 0 , -11 , 7 , 12 , 6 , 10 , 2 , 6 , 10 , 3 , 4 , 23 , -15 , 15 , 17 , -1 , 3 , -12 , -2 ]  , </v>
      </c>
    </row>
    <row r="386" spans="1:1">
      <c r="A386" s="13" t="str">
        <f>jsRow('symptom factors'!A386:AL386, TRUE )</f>
        <v xml:space="preserve">[ 26 , -17 , 2 , 15 , 26 , 24 , 5 , -22 , -24 , 15 , 11 , 14 , -4 , -9 , -49 , -29 , 34 , -1 , 15 , 56 , -4 , -25 , 51 , 13 , -6 , 16 , 12 , -12 , 8 , 11 , -9 , 28 , -25 , -11 , -16 , 9 , 57 , -29 ]  , </v>
      </c>
    </row>
    <row r="387" spans="1:1">
      <c r="A387" s="13" t="str">
        <f>jsRow('symptom factors'!A387:AL387, TRUE )</f>
        <v xml:space="preserve">[ -5 , 2 , -5 , 8 , 3 , 4 , -2 , -5 , 6 , 1 , -7 , -3 , -4 , 4 , -13 , -1 , 3 , -4 , 18 , 4 , 8 , -10 , -17 , 3 , -3 , 1 , 0 , 5 , 6 , -17 , 3 , 12 , 4 , -4 , 7 , 7 , -7 , 9 ]  , </v>
      </c>
    </row>
    <row r="388" spans="1:1">
      <c r="A388" s="13" t="str">
        <f>jsRow('symptom factors'!A388:AL388, TRUE )</f>
        <v xml:space="preserve">[ -9 , -8 , 14 , 10 , -4 , 8 , 16 , -1 , 0 , -17 , 11 , 0 , 2 , 0 , -15 , 3 , 33 , 11 , 15 , 2 , -31 , -1 , -11 , -7 , 8 , 21 , 25 , 14 , 11 , 18 , 0 , -5 , 8 , 19 , 18 , -5 , -3 , 5 ]  , </v>
      </c>
    </row>
    <row r="389" spans="1:1">
      <c r="A389" s="13" t="str">
        <f>jsRow('symptom factors'!A389:AL389, TRUE )</f>
        <v xml:space="preserve">[ 2 , 7 , -10 , 5 , -10 , 7 , 17 , 13 , -4 , -6 , 18 , 4 , -8 , -1 , -20 , -9 , 16 , -3 , 6 , 13 , -27 , -1 , -15 , -34 , -16 , 24 , 16 , 27 , -10 , 10 , -23 , 1 , 3 , 10 , 9 , -3 , 16 , 2 ]  , </v>
      </c>
    </row>
    <row r="390" spans="1:1">
      <c r="A390" s="13" t="str">
        <f>jsRow('symptom factors'!A390:AL390, TRUE )</f>
        <v xml:space="preserve">[ 38 , -11 , -17 , -3 , -24 , 9 , 36 , 3 , -7 , -6 , 25 , -1 , -18 , -41 , -23 , 6 , 14 , -16 , 2 , 1 , -56 , -62 , -5 , -11 , 17 , 23 , -12 , 24 , -15 , -17 , -13 , 18 , 25 , 31 , 27 , 32 , 11 , 7 ]  , </v>
      </c>
    </row>
    <row r="391" spans="1:1">
      <c r="A391" s="13" t="str">
        <f>jsRow('symptom factors'!A391:AL391, TRUE )</f>
        <v xml:space="preserve">[ 2 , -3 , 1 , 11 , 0 , -6 , -5 , 7 , -4 , 1 , 10 , 2 , -5 , -12 , -5 , 4 , -9 , -13 , -7 , 11 , -24 , -27 , 10 , 4 , 22 , 25 , -9 , 5 , 0 , -7 , 3 , 6 , -19 , 4 , -1 , -8 , -4 , 18 ]  , </v>
      </c>
    </row>
    <row r="392" spans="1:1">
      <c r="A392" s="13" t="str">
        <f>jsRow('symptom factors'!A392:AL392, TRUE )</f>
        <v xml:space="preserve">[ -11 , 10 , -5 , 23 , -2 , -4 , -9 , 2 , 11 , 6 , -26 , -12 , -8 , 14 , 1 , -4 , -3 , 22 , -7 , -5 , 21 , -6 , -5 , -46 , -7 , -6 , 9 , 12 , 2 , -2 , 10 , -4 , 34 , 10 , -8 , -8 , -1 , -9 ]  , </v>
      </c>
    </row>
    <row r="393" spans="1:1">
      <c r="A393" s="13" t="str">
        <f>jsRow('symptom factors'!A393:AL393, TRUE )</f>
        <v xml:space="preserve">[ 1 , 20 , -33 , 1 , -12 , -10 , 19 , 9 , 2 , 17 , 25 , 32 , 8 , -16 , -5 , -31 , 38 , 22 , -12 , 5 , -28 , 1 , 5 , 5 , 26 , -4 , 21 , 11 , -19 , -6 , -1 , -37 , 36 , 26 , 3 , -8 , -13 , 34 ]  , </v>
      </c>
    </row>
    <row r="394" spans="1:1">
      <c r="A394" s="13" t="str">
        <f>jsRow('symptom factors'!A394:AL394, TRUE )</f>
        <v xml:space="preserve">[ -53 , 26 , -2 , 83 , -9 , 15 , 13 , -11 , 5 , 22 , -29 , -17 , -20 , 13 , -2 , -3 , -33 , 9 , 4 , -22 , -10 , 25 , 9 , 4 , -44 , -23 , 0 , 20 , -16 , -27 , 11 , -42 , 32 , -31 , -59 , 18 , 6 , -20 ]  , </v>
      </c>
    </row>
    <row r="395" spans="1:1">
      <c r="A395" s="13" t="str">
        <f>jsRow('symptom factors'!A395:AL395, TRUE )</f>
        <v xml:space="preserve">[ -26 , 34 , 25 , 32 , -9 , 0 , 26 , -15 , 10 , 27 , 7 , -25 , 23 , -47 , 0 , -11 , -45 , 7 , 22 , -24 , 18 , 10 , 46 , -50 , 8 , 4 , 1 , -23 , 8 , 9 , 40 , 4 , 9 , 19 , -36 , 6 , -4 , -7 ]  , </v>
      </c>
    </row>
    <row r="396" spans="1:1">
      <c r="A396" s="13" t="str">
        <f>jsRow('symptom factors'!A396:AL396, TRUE )</f>
        <v xml:space="preserve">[ -10 , 4 , -3 , 15 , -9 , 13 , 10 , 4 , -2 , 23 , -16 , -16 , -23 , -10 , -1 , 1 , -19 , 4 , -1 , 1 , 1 , -15 , -1 , 5 , 9 , 12 , 27 , 6 , 10 , -14 , 7 , 17 , -6 , -6 , -2 , 11 , -5 , -1 ]  , </v>
      </c>
    </row>
    <row r="397" spans="1:1">
      <c r="A397" s="13" t="str">
        <f>jsRow('symptom factors'!A397:AL397, TRUE )</f>
        <v xml:space="preserve">[ -4 , 35 , 17 , 6 , 10 , 0 , 21 , -3 , 20 , 25 , -4 , -6 , -19 , -24 , -4 , -9 , -23 , 34 , 2 , -23 , 23 , 1 , 21 , -34 , -3 , 8 , 5 , -3 , 17 , 24 , 15 , 15 , 0 , -4 , 2 , 13 , -18 , -12 ]  , </v>
      </c>
    </row>
    <row r="398" spans="1:1">
      <c r="A398" s="13" t="str">
        <f>jsRow('symptom factors'!A398:AL398, TRUE )</f>
        <v xml:space="preserve">[ -10 , 10 , 6 , 16 , -1 , 4 , -1 , 3 , -4 , 22 , -11 , -29 , -11 , -10 , 5 , -1 , -19 , 15 , -7 , 4 , -20 , -39 , 11 , -15 , 17 , -2 , 5 , 6 , 38 , -1 , 18 , -11 , -17 , 0 , 2 , 14 , -4 , -9 ]  , </v>
      </c>
    </row>
    <row r="399" spans="1:1">
      <c r="A399" s="13" t="str">
        <f>jsRow('symptom factors'!A399:AL399, TRUE )</f>
        <v xml:space="preserve">[ 37 , 36 , 5 , 53 , -16 , -33 , -5 , 17 , -10 , 51 , 1 , -30 , 9 , 33 , 21 , -2 , -5 , 27 , -25 , -30 , 6 , 46 , 8 , 3 , 21 , -5 , -3 , -20 , -8 , 14 , -32 , 13 , -5 , -8 , -14 , 5 , -7 , 11 ]  , </v>
      </c>
    </row>
    <row r="400" spans="1:1">
      <c r="A400" s="13" t="str">
        <f>jsRow('symptom factors'!A400:AL400, TRUE )</f>
        <v xml:space="preserve">[ -24 , 36 , 36 , 18 , 2 , 3 , 23 , -10 , 7 , 30 , -3 , -41 , 47 , -45 , -15 , -14 , -35 , 7 , 20 , -28 , 39 , 17 , 53 , -59 , 4 , 12 , 2 , -11 , -5 , 25 , 49 , -6 , -3 , 28 , -34 , -10 , 14 , 8 ]  , </v>
      </c>
    </row>
    <row r="401" spans="1:1">
      <c r="A401" s="13" t="str">
        <f>jsRow('symptom factors'!A401:AL401, TRUE )</f>
        <v xml:space="preserve">[ -11 , 40 , -1 , 73 , -9 , 5 , 17 , -4 , -14 , 60 , -23 , -8 , -13 , -17 , 38 , 8 , 1 , 46 , -20 , -14 , 2 , -27 , -26 , -3 , 7 , 14 , -5 , 1 , -2 , -23 , -27 , -16 , -25 , -19 , 5 , 17 , -12 , -13 ]  , </v>
      </c>
    </row>
    <row r="402" spans="1:1">
      <c r="A402" s="13" t="str">
        <f>jsRow('symptom factors'!A402:AL402, TRUE )</f>
        <v xml:space="preserve">[ -7 , 16 , 3 , 44 , -23 , 8 , 24 , 6 , 3 , 33 , -8 , 1 , -10 , -13 , 34 , 13 , 2 , 33 , -5 , -15 , 8 , -33 , -23 , -15 , 32 , 9 , 6 , 4 , 16 , -29 , -14 , -20 , -33 , -1 , 7 , 22 , -33 , -14 ]  , </v>
      </c>
    </row>
    <row r="403" spans="1:1">
      <c r="A403" s="13" t="str">
        <f>jsRow('symptom factors'!A403:AL403, TRUE )</f>
        <v xml:space="preserve">[ -25 , 21 , 25 , 30 , -19 , 2 , 9 , 12 , -7 , 16 , 21 , -11 , 42 , -20 , 9 , -2 , -23 , -9 , -11 , -14 , 24 , -4 , -7 , -26 , -1 , 13 , 6 , -19 , -30 , -11 , -10 , 8 , -11 , 12 , -18 , 10 , -2 , 10 ]  , </v>
      </c>
    </row>
    <row r="404" spans="1:1">
      <c r="A404" s="13" t="str">
        <f>jsRow('symptom factors'!A404:AL404, TRUE )</f>
        <v xml:space="preserve">[ -8 , 5 , 4 , 31 , 5 , -14 , 13 , -1 , -30 , 3 , 9 , 1 , 12 , -2 , 4 , 20 , 0 , 0 , 4 , 7 , 4 , -5 , 12 , 9 , -8 , 18 , 3 , 10 , -30 , 7 , -31 , 17 , -25 , 19 , -2 , 23 , -3 , 31 ]  , </v>
      </c>
    </row>
    <row r="405" spans="1:1">
      <c r="A405" s="13" t="str">
        <f>jsRow('symptom factors'!A405:AL405, TRUE )</f>
        <v xml:space="preserve">[ -6 , 19 , 6 , 10 , -5 , -9 , 2 , 3 , 14 , 1 , 7 , -10 , 28 , -16 , 7 , -10 , -9 , 1 , -5 , -6 , 17 , -15 , -5 , -3 , 0 , 0 , 3 , -19 , -3 , 3 , -12 , 12 , -6 , 18 , 3 , 3 , -10 , -1 ]  , </v>
      </c>
    </row>
    <row r="406" spans="1:1">
      <c r="A406" s="13" t="str">
        <f>jsRow('symptom factors'!A406:AL406, TRUE )</f>
        <v xml:space="preserve">[ -8 , 25 , 8 , -19 , -1 , 3 , -3 , -27 , 3 , -4 , -5 , -21 , 26 , -8 , 11 , -43 , -21 , 8 , 36 , 6 , -19 , 15 , -12 , -24 , 17 , -6 , -11 , -9 , 0 , 33 , 17 , 8 , 15 , -46 , 23 , 1 , -8 , 15 ]  , </v>
      </c>
    </row>
    <row r="407" spans="1:1">
      <c r="A407" s="13" t="str">
        <f>jsRow('symptom factors'!A407:AL407, TRUE )</f>
        <v xml:space="preserve">[ -7 , 20 , 15 , -9 , 2 , 10 , -15 , -10 , 2 , 18 , 5 , -22 , 34 , -2 , -1 , 9 , -24 , 3 , 33 , -12 , -32 , -1 , -31 , -3 , 2 , 2 , -12 , -37 , -9 , 34 , -16 , 5 , 12 , 6 , 2 , 1 , 27 , 9 ]  , </v>
      </c>
    </row>
    <row r="408" spans="1:1">
      <c r="A408" s="13" t="str">
        <f>jsRow('symptom factors'!A408:AL408, TRUE )</f>
        <v xml:space="preserve">[ -14 , 6 , -29 , -24 , 17 , 20 , 6 , -42 , 14 , -3 , -24 , -25 , 15 , 11 , -11 , 18 , -1 , -15 , 8 , -5 , 8 , 16 , -3 , 39 , -1 , 5 , 1 , -23 , -7 , 1 , -5 , 43 , 13 , 4 , -1 , 20 , 4 , 13 ]  , </v>
      </c>
    </row>
    <row r="409" spans="1:1">
      <c r="A409" s="13" t="str">
        <f>jsRow('symptom factors'!A409:AL409, TRUE )</f>
        <v xml:space="preserve">[ -11 , 17 , 0 , -16 , 6 , 8 , -17 , -16 , 2 , 1 , -14 , -25 , 24 , -12 , 4 , 18 , -6 , -8 , 18 , 12 , -12 , 26 , 1 , 25 , 5 , 13 , -4 , -12 , -4 , 12 , -13 , 3 , 21 , 13 , -13 , -3 , 2 , -6 ]  , </v>
      </c>
    </row>
    <row r="410" spans="1:1">
      <c r="A410" s="13" t="str">
        <f>jsRow('symptom factors'!A410:AL410, TRUE )</f>
        <v xml:space="preserve">[ -9 , 5 , 9 , -17 , -5 , 11 , -13 , -8 , -4 , 20 , 4 , -1 , 26 , -1 , 15 , 2 , 9 , 6 , 19 , 4 , -13 , -4 , 4 , -4 , 13 , 4 , -4 , -11 , 13 , 7 , -9 , -15 , 10 , 4 , 14 , -1 , -4 , -3 ]  , </v>
      </c>
    </row>
    <row r="411" spans="1:1">
      <c r="A411" s="13" t="str">
        <f>jsRow('symptom factors'!A411:AL411, TRUE )</f>
        <v xml:space="preserve">[ -10 , -2 , 13 , 5 , 6 , 3 , 2 , -4 , -2 , -6 , -7 , -5 , 12 , 7 , 4 , 9 , 8 , -6 , 17 , 6 , -11 , 10 , 5 , 18 , -3 , -6 , 5 , -2 , 22 , 8 , -3 , -9 , 12 , 20 , 15 , -10 , -10 , 5 ]  , </v>
      </c>
    </row>
    <row r="412" spans="1:1">
      <c r="A412" s="13" t="str">
        <f>jsRow('symptom factors'!A412:AL412, TRUE )</f>
        <v xml:space="preserve">[ -17 , -12 , 15 , -4 , -1 , 3 , -6 , 5 , -19 , 2 , 14 , 13 , 30 , 21 , 11 , -7 , 12 , -15 , 9 , -3 , 7 , 3 , -9 , -2 , 2 , 37 , 16 , -13 , 25 , 17 , 15 , -11 , -13 , -3 , -10 , 3 , 10 , 1 ]  , </v>
      </c>
    </row>
    <row r="413" spans="1:1">
      <c r="A413" s="13" t="str">
        <f>jsRow('symptom factors'!A413:AL413, TRUE )</f>
        <v xml:space="preserve">[ -5 , 1 , -10 , 2 , 16 , 11 , 4 , 21 , 4 , -8 , 11 , 25 , 30 , 22 , -9 , -18 , -9 , -7 , -2 , 23 , -9 , -13 , -41 , -7 , -13 , 52 , 17 , -5 , -3 , 27 , -9 , -2 , -21 , -16 , 23 , -20 , 3 , -33 ]  , </v>
      </c>
    </row>
    <row r="414" spans="1:1">
      <c r="A414" s="13" t="str">
        <f>jsRow('symptom factors'!A414:AL414, TRUE )</f>
        <v xml:space="preserve">[ -32 , 23 , 15 , -17 , 16 , 17 , -16 , -10 , 15 , 43 , 27 , -13 , 18 , -5 , 5 , 4 , -25 , 19 , 23 , 7 , -17 , -19 , 4 , -20 , 20 , 16 , -19 , -18 , 38 , 8 , 5 , 43 , -12 , -22 , 16 , -18 , -7 , 21 ]  , </v>
      </c>
    </row>
    <row r="415" spans="1:1">
      <c r="A415" s="13" t="str">
        <f>jsRow('symptom factors'!A415:AL415, TRUE )</f>
        <v xml:space="preserve">[ 12 , 7 , 0 , -9 , 0 , -11 , 15 , -8 , 29 , -9 , -6 , 10 , -20 , -23 , -17 , -1 , -12 , 20 , -14 , -27 , -5 , -8 , 9 , -12 , -2 , -18 , 19 , -6 , 0 , 24 , -9 , 35 , -1 , -13 , 0 , 9 , -4 , -14 ]  , </v>
      </c>
    </row>
    <row r="416" spans="1:1">
      <c r="A416" s="13" t="str">
        <f>jsRow('symptom factors'!A416:AL416, TRUE )</f>
        <v xml:space="preserve">[ -2 , 9 , -33 , -18 , 7 , 18 , 8 , -6 , 19 , 1 , -12 , -14 , 4 , 10 , -7 , 5 , -3 , -4 , -5 , -5 , -11 , 4 , -18 , 16 , 22 , -4 , 6 , -19 , -20 , 1 , -32 , 17 , 11 , 8 , 2 , 6 , -12 , 12 ]  , </v>
      </c>
    </row>
    <row r="417" spans="1:1">
      <c r="A417" s="13" t="str">
        <f>jsRow('symptom factors'!A417:AL417, TRUE )</f>
        <v xml:space="preserve">[ 39 , 17 , -26 , 15 , -1 , -42 , 17 , 20 , -76 , -16 , 9 , -11 , 10 , 23 , -15 , 11 , -8 , -18 , -2 , 1 , -6 , -26 , 22 , -21 , -5 , 9 , -9 , -29 , 9 , 9 , -12 , 23 , 3 , -10 , -5 , -1 , -19 , -13 ]  , </v>
      </c>
    </row>
    <row r="418" spans="1:1">
      <c r="A418" s="13" t="str">
        <f>jsRow('symptom factors'!A418:AL418, TRUE )</f>
        <v xml:space="preserve">[ 49 , 33 , -23 , 0 , 7 , -46 , 20 , 32 , -78 , -32 , 17 , -19 , 11 , 54 , 11 , 12 , -18 , -9 , 1 , -5 , 17 , -17 , 26 , -1 , 41 , -22 , -15 , -18 , 14 , -4 , 3 , 26 , 34 , -14 , 22 , 0 , 0 , 14 ]  , </v>
      </c>
    </row>
    <row r="419" spans="1:1">
      <c r="A419" s="13" t="str">
        <f>jsRow('symptom factors'!A419:AL419, TRUE )</f>
        <v xml:space="preserve">[ 35 , 18 , -7 , 13 , 18 , -27 , 14 , 23 , -67 , -37 , 8 , -20 , 13 , 44 , 3 , 26 , -12 , -11 , 9 , -11 , 5 , -7 , 31 , 10 , 36 , -14 , -18 , -11 , 16 , -8 , 10 , 17 , 24 , 9 , 20 , -2 , -4 , 24 ]  , </v>
      </c>
    </row>
    <row r="420" spans="1:1">
      <c r="A420" s="13" t="str">
        <f>jsRow('symptom factors'!A420:AL420, TRUE )</f>
        <v xml:space="preserve">[ 7 , 4 , 7 , 15 , 24 , -8 , 5 , 1 , -33 , -35 , 0 , -1 , 10 , 11 , -9 , 13 , -8 , -12 , 12 , -1 , -1 , 3 , 24 , 22 , 14 , 0 , -1 , -12 , 26 , -8 , 22 , -2 , 8 , 17 , 14 , -7 , -6 , 18 ]  , </v>
      </c>
    </row>
    <row r="421" spans="1:1">
      <c r="A421" s="13" t="str">
        <f>jsRow('symptom factors'!A421:AL421, TRUE )</f>
        <v xml:space="preserve">[ 6 , 10 , 9 , 14 , 11 , 7 , 35 , -5 , 1 , 2 , 12 , 9 , -1 , 2 , -27 , 20 , 0 , -7 , -1 , 8 , 0 , 1 , 3 , 13 , 2 , 8 , 13 , -18 , 5 , -5 , 2 , -9 , 2 , 20 , 0 , -2 , -8 , 13 ]  , </v>
      </c>
    </row>
    <row r="422" spans="1:1">
      <c r="A422" s="13" t="str">
        <f>jsRow('symptom factors'!A422:AL422, TRUE )</f>
        <v xml:space="preserve">[ 21 , 20 , -12 , -14 , -32 , -16 , 9 , 2 , -18 , -4 , -4 , -11 , 9 , 26 , -5 , -7 , -8 , -20 , 21 , 1 , -26 , 15 , 2 , -11 , -3 , -12 , 9 , 7 , 8 , -6 , 18 , 4 , 14 , -3 , 14 , 10 , 12 , -25 ]  , </v>
      </c>
    </row>
    <row r="423" spans="1:1">
      <c r="A423" s="13" t="str">
        <f>jsRow('symptom factors'!A423:AL423, TRUE )</f>
        <v xml:space="preserve">[ 29 , 38 , -2 , 11 , -15 , -13 , 16 , 1 , -22 , -7 , 8 , 15 , 13 , -3 , -14 , 6 , 0 , 7 , -2 , 20 , 17 , -3 , -6 , -11 , -10 , 13 , 11 , -12 , -7 , 0 , -9 , 21 , -2 , 2 , -17 , 14 , 4 , 2 ]  , </v>
      </c>
    </row>
    <row r="424" spans="1:1">
      <c r="A424" s="13" t="str">
        <f>jsRow('symptom factors'!A424:AL424, TRUE )</f>
        <v xml:space="preserve">[ 31 , 8 , -6 , -19 , -28 , -10 , 21 , -4 , -9 , -3 , -9 , -22 , 6 , 25 , -7 , 5 , -16 , -8 , 5 , 10 , -11 , 11 , -32 , -11 , -5 , 7 , 5 , -6 , 22 , -28 , 32 , 18 , 3 , -15 , 2 , 7 , -6 , -7 ]  , </v>
      </c>
    </row>
    <row r="425" spans="1:1">
      <c r="A425" s="13" t="str">
        <f>jsRow('symptom factors'!A425:AL425, TRUE )</f>
        <v xml:space="preserve">[ 20 , 14 , 0 , -3 , -9 , -13 , 6 , 7 , -31 , -18 , -4 , -15 , 6 , 35 , -13 , 6 , -7 , -9 , 12 , 7 , -22 , -11 , 5 , -6 , -9 , -13 , -4 , -13 , 13 , 4 , 17 , 9 , 18 , -2 , 9 , -1 , -4 , -25 ]  , </v>
      </c>
    </row>
    <row r="426" spans="1:1">
      <c r="A426" s="13" t="str">
        <f>jsRow('symptom factors'!A426:AL426, TRUE )</f>
        <v xml:space="preserve">[ -16 , 35 , -22 , 16 , -10 , 24 , 22 , 16 , -7 , 36 , -10 , 22 , -21 , 5 , 20 , -1 , 14 , -7 , -27 , -30 , -11 , -4 , 1 , 36 , 20 , 15 , -23 , 33 , 16 , -2 , -6 , 7 , 4 , -48 , 20 , -14 , 21 , 7 ]  , </v>
      </c>
    </row>
    <row r="427" spans="1:1">
      <c r="A427" s="13" t="str">
        <f>jsRow('symptom factors'!A427:AL427, TRUE )</f>
        <v xml:space="preserve">[ -30 , 22 , -21 , 50 , -49 , -8 , -1 , 28 , 6 , 53 , -60 , -3 , -22 , 6 , -1 , -8 , 21 , -20 , -3 , -15 , 2 , 29 , -17 , 47 , -21 , 12 , -12 , 7 , -3 , -2 , 13 , 30 , 9 , -27 , -8 , -25 , 55 , -14 ]  , </v>
      </c>
    </row>
    <row r="428" spans="1:1">
      <c r="A428" s="13" t="str">
        <f>jsRow('symptom factors'!A428:AL428, TRUE )</f>
        <v xml:space="preserve">[ 31 , 33 , -29 , 31 , -48 , -26 , -42 , 16 , -52 , 41 , -33 , -6 , -23 , 51 , 18 , -24 , -1 , -5 , -33 , -36 , -25 , 48 , -25 , 13 , -2 , 1 , -11 , 9 , 10 , 18 , -13 , 13 , 16 , -1 , -22 , -27 , 7 , -11 ]  , </v>
      </c>
    </row>
    <row r="429" spans="1:1">
      <c r="A429" s="13" t="str">
        <f>jsRow('symptom factors'!A429:AL429, TRUE )</f>
        <v xml:space="preserve">[ -5 , 24 , -9 , 28 , -19 , -13 , -51 , 0 , -29 , 16 , -38 , -15 , -25 , 20 , 16 , -23 , -17 , -20 , -36 , -17 , -10 , 31 , -26 , 19 , -20 , -11 , 0 , -4 , 2 , 7 , 1 , 16 , 9 , 17 , -11 , -24 , -4 , 13 ]  , </v>
      </c>
    </row>
    <row r="430" spans="1:1">
      <c r="A430" s="13" t="str">
        <f>jsRow('symptom factors'!A430:AL430, TRUE )</f>
        <v xml:space="preserve">[ 15 , -7 , 18 , 20 , 14 , 12 , -13 , -4 , 20 , -20 , 1 , -7 , 2 , 16 , 1 , 4 , 13 , 0 , 4 , 3 , -15 , 15 , 15 , 18 , 8 , 6 , -11 , -5 , -7 , 3 , -6 , 4 , -8 , 18 , -15 , -1 , -21 , 18 ]  , </v>
      </c>
    </row>
    <row r="431" spans="1:1">
      <c r="A431" s="13" t="str">
        <f>jsRow('symptom factors'!A431:AL431, TRUE )</f>
        <v xml:space="preserve">[ -12 , 36 , -36 , 108 , -41 , 7 , 12 , 21 , 1 , 91 , -58 , 11 , -24 , 15 , 31 , -4 , 38 , 10 , -52 , -14 , 0 , 63 , -21 , 41 , 26 , -9 , -26 , 14 , -16 , -17 , -8 , -19 , 17 , -31 , -5 , -4 , 11 , 19 ]  , </v>
      </c>
    </row>
    <row r="432" spans="1:1">
      <c r="A432" s="13" t="str">
        <f>jsRow('symptom factors'!A432:AL432, TRUE )</f>
        <v xml:space="preserve">[ 9 , 22 , -18 , 67 , -27 , 16 , -7 , 7 , 17 , 60 , -19 , -2 , -9 , 24 , 23 , -14 , 30 , 32 , -45 , -3 , -17 , 61 , 0 , 21 , -15 , 2 , -31 , -12 , -14 , -6 , -10 , -48 , 0 , -26 , 14 , -3 , -7 , 34 ]  , </v>
      </c>
    </row>
    <row r="433" spans="1:1">
      <c r="A433" s="13" t="str">
        <f>jsRow('symptom factors'!A433:AL433, TRUE )</f>
        <v xml:space="preserve">[ 5 , 25 , -29 , -4 , -9 , -5 , 1 , 13 , -9 , 15 , 1 , 29 , 5 , -7 , 2 , -17 , 42 , 9 , 1 , 5 , -20 , -2 , 2 , 6 , 16 , 13 , -4 , 4 , 1 , -9 , 0 , -29 , 16 , 16 , 8 , -8 , -3 , 19 ]  , </v>
      </c>
    </row>
    <row r="434" spans="1:1">
      <c r="A434" s="13" t="str">
        <f>jsRow('symptom factors'!A434:AL434, TRUE )</f>
        <v xml:space="preserve">[ -25 , 9 , -18 , 38 , -29 , -3 , 3 , 17 , -1 , 42 , -44 , -10 , -22 , 0 , 1 , -3 , 22 , -15 , 4 , -5 , 9 , 19 , -2 , 29 , -8 , 7 , -5 , 5 , -1 , -1 , 9 , 33 , 10 , -16 , 7 , -23 , 31 , -10 ]  , </v>
      </c>
    </row>
    <row r="435" spans="1:1">
      <c r="A435" s="13" t="str">
        <f>jsRow('symptom factors'!A435:AL435, TRUE )</f>
        <v xml:space="preserve">[ -2 , -25 , -46 , -10 , 1 , -2 , -3 , 7 , 20 , 23 , 14 , -12 , -20 , 25 , 3 , -29 , -14 , -7 , -11 , -18 , -11 , -54 , 6 , -9 , 12 , 29 , 25 , 0 , 9 , 21 , -12 , 17 , 1 , -20 , -16 , -2 , -25 , -6 ]  , </v>
      </c>
    </row>
    <row r="436" spans="1:1">
      <c r="A436" s="13" t="str">
        <f>jsRow('symptom factors'!A436:AL436, TRUE )</f>
        <v xml:space="preserve">[ 20 , 4 , -58 , -32 , -37 , 38 , -26 , 1 , 22 , 1 , 16 , -16 , -13 , 17 , -34 , 2 , 4 , -20 , 17 , -34 , -49 , 5 , -11 , -3 , 37 , 2 , -33 , -8 , -25 , -17 , -8 , 30 , -26 , -3 , -3 , 33 , 52 , 25 ]  , </v>
      </c>
    </row>
    <row r="437" spans="1:1">
      <c r="A437" s="13" t="str">
        <f>jsRow('symptom factors'!A437:AL437, TRUE )</f>
        <v xml:space="preserve">[ 23 , -11 , -19 , 1 , 0 , 22 , -6 , 35 , 26 , 3 , 20 , -35 , -12 , 27 , 13 , 2 , -4 , 11 , -1 , -19 , -13 , 2 , -11 , 3 , 27 , -15 , 7 , -5 , -21 , 16 , -22 , 7 , -27 , -6 , -4 , 9 , 6 , -5 ]  , </v>
      </c>
    </row>
    <row r="438" spans="1:1">
      <c r="A438" s="13" t="str">
        <f>jsRow('symptom factors'!A438:AL438, TRUE )</f>
        <v xml:space="preserve">[ -8 , 16 , -12 , -36 , 0 , 11 , -1 , 5 , 9 , 6 , 5 , -19 , -38 , 10 , 3 , -3 , -1 , 19 , 28 , -47 , -26 , -41 , 12 , 4 , 15 , 4 , -18 , 6 , -1 , 45 , -15 , 33 , -17 , -30 , 4 , -10 , 1 , 27 ]  , </v>
      </c>
    </row>
    <row r="439" spans="1:1">
      <c r="A439" s="13" t="str">
        <f>jsRow('symptom factors'!A439:AL439, TRUE )</f>
        <v xml:space="preserve">[ 2 , -7 , -34 , -28 , -10 , 3 , -4 , 14 , 39 , 11 , 14 , -3 , -10 , 24 , 1 , -20 , -56 , -7 , -43 , -17 , 24 , -19 , 24 , -15 , 18 , -10 , 48 , 29 , 4 , 40 , -40 , -3 , 4 , 18 , -24 , -41 , 5 , 5 ]  , </v>
      </c>
    </row>
    <row r="440" spans="1:1">
      <c r="A440" s="13" t="str">
        <f>jsRow('symptom factors'!A440:AL440, TRUE )</f>
        <v xml:space="preserve">[ -12 , 1 , -23 , -18 , 22 , 19 , 10 , -14 , -5 , -5 , -9 , -21 , 5 , -2 , -1 , 10 , 5 , -4 , -16 , -6 , -6 , 2 , 21 , 8 , 7 , 29 , -5 , 18 , -17 , -9 , -19 , 2 , -12 , -7 , -12 , -10 , -8 , 22 ]  , </v>
      </c>
    </row>
    <row r="441" spans="1:1">
      <c r="A441" s="13" t="str">
        <f>jsRow('symptom factors'!A441:AL441, TRUE )</f>
        <v xml:space="preserve">[ -11 , 12 , -60 , -45 , 21 , 25 , 9 , -57 , -2 , 2 , -17 , -58 , 18 , 20 , -5 , 25 , 25 , -1 , -38 , -6 , 10 , 5 , 3 , -8 , 26 , 30 , 4 , 21 , -2 , -8 , -34 , -1 , 7 , -2 , -22 , 5 , -15 , -7 ]  , </v>
      </c>
    </row>
    <row r="442" spans="1:1">
      <c r="A442" s="13" t="str">
        <f>jsRow('symptom factors'!A442:AL442, TRUE )</f>
        <v xml:space="preserve">[ -6 , 1 , 9 , 4 , 19 , 8 , 7 , 17 , -3 , -14 , -4 , -5 , 9 , 5 , 3 , 3 , 1 , -7 , 2 , 0 , -9 , -6 , 1 , 2 , -13 , 2 , 6 , 19 , -12 , -16 , -9 , -9 , 1 , 4 , -4 , -15 , -1 , 15 ]  , </v>
      </c>
    </row>
    <row r="443" spans="1:1">
      <c r="A443" s="13" t="str">
        <f>jsRow('symptom factors'!A443:AL443, TRUE )</f>
        <v xml:space="preserve">[ 24 , 16 , -26 , -31 , 13 , 44 , -24 , 41 , 63 , 11 , 30 , -10 , 11 , 43 , 16 , 17 , -62 , -3 , -8 , -20 , -7 , 2 , 22 , 27 , 37 , -6 , 17 , -2 , -18 , 32 , -28 , -37 , 12 , -7 , -16 , 0 , 6 , 45 ]  , </v>
      </c>
    </row>
    <row r="444" spans="1:1">
      <c r="A444" s="13" t="str">
        <f>jsRow('symptom factors'!A444:AL444, TRUE )</f>
        <v xml:space="preserve">[ -30 , 5 , -4 , -52 , 30 , 13 , -7 , 6 , 19 , 38 , 37 , -30 , -1 , 42 , 15 , -17 , -15 , 61 , 37 , -9 , -2 , -2 , 36 , 12 , -1 , -54 , 1 , -24 , 25 , 62 , 1 , -54 , -7 , 39 , -44 , 63 , 21 , 70 ]  , </v>
      </c>
    </row>
    <row r="445" spans="1:1">
      <c r="A445" s="13" t="str">
        <f>jsRow('symptom factors'!A445:AL445, TRUE )</f>
        <v xml:space="preserve">[ -13 , -30 , -50 , -4 , 5 , 17 , -5 , 4 , 25 , 16 , 19 , 3 , -28 , 48 , 14 , -32 , -66 , 7 , -29 , -5 , -9 , -41 , 16 , 13 , 13 , 18 , 68 , 37 , 14 , 52 , -42 , 2 , 29 , -42 , -21 , -26 , 3 , 7 ]  , </v>
      </c>
    </row>
    <row r="446" spans="1:1">
      <c r="A446" s="13" t="str">
        <f>jsRow('symptom factors'!A446:AL446, TRUE )</f>
        <v xml:space="preserve">[ -8 , 10 , -40 , -34 , -32 , 45 , -40 , -10 , 47 , 4 , 43 , 55 , 1 , 40 , -11 , 7 , -127 , -50 , 22 , -1 , -69 , 6 , 37 , 23 , 29 , 0 , 18 , 16 , -32 , 14 , -59 , 6 , -2 , -22 , -19 , -23 , 35 , 80 ]  , </v>
      </c>
    </row>
    <row r="447" spans="1:1">
      <c r="A447" s="13" t="str">
        <f>jsRow('symptom factors'!A447:AL447, TRUE )</f>
        <v xml:space="preserve">[ -14 , -50 , -36 , -23 , 11 , 23 , 10 , -15 , 7 , 11 , 2 , -46 , -30 , 2 , -6 , 27 , 15 , 15 , -36 , 3 , 39 , 7 , -29 , 10 , -10 , -50 , 31 , 44 , 22 , 0 , 16 , -5 , -35 , 0 , -54 , 38 , -4 , 3 ]  , </v>
      </c>
    </row>
    <row r="448" spans="1:1">
      <c r="A448" s="13" t="str">
        <f>jsRow('symptom factors'!A448:AL448, TRUE )</f>
        <v xml:space="preserve">[ 2 , -4 , 2 , 13 , -9 , -1 , -16 , 1 , 7 , -6 , 13 , -7 , 2 , 9 , -13 , 4 , -3 , -25 , -17 , 8 , -1 , -1 , 7 , -13 , -21 , 12 , -36 , -20 , 16 , 19 , 8 , -12 , -8 , 22 , -19 , 7 , -19 , 47 ]  , </v>
      </c>
    </row>
    <row r="449" spans="1:1">
      <c r="A449" s="13" t="str">
        <f>jsRow('symptom factors'!A449:AL449, TRUE )</f>
        <v xml:space="preserve">[ 6 , -6 , -25 , 7 , 19 , 0 , -33 , 33 , 0 , 9 , 27 , 25 , 15 , -40 , -4 , -11 , 21 , 26 , -3 , -8 , -4 , -7 , 9 , 1 , -7 , 6 , -11 , 8 , 29 , -30 , -11 , 18 , 37 , 31 , -23 , 5 , -16 , -33 ]  , </v>
      </c>
    </row>
    <row r="450" spans="1:1">
      <c r="A450" s="13" t="str">
        <f>jsRow('symptom factors'!A450:AL450, TRUE )</f>
        <v xml:space="preserve">[ -6 , -19 , -15 , 11 , 6 , -34 , 9 , 22 , 22 , -25 , -6 , -9 , -6 , -1 , -17 , 20 , -8 , 3 , 18 , 4 , 4 , 1 , -10 , -2 , 11 , -7 , 22 , -21 , -36 , -15 , 10 , -30 , -21 , -32 , 2 , -4 , 18 , -2 ]  , </v>
      </c>
    </row>
    <row r="451" spans="1:1">
      <c r="A451" s="13" t="str">
        <f>jsRow('symptom factors'!A451:AL451, TRUE )</f>
        <v xml:space="preserve">[ 4 , -20 , -26 , 1 , 10 , -44 , 14 , 33 , 18 , -28 , -18 , 0 , 6 , -17 , -35 , 28 , -1 , 15 , 13 , 16 , -6 , 5 , -6 , -18 , -8 , -19 , 30 , -30 , -58 , -21 , 15 , -35 , -30 , -33 , -8 , -15 , 23 , 13 ]  , </v>
      </c>
    </row>
    <row r="452" spans="1:1">
      <c r="A452" s="13" t="str">
        <f>jsRow('symptom factors'!A452:AL452, TRUE )</f>
        <v xml:space="preserve">[ 6 , -3 , -23 , 2 , 24 , 0 , -30 , 29 , -1 , 21 , 39 , 31 , 17 , -47 , 3 , -17 , 31 , 21 , -8 , -5 , -13 , -5 , -2 , 2 , -3 , 8 , -8 , 33 , 27 , -19 , -12 , 15 , 34 , 46 , -32 , 11 , -25 , -26 ]  , </v>
      </c>
    </row>
    <row r="453" spans="1:1">
      <c r="A453" s="13" t="str">
        <f>jsRow('symptom factors'!A453:AL453, TRUE )</f>
        <v xml:space="preserve">[ -4 , -13 , -23 , 7 , 49 , -22 , -10 , 29 , 14 , -1 , 24 , 2 , 7 , -25 , -12 , 8 , 20 , 29 , 13 , -12 , -25 , 21 , -16 , 19 , 10 , 5 , 21 , 6 , 17 , -10 , 9 , -5 , 29 , 19 , 4 , -6 , -22 , -8 ]  , </v>
      </c>
    </row>
    <row r="454" spans="1:1">
      <c r="A454" s="13" t="str">
        <f>jsRow('symptom factors'!A454:AL454, TRUE )</f>
        <v xml:space="preserve">[ -35 , -32 , -13 , -8 , 18 , -22 , -20 , 23 , -7 , 29 , 11 , -23 , 7 , -47 , 2 , 5 , 15 , 1 , 27 , 10 , -45 , 9 , -24 , 13 , -3 , 6 , 8 , -5 , 0 , -2 , 6 , 29 , -8 , -17 , 7 , -21 , 18 , 3 ]  , </v>
      </c>
    </row>
    <row r="455" spans="1:1">
      <c r="A455" s="13" t="str">
        <f>jsRow('symptom factors'!A455:AL455, TRUE )</f>
        <v xml:space="preserve">[ -15 , 10 , 6 , 10 , 17 , -10 , 11 , 23 , 7 , -3 , 25 , -8 , 25 , -35 , 9 , 6 , 21 , 24 , -15 , -26 , 30 , -33 , -18 , 19 , 4 , -7 , 9 , 2 , -8 , -8 , -10 , 67 , 3 , -16 , 29 , 5 , 26 , 23 ]  , </v>
      </c>
    </row>
    <row r="456" spans="1:1">
      <c r="A456" s="13" t="str">
        <f>jsRow('symptom factors'!A456:AL456, TRUE )</f>
        <v xml:space="preserve">[ 12 , 0 , -5 , -1 , 50 , -38 , -2 , 27 , -12 , -11 , -3 , -23 , 31 , -46 , 24 , 8 , -15 , 28 , -8 , -29 , 32 , -2 , 17 , 16 , 13 , -7 , 9 , 24 , -20 , -31 , 25 , -4 , -7 , 8 , 10 , -53 , 17 , 59 ]  , </v>
      </c>
    </row>
    <row r="457" spans="1:1">
      <c r="A457" s="13" t="str">
        <f>jsRow('symptom factors'!A457:AL457, TRUE )</f>
        <v xml:space="preserve">[ 12 , -14 , -22 , -20 , 55 , -17 , -10 , 55 , -10 , 14 , 21 , -26 , 40 , -62 , 8 , 19 , 13 , 40 , 5 , 29 , -5 , 18 , 15 , 32 , 0 , -24 , -5 , -1 , -10 , -17 , 41 , 23 , 11 , -32 , -11 , -8 , 8 , -2 ]  , </v>
      </c>
    </row>
    <row r="458" spans="1:1">
      <c r="A458" s="13" t="str">
        <f>jsRow('symptom factors'!A458:AL458, TRUE )</f>
        <v xml:space="preserve">[ -16 , -5 , 6 , -26 , 27 , -26 , -22 , 28 , -24 , 18 , 18 , -18 , 8 , -26 , 3 , -2 , 14 , 26 , -2 , 16 , -19 , 21 , -4 , 22 , -9 , -2 , -9 , -19 , 30 , -2 , 3 , 1 , 18 , 3 , -29 , -13 , 35 , 8 ]  , </v>
      </c>
    </row>
    <row r="459" spans="1:1">
      <c r="A459" s="13" t="str">
        <f>jsRow('symptom factors'!A459:AL459, TRUE )</f>
        <v xml:space="preserve">[ 24 , -16 , -29 , 12 , 48 , 14 , -29 , 65 , 26 , -3 , 22 , -10 , 7 , -38 , 0 , 24 , -11 , 11 , 20 , 2 , 5 , 26 , -17 , -6 , 12 , 5 , -1 , -10 , -7 , -47 , 9 , -9 , -11 , -5 , 6 , -2 , 0 , -31 ]  , </v>
      </c>
    </row>
    <row r="460" spans="1:1">
      <c r="A460" s="13" t="str">
        <f>jsRow('symptom factors'!A460:AL460, TRUE )</f>
        <v xml:space="preserve">[ -6 , 3 , 3 , 0 , 10 , -20 , 24 , 25 , -9 , 6 , -12 , -5 , 22 , -1 , 31 , -3 , 0 , 5 , 6 , 13 , 27 , -34 , -9 , 0 , 8 , 24 , 10 , -2 , -34 , 0 , -34 , 9 , -3 , 13 , 2 , 13 , -39 , 6 ]  , </v>
      </c>
    </row>
    <row r="461" spans="1:1">
      <c r="A461" s="13" t="str">
        <f>jsRow('symptom factors'!A461:AL461, TRUE )</f>
        <v xml:space="preserve">[ 11 , -32 , 19 , -22 , -26 , -6 , 15 , -3 , -24 , 2 , -17 , -17 , -19 , -34 , -5 , -19 , -22 , 20 , -23 , -14 , 35 , -31 , -43 , 21 , -6 , 34 , -7 , -28 , -29 , -1 , -10 , -31 , 42 , 17 , -14 , -3 , 39 , 4 ]  , </v>
      </c>
    </row>
    <row r="462" spans="1:1">
      <c r="A462" s="13" t="str">
        <f>jsRow('symptom factors'!A462:AL462, TRUE )</f>
        <v xml:space="preserve">[ 32 , -33 , 42 , -17 , 23 , -18 , -17 , 10 , -9 , 28 , 4 , 21 , 22 , -12 , 1 , -18 , 4 , 3 , -28 , -40 , 34 , -8 , -13 , 17 , 10 , 46 , 13 , -2 , -4 , -31 , -15 , -16 , 77 , -23 , -12 , 39 , 60 , -26 ]  , </v>
      </c>
    </row>
    <row r="463" spans="1:1">
      <c r="A463" s="13" t="str">
        <f>jsRow('symptom factors'!A463:AL463, TRUE )</f>
        <v xml:space="preserve">[ -2 , -17 , -1 , -12 , -15 , -12 , 12 , 9 , -7 , -10 , -3 , -19 , -18 , -28 , -11 , 1 , -5 , 32 , -19 , 1 , 7 , -1 , -25 , 13 , -6 , -4 , 5 , -44 , -10 , 22 , -13 , -26 , 6 , -10 , -11 , -8 , 13 , 21 ]  , </v>
      </c>
    </row>
    <row r="464" spans="1:1">
      <c r="A464" s="13" t="str">
        <f>jsRow('symptom factors'!A464:AL464, TRUE )</f>
        <v xml:space="preserve">[ -1 , 20 , 6 , -51 , 11 , 6 , 15 , 36 , -4 , 27 , -21 , 2 , -12 , -4 , -4 , 5 , -1 , -19 , 3 , -2 , 12 , -1 , 20 , -29 , -11 , -14 , -19 , 4 , -17 , -28 , -37 , 7 , 4 , -8 , -24 , -13 , -6 , -7 ]  , </v>
      </c>
    </row>
    <row r="465" spans="1:1">
      <c r="A465" s="13" t="str">
        <f>jsRow('symptom factors'!A465:AL465, TRUE )</f>
        <v xml:space="preserve">[ -7 , 12 , 32 , -65 , 29 , -11 , 20 , 57 , -1 , 70 , -34 , 10 , -19 , 9 , -39 , 4 , -2 , -36 , 21 , 20 , 25 , 16 , 13 , 13 , -11 , 9 , -19 , -11 , -13 , -6 , -7 , -33 , 14 , 4 , 14 , 18 , -20 , 15 ]  , </v>
      </c>
    </row>
    <row r="466" spans="1:1">
      <c r="A466" s="13" t="str">
        <f>jsRow('symptom factors'!A466:AL466, TRUE )</f>
        <v xml:space="preserve">[ -15 , 15 , 39 , -52 , 25 , -20 , 14 , 46 , 0 , 61 , -25 , 11 , -25 , 15 , -25 , -1 , -5 , -39 , 14 , -6 , 1 , -2 , 7 , 26 , -10 , 11 , 0 , 8 , 7 , 7 , -23 , -4 , -9 , 19 , 14 , 9 , -15 , -2 ]  , </v>
      </c>
    </row>
    <row r="467" spans="1:1">
      <c r="A467" s="13" t="str">
        <f>jsRow('symptom factors'!A467:AL467, TRUE )</f>
        <v xml:space="preserve">[ -7 , 5 , 26 , -28 , 18 , -12 , 5 , 25 , -3 , 31 , -14 , 12 , -25 , 15 , -16 , -4 , 3 , -15 , 1 , -15 , 15 , 2 , 0 , 13 , 2 , 17 , 11 , 3 , 6 , -4 , -16 , 3 , -10 , 7 , 17 , 9 , -18 , 1 ]  , </v>
      </c>
    </row>
    <row r="468" spans="1:1">
      <c r="A468" s="13" t="str">
        <f>jsRow('symptom factors'!A468:AL468, TRUE )</f>
        <v xml:space="preserve">[ -5 , -8 , 23 , -33 , 27 , -5 , 26 , 42 , -5 , 29 , -29 , 4 , -5 , 14 , -18 , 18 , -12 , -7 , 5 , 1 , -4 , 18 , 8 , 17 , -17 , 18 , -15 , -11 , -17 , 7 , 7 , -16 , 7 , -1 , 12 , 4 , -19 , 0 ]  , </v>
      </c>
    </row>
    <row r="469" spans="1:1">
      <c r="A469" s="13" t="str">
        <f>jsRow('symptom factors'!A469:AL469, TRUE )</f>
        <v xml:space="preserve">[ 12 , -1 , 29 , -28 , 10 , 0 , 15 , 26 , 3 , 33 , -28 , 0 , -34 , 9 , -7 , 10 , 8 , 1 , 7 , 26 , 27 , -7 , -21 , 5 , -17 , -4 , 14 , 13 , 2 , -5 , 3 , -6 , -3 , 4 , 15 , -2 , -42 , -9 ]  , </v>
      </c>
    </row>
    <row r="470" spans="1:1">
      <c r="A470" s="13" t="str">
        <f>jsRow('symptom factors'!A470:AL470, TRUE )</f>
        <v xml:space="preserve">[ 4 , -9 , 18 , -7 , 0 , -2 , 1 , 9 , 7 , 23 , -21 , 25 , -36 , -6 , -2 , 27 , 19 , -5 , 0 , 31 , -8 , 10 , -24 , -17 , -28 , 29 , -7 , -38 , -14 , 17 , 4 , 0 , -17 , 4 , 13 , -23 , 2 , 23 ]  , </v>
      </c>
    </row>
    <row r="471" spans="1:1">
      <c r="A471" s="13" t="str">
        <f>jsRow('symptom factors'!A471:AL471, TRUE )</f>
        <v xml:space="preserve">[ 2 , 34 , 17 , -58 , -15 , 0 , 16 , 11 , 0 , 25 , -30 , -4 , 12 , 4 , -1 , 15 , -1 , -11 , 1 , 2 , -9 , 5 , 1 , -32 , -19 , -29 , -2 , -12 , 13 , -20 , -10 , -14 , -17 , 4 , -13 , 5 , 27 , -7 ]  , </v>
      </c>
    </row>
    <row r="472" spans="1:1">
      <c r="A472" s="13" t="str">
        <f>jsRow('symptom factors'!A472:AL472, TRUE )</f>
        <v xml:space="preserve">[ 9 , -8 , -1 , -12 , 0 , 6 , 15 , 10 , -12 , 3 , -14 , 12 , 13 , 2 , -9 , 4 , -11 , 3 , -1 , -13 , -5 , 8 , -16 , -24 , -21 , 8 , -16 , 18 , 1 , 14 , -9 , 19 , -33 , -16 , -37 , -13 , -2 , -18 ]  , </v>
      </c>
    </row>
    <row r="473" spans="1:1">
      <c r="A473" s="13" t="str">
        <f>jsRow('symptom factors'!A473:AL473, TRUE )</f>
        <v xml:space="preserve">[ -2 , 18 , -1 , -48 , -3 , -6 , 5 , 30 , -11 , 24 , -9 , 11 , 2 , -1 , -7 , -4 , 21 , -3 , 7 , 20 , -1 , 16 , 16 , -6 , 2 , -15 , -18 , -1 , -1 , -13 , -23 , -20 , 12 , -3 , -4 , -17 , -7 , 12 ]  , </v>
      </c>
    </row>
    <row r="474" spans="1:1">
      <c r="A474" s="13" t="str">
        <f>jsRow('symptom factors'!A474:AL474, TRUE )</f>
        <v xml:space="preserve">[ 1 , 25 , 14 , -30 , -2 , 2 , -4 , 11 , -15 , -4 , -19 , 15 , 11 , -10 , -2 , 20 , -8 , -9 , 26 , 4 , -15 , -14 , 12 , -29 , -22 , -14 , -19 , 3 , -13 , -8 , -9 , 6 , 0 , -21 , -28 , -26 , 7 , -11 ]  , </v>
      </c>
    </row>
    <row r="475" spans="1:1">
      <c r="A475" s="13" t="str">
        <f>jsRow('symptom factors'!A475:AL475, TRUE )</f>
        <v xml:space="preserve">[ -3 , -5 , -9 , -38 , -10 , 5 , 8 , 19 , -12 , 3 , -22 , 19 , -13 , 3 , -9 , 17 , 1 , 3 , -34 , 19 , 30 , 3 , 16 , -34 , -4 , -6 , -20 , -10 , -14 , 13 , -15 , -1 , -6 , 14 , 2 , -37 , 20 , 0 ]  , </v>
      </c>
    </row>
    <row r="476" spans="1:1">
      <c r="A476" s="13" t="str">
        <f>jsRow('symptom factors'!A476:AL476, TRUE )</f>
        <v xml:space="preserve">[ 15 , 6 , 13 , 17 , -5 , 14 , 10 , 5 , 10 , -13 , 9 , -6 , -4 , 6 , 7 , 12 , 11 , -7 , 9 , -4 , 11 , 10 , 5 , -2 , -12 , 18 , 3 , -8 , 3 , 8 , 21 , 5 , -1 , 0 , 11 , -4 , 17 , -4 ]  , </v>
      </c>
    </row>
    <row r="477" spans="1:1">
      <c r="A477" s="13" t="str">
        <f>jsRow('symptom factors'!A477:AL477, TRUE )</f>
        <v xml:space="preserve">[ 0 , 10 , -3 , -6 , 0 , 8 , 2 , 6 , 4 , -12 , -7 , 7 , -8 , -7 , -7 , -8 , -7 , -5 , 4 , -2 , 18 , 19 , -1 , -2 , 0 , -6 , -11 , 6 , 12 , -6 , 3 , -18 , -6 , -14 , -19 , 15 , -13 , 1 ]  , </v>
      </c>
    </row>
    <row r="478" spans="1:1">
      <c r="A478" s="13" t="str">
        <f>jsRow('symptom factors'!A478:AL478, TRUE )</f>
        <v xml:space="preserve">[ 6 , -2 , -3 , 5 , -5 , 22 , 31 , 9 , -1 , -26 , -1 , -5 , -12 , -9 , 11 , -5 , 0 , 0 , 19 , -19 , 14 , 24 , 10 , -8 , -2 , 21 , -3 , 9 , 13 , 9 , 6 , -3 , -7 , -10 , 13 , -3 , 17 , -9 ]  , </v>
      </c>
    </row>
    <row r="479" spans="1:1">
      <c r="A479" s="13" t="str">
        <f>jsRow('symptom factors'!A479:AL479, TRUE )</f>
        <v xml:space="preserve">[ 10 , -6 , -25 , -20 , 0 , 42 , 30 , 0 , -2 , -19 , -18 , -14 , -16 , -5 , 20 , 4 , 11 , -15 , 1 , -29 , 15 , 7 , 1 , 2 , 8 , 36 , -19 , 11 , 3 , -6 , -9 , 6 , -3 , -19 , 5 , 5 , 15 , -23 ]  , </v>
      </c>
    </row>
    <row r="480" spans="1:1">
      <c r="A480" s="13" t="str">
        <f>jsRow('symptom factors'!A480:AL480, TRUE )</f>
        <v xml:space="preserve">[ -6 , -27 , -31 , -43 , 23 , 25 , 29 , 31 , -13 , 1 , -5 , 4 , -46 , -27 , 41 , -6 , -9 , 13 , -8 , -5 , 18 , 22 , 10 , 1 , 11 , -6 , -4 , -46 , -12 , -21 , 26 , 8 , 14 , -4 , -42 , 58 , 5 , -30 ]  , </v>
      </c>
    </row>
    <row r="481" spans="1:1">
      <c r="A481" s="13" t="str">
        <f>jsRow('symptom factors'!A481:AL481, TRUE )</f>
        <v xml:space="preserve">[ -4 , -2 , 6 , 0 , 0 , 9 , -1 , 8 , 0 , -5 , 6 , 4 , -12 , -2 , 16 , -2 , 13 , -4 , 11 , -13 , 10 , -4 , 4 , 7 , 0 , 13 , 9 , -5 , 12 , 7 , -1 , 9 , -4 , -8 , -2 , 0 , 6 , -12 ]  , </v>
      </c>
    </row>
    <row r="482" spans="1:1">
      <c r="A482" s="13" t="str">
        <f>jsRow('symptom factors'!A482:AL482, TRUE )</f>
        <v xml:space="preserve">[ 1 , 1 , -9 , -28 , 8 , 31 , 26 , 16 , -3 , -29 , -7 , 16 , -23 , -21 , 49 , -19 , 5 , -8 , -9 , -18 , 14 , 14 , -3 , 1 , 11 , 0 , -17 , -16 , 0 , -2 , 17 , 6 , -8 , -17 , -6 , 34 , 16 , -29 ]  , </v>
      </c>
    </row>
    <row r="483" spans="1:1">
      <c r="A483" s="13" t="str">
        <f>jsRow('symptom factors'!A483:AL483, TRUE )</f>
        <v xml:space="preserve">[ 4 , 4 , -14 , -13 , 12 , 19 , 4 , 26 , -6 , -12 , -1 , -3 , -9 , -2 , 21 , -3 , -6 , 2 , 3 , 13 , 20 , 4 , 1 , -1 , 6 , 12 , 2 , -19 , 2 , -5 , 4 , 15 , -16 , -9 , 13 , 4 , -3 , -10 ]  , </v>
      </c>
    </row>
    <row r="484" spans="1:1">
      <c r="A484" s="13" t="str">
        <f>jsRow('symptom factors'!A484:AL484, TRUE )</f>
        <v xml:space="preserve">[ 0 , -4 , 1 , 7 , 9 , 10 , -3 , -7 , -2 , -9 , -2 , 3 , -11 , 0 , 15 , -7 , 2 , 1 , 4 , 4 , 13 , -6 , 4 , 15 , 8 , -11 , -10 , -15 , 1 , -10 , -2 , -7 , 5 , 2 , -27 , 11 , -6 , 0 ]  , </v>
      </c>
    </row>
    <row r="485" spans="1:1">
      <c r="A485" s="13" t="str">
        <f>jsRow('symptom factors'!A485:AL485, TRUE )</f>
        <v xml:space="preserve">[ -5 , -4 , 10 , 10 , 22 , 15 , 10 , -12 , -7 , -17 , -7 , 7 , -18 , 7 , 9 , 13 , 6 , -3 , 5 , 0 , -8 , -5 , 8 , 19 , 8 , 4 , -12 , -2 , 11 , 0 , 15 , -8 , -1 , 12 , 5 , 5 , 4 , 10 ]  , </v>
      </c>
    </row>
    <row r="486" spans="1:1">
      <c r="A486" s="13" t="str">
        <f>jsRow('symptom factors'!A486:AL486, TRUE )</f>
        <v xml:space="preserve">[ -12 , -7 , 6 , 7 , 16 , -4 , 8 , -7 , -3 , -20 , -6 , 17 , -15 , -3 , 24 , 3 , -8 , -16 , -5 , 8 , -22 , 4 , 11 , 9 , 2 , -8 , -3 , -18 , -1 , -3 , 2 , 4 , 12 , 22 , 8 , 11 , -7 , 7 ]  , </v>
      </c>
    </row>
    <row r="487" spans="1:1">
      <c r="A487" s="13" t="str">
        <f>jsRow('symptom factors'!A487:AL487, TRUE )</f>
        <v xml:space="preserve">[ -3 , -4 , -12 , 2 , 13 , -8 , 13 , -19 , -7 , 10 , 25 , 12 , -25 , -5 , -3 , -3 , 6 , -6 , -5 , -3 , 1 , 17 , -11 , -17 , 9 , 21 , -25 , 1 , 14 , 25 , 13 , -4 , 4 , 5 , -8 , -21 , 14 , -8 ]  , </v>
      </c>
    </row>
    <row r="488" spans="1:1">
      <c r="A488" s="13" t="str">
        <f>jsRow('symptom factors'!A488:AL488, TRUE )</f>
        <v xml:space="preserve">[ 19 , 2 , -21 , -8 , -40 , -17 , 6 , 3 , 6 , 6 , 28 , -7 , 5 , 9 , 1 , 6 , 4 , -33 , 4 , -7 , 28 , 16 , -8 , -13 , -9 , 2 , -7 , 4 , 11 , -15 , 13 , -32 , 11 , 3 , -15 , 15 , -5 , 1 ]  , </v>
      </c>
    </row>
    <row r="489" spans="1:1">
      <c r="A489" s="13" t="str">
        <f>jsRow('symptom factors'!A489:AL489, TRUE )</f>
        <v xml:space="preserve">[ -9 , -10 , 9 , 5 , -26 , -2 , -2 , 12 , -2 , -6 , 22 , -18 , 9 , 1 , -2 , -2 , 6 , -29 , -14 , -11 , 27 , 3 , -8 , -8 , -8 , -13 , -20 , -1 , 24 , 6 , -1 , -14 , -14 , 15 , -23 , -1 , 23 , -6 ]  , </v>
      </c>
    </row>
    <row r="490" spans="1:1">
      <c r="A490" s="13" t="str">
        <f>jsRow('symptom factors'!A490:AL490, TRUE )</f>
        <v xml:space="preserve">[ 73 , -3 , 41 , 16 , -3 , 14 , -18 , 8 , 50 , 6 , 28 , -35 , -15 , 27 , 24 , 21 , 22 , -10 , -19 , 30 , -10 , -15 , 25 , 2 , -35 , 15 , -12 , 1 , -32 , -7 , 9 , 25 , 26 , 0 , -17 , -9 , 4 , 11 ]  , </v>
      </c>
    </row>
    <row r="491" spans="1:1">
      <c r="A491" s="13" t="str">
        <f>jsRow('symptom factors'!A491:AL491, TRUE )</f>
        <v xml:space="preserve">[ 45 , -12 , 36 , -1 , -11 , 10 , 2 , -16 , 2 , 2 , -18 , -25 , 4 , -34 , 55 , 12 , -16 , -8 , 15 , 19 , -35 , -19 , -31 , 19 , 6 , 24 , -25 , 15 , 8 , -15 , 10 , -10 , -7 , 5 , 9 , 0 , -7 , 35 ]  , </v>
      </c>
    </row>
    <row r="492" spans="1:1">
      <c r="A492" s="13" t="str">
        <f>jsRow('symptom factors'!A492:AL492, TRUE )</f>
        <v xml:space="preserve">[ -6 , 12 , -9 , -13 , 2 , -9 , 21 , 11 , -8 , -22 , -10 , 9 , -2 , 10 , 2 , 3 , 2 , -13 , -9 , 8 , -19 , -4 , 18 , -8 , -26 , -17 , 8 , 16 , -15 , -1 , 9 , -1 , 12 , 21 , 0 , -11 , 32 , -4 ]  , </v>
      </c>
    </row>
    <row r="493" spans="1:1">
      <c r="A493" s="13" t="str">
        <f>jsRow('symptom factors'!A493:AL493, TRUE )</f>
        <v xml:space="preserve">[ -17 , -3 , -20 , -24 , -1 , -34 , 11 , -2 , 7 , -13 , 13 , -3 , 10 , 5 , 35 , -23 , 55 , 19 , -13 , 15 , 45 , -14 , 2 , -13 , -6 , 19 , 25 , 5 , -5 , 37 , -6 , -13 , -20 , 23 , -29 , 13 , -15 , 40 ]  , </v>
      </c>
    </row>
    <row r="494" spans="1:1">
      <c r="A494" s="13" t="str">
        <f>jsRow('symptom factors'!A494:AL494, TRUE )</f>
        <v xml:space="preserve">[ 2 , 4 , -9 , 1 , 35 , 34 , -1 , 26 , 7 , -32 , -1 , -14 , -25 , 0 , 28 , -16 , -21 , -9 , 13 , 2 , 21 , 15 , -13 , -11 , 14 , 6 , -6 , -12 , -7 , -9 , 11 , 28 , 8 , 1 , -47 , -3 , 2 , 8 ]  , </v>
      </c>
    </row>
    <row r="495" spans="1:1">
      <c r="A495" s="13" t="str">
        <f>jsRow('symptom factors'!A495:AL495, TRUE )</f>
        <v xml:space="preserve">[ -45 , -3 , -31 , -1 , 24 , 30 , 66 , 27 , -27 , -43 , -25 , 46 , -41 , 3 , 89 , -3 , -17 , -45 , -10 , 25 , 22 , 27 , 17 , -40 , -23 , -27 , -30 , 1 , -32 , 2 , 15 , 77 , 3 , 34 , 28 , 30 , 47 , 19 ]  , </v>
      </c>
    </row>
    <row r="496" spans="1:1">
      <c r="A496" s="13" t="str">
        <f>jsRow('symptom factors'!A496:AL496, TRUE )</f>
        <v xml:space="preserve">[ -29 , -3 , 1 , -5 , 12 , 39 , 58 , 22 , -26 , -43 , -19 , 43 , 39 , 3 , 113 , -37 , 10 , -24 , 29 , 16 , -8 , 32 , -13 , -10 , 2 , -12 , -6 , 0 , -2 , 30 , -20 , 20 , -26 , -32 , -12 , 48 , -6 , -39 ]  , </v>
      </c>
    </row>
    <row r="497" spans="1:1">
      <c r="A497" s="13" t="str">
        <f>jsRow('symptom factors'!A497:AL497, TRUE )</f>
        <v xml:space="preserve">[ 27 , -5 , -3 , -4 , 8 , 12 , 11 , 14 , -8 , -21 , 20 , -4 , -11 , -8 , 15 , 15 , -6 , 15 , 11 , 1 , 7 , -21 , -50 , 4 , 16 , -8 , 4 , -6 , 20 , -12 , -8 , -22 , 28 , 3 , -3 , -23 , -10 , -10 ]  , </v>
      </c>
    </row>
    <row r="498" spans="1:1">
      <c r="A498" s="13" t="str">
        <f>jsRow('symptom factors'!A498:AL498, TRUE )</f>
        <v xml:space="preserve">[ 41 , -3 , 0 , 5 , 4 , 32 , -23 , 35 , 36 , -10 , 25 , -34 , -30 , 14 , 33 , 22 , 7 , -2 , 9 , 9 , 15 , 22 , -8 , -4 , 11 , -3 , -5 , 8 , -27 , 10 , 14 , -22 , -16 , 15 , -8 , 19 , -16 , 5 ]  , </v>
      </c>
    </row>
    <row r="499" spans="1:1">
      <c r="A499" s="13" t="str">
        <f>jsRow('symptom factors'!A499:AL499, TRUE )</f>
        <v xml:space="preserve">[ 46 , -17 , 16 , -20 , -39 , 26 , 26 , 4 , 7 , -12 , -28 , -26 , -10 , -36 , 49 , 10 , -6 , 19 , 26 , 27 , -25 , -36 , -36 , 3 , -2 , 16 , 7 , 30 , -16 , -9 , 13 , -15 , 42 , 28 , 25 , 0 , -18 , 5 ]  , </v>
      </c>
    </row>
    <row r="500" spans="1:1">
      <c r="A500" s="13" t="str">
        <f>jsRow('symptom factors'!A500:AL500, TRUE )</f>
        <v xml:space="preserve">[ -6 , 10 , -22 , -21 , 16 , 19 , 10 , -45 , -5 , -8 , -23 , -33 , 26 , 9 , -6 , 39 , 31 , -14 , -14 , -1 , -11 , 7 , -11 , 3 , 10 , 23 , 11 , 10 , 8 , -36 , -1 , -9 , 0 , 17 , 3 , 0 , -18 , 5 ]  , </v>
      </c>
    </row>
    <row r="501" spans="1:1">
      <c r="A501" s="13" t="str">
        <f>jsRow('symptom factors'!A501:AL501, TRUE )</f>
        <v xml:space="preserve">[ -18 , 34 , 26 , -10 , 8 , -28 , 23 , -40 , 28 , -13 , 23 , 30 , -22 , -5 , 37 , -22 , 14 , 16 , -31 , 3 , -12 , 11 , 21 , -23 , 20 , -5 , -9 , -32 , -35 , -70 , 15 , 5 , 2 , 17 , 7 , -35 , -20 , 7 ]  , </v>
      </c>
    </row>
    <row r="502" spans="1:1">
      <c r="A502" s="13" t="str">
        <f>jsRow('symptom factors'!A502:AL502, TRUE )</f>
        <v xml:space="preserve">[ -18 , 2 , 10 , 1 , -8 , -16 , -13 , -11 , -12 , -35 , 13 , 18 , -58 , -14 , -43 , 50 , -10 , 21 , 8 , 34 , 33 , 5 , -31 , -14 , 25 , -33 , 41 , 32 , 4 , 5 , -13 , 0 , -5 , 11 , -10 , 24 , -12 , 13 ]  , </v>
      </c>
    </row>
    <row r="503" spans="1:1">
      <c r="A503" s="13" t="str">
        <f>jsRow('symptom factors'!A503:AL503, TRUE )</f>
        <v xml:space="preserve">[ 23 , 26 , -13 , -25 , -54 , -18 , -31 , 22 , 13 , 8 , 38 , 9 , 6 , 20 , 15 , -2 , 4 , -32 , 24 , -20 , 21 , 11 , -22 , 8 , 0 , -9 , -1 , 23 , -22 , 4 , 45 , -13 , 23 , 5 , -5 , 12 , -9 , -5 ]  , </v>
      </c>
    </row>
    <row r="504" spans="1:1">
      <c r="A504" s="13" t="str">
        <f>jsRow('symptom factors'!A504:AL504, TRUE )</f>
        <v xml:space="preserve">[ -55 , 7 , 28 , -13 , -13 , -23 , 3 , -9 , 5 , -3 , 40 , -33 , 32 , 6 , 24 , -14 , 51 , 32 , 43 , 16 , -7 , -5 , -1 , 2 , 18 , -48 , 15 , -5 , 17 , 22 , -25 , 8 , -31 , -23 , 1 , 27 , 29 , -10 ]  , </v>
      </c>
    </row>
    <row r="505" spans="1:1">
      <c r="A505" s="13" t="str">
        <f>jsRow('symptom factors'!A505:AL505, TRUE )</f>
        <v xml:space="preserve">[ -29 , -1 , 20 , -7 , -18 , -13 , -7 , -2 , 5 , -10 , 44 , -15 , -3 , 6 , -5 , 0 , 38 , -4 , 11 , 12 , 25 , -1 , -17 , 16 , 23 , -7 , -4 , 27 , 24 , 14 , 23 , 3 , -17 , -16 , 16 , -5 , 4 , -1 ]  , </v>
      </c>
    </row>
    <row r="506" spans="1:1">
      <c r="A506" s="13" t="str">
        <f>jsRow('symptom factors'!A506:AL506, TRUE )</f>
        <v xml:space="preserve">[ -51 , -11 , 48 , -6 , -22 , -28 , -7 , -20 , 11 , -33 , 24 , -1 , -12 , 31 , 5 , 4 , 1 , 25 , -35 , 3 , 9 , 47 , -13 , 18 , 0 , 32 , -35 , 4 , -38 , -63 , -31 , 49 , 9 , -2 , 44 , -30 , 12 , -8 ]  , </v>
      </c>
    </row>
    <row r="507" spans="1:1">
      <c r="A507" s="13" t="str">
        <f>jsRow('symptom factors'!A507:AL507, TRUE )</f>
        <v xml:space="preserve">[ -49 , -9 , 48 , -34 , -8 , -5 , 5 , -4 , 9 , -34 , 34 , 1 , -34 , 28 , 3 , 12 , -8 , 19 , -26 , -10 , -22 , 39 , 27 , 19 , 3 , -16 , -14 , -15 , 0 , -52 , -36 , 71 , 4 , -24 , 48 , -19 , -42 , -6 ]  , </v>
      </c>
    </row>
    <row r="508" spans="1:1">
      <c r="A508" s="13" t="str">
        <f>jsRow('symptom factors'!A508:AL508, TRUE )</f>
        <v xml:space="preserve">[ -31 , -24 , 17 , 9 , 10 , 17 , 4 , 14 , -20 , -5 , 0 , 14 , 4 , 27 , 17 , 16 , 18 , -21 , -23 , -10 , -29 , 21 , -15 , -9 , -23 , -10 , 51 , -5 , 18 , -10 , 38 , 5 , -28 , 71 , -19 , -16 , 52 , -2 ]  , </v>
      </c>
    </row>
    <row r="509" spans="1:1">
      <c r="A509" s="13" t="str">
        <f>jsRow('symptom factors'!A509:AL509, TRUE )</f>
        <v xml:space="preserve">[ -25 , 28 , 24 , -24 , 13 , -13 , -5 , -11 , 14 , -7 , 43 , 6 , -38 , 21 , 18 , 4 , -1 , 36 , -2 , 6 , -3 , -5 , 10 , -2 , 28 , 15 , -25 , -6 , 40 , -24 , -7 , 3 , 8 , -15 , 10 , -22 , -3 , -16 ]  , </v>
      </c>
    </row>
    <row r="510" spans="1:1">
      <c r="A510" s="13" t="str">
        <f>jsRow('symptom factors'!A510:AL510, TRUE )</f>
        <v xml:space="preserve">[ 7 , 9 , 15 , 1 , 1 , 1 , 8 , -1 , 11 , -3 , 9 , 8 , -7 , 7 , 7 , 8 , -4 , 12 , 15 , 13 , 8 , -7 , -1 , 1 , 10 , 3 , -8 , 0 , 24 , -34 , -6 , -16 , 3 , 17 , -16 , -14 , 13 , 7 ]  , </v>
      </c>
    </row>
    <row r="511" spans="1:1">
      <c r="A511" s="13" t="str">
        <f>jsRow('symptom factors'!A511:AL511, TRUE )</f>
        <v xml:space="preserve">[ -70 , -23 , 45 , -29 , -8 , -13 , -19 , -24 , 4 , -23 , 33 , -1 , -61 , 59 , 8 , 2 , -20 , 40 , -46 , 15 , -21 , 24 , 9 , -29 , 10 , 12 , -51 , -28 , 7 , -75 , -9 , 7 , 8 , 27 , 15 , 22 , 7 , 8 ]  , </v>
      </c>
    </row>
    <row r="512" spans="1:1">
      <c r="A512" s="13" t="str">
        <f>jsRow('symptom factors'!A512:AL512, TRUE )</f>
        <v xml:space="preserve">[ 15 , -14 , 8 , -4 , -12 , -6 , 12 , -8 , 12 , 10 , 10 , -9 , -6 , -1 , 11 , 1 , 1 , 3 , 5 , 11 , 1 , 12 , -22 , 3 , -1 , -5 , -3 , 22 , 8 , -9 , -8 , -9 , -7 , -20 , -5 , -2 , 8 , 9 ]  , </v>
      </c>
    </row>
    <row r="513" spans="1:1">
      <c r="A513" s="13" t="str">
        <f>jsRow('symptom factors'!A513:AL513, TRUE )</f>
        <v xml:space="preserve">[ 8 , -32 , -37 , -39 , -115 , 17 , -51 , 4 , -13 , 30 , -28 , 29 , -9 , -79 , 20 , -36 , -30 , 42 , 45 , 31 , 1 , 12 , 29 , -9 , 33 , -7 , 15 , 8 , -22 , 1 , 51 , 14 , -19 , 32 , 53 , -1 , -28 , -33 ]  , </v>
      </c>
    </row>
    <row r="514" spans="1:1">
      <c r="A514" s="13" t="str">
        <f>jsRow('symptom factors'!A514:AL514, TRUE )</f>
        <v xml:space="preserve">[ -29 , -21 , -1 , 3 , -42 , 5 , -45 , -1 , -49 , 25 , 17 , 15 , -8 , -36 , 23 , 85 , 2 , -8 , 41 , 25 , 30 , -11 , -4 , -26 , -32 , -2 , -23 , 53 , -16 , 22 , -10 , 3 , -49 , -10 , 7 , 31 , -21 , 31 ]  , </v>
      </c>
    </row>
    <row r="515" spans="1:1">
      <c r="A515" s="13" t="str">
        <f>jsRow('symptom factors'!A515:AL515, TRUE )</f>
        <v xml:space="preserve">[ -68 , -2 , 47 , 9 , -25 , -30 , 8 , 15 , 15 , 0 , 3 , -35 , 17 , 0 , 0 , -15 , 36 , -43 , 11 , 1 , 4 , 9 , 4 , 46 , 29 , 14 , -23 , 13 , -1 , 18 , -12 , 55 , -4 , -41 , 24 , -37 , -4 , -29 ]  , </v>
      </c>
    </row>
    <row r="516" spans="1:1">
      <c r="A516" s="13" t="str">
        <f>jsRow('symptom factors'!A516:AL516, TRUE )</f>
        <v xml:space="preserve">[ -27 , 51 , 19 , -53 , 13 , -18 , -17 , -2 , 15 , 29 , 33 , 0 , -41 , 22 , 31 , 22 , 8 , 54 , 39 , -34 , 2 , -14 , 21 , 0 , 7 , 8 , -38 , 34 , 55 , 21 , 17 , -1 , -23 , -17 , -6 , -23 , 12 , -4 ]  , </v>
      </c>
    </row>
    <row r="517" spans="1:1">
      <c r="A517" s="13" t="str">
        <f>jsRow('symptom factors'!A517:AL517, TRUE )</f>
        <v xml:space="preserve">[ 60 , 4 , -2 , 10 , 25 , 27 , -36 , 66 , 41 , 6 , 34 , -49 , 2 , 30 , 27 , 31 , -3 , 0 , 15 , -4 , 30 , 46 , 29 , 13 , 33 , -19 , -5 , -15 , -24 , 24 , 8 , -20 , -19 , 23 , 2 , 14 , -14 , -16 ]  , </v>
      </c>
    </row>
    <row r="518" spans="1:1">
      <c r="A518" s="13" t="str">
        <f>jsRow('symptom factors'!A518:AL518, TRUE )</f>
        <v xml:space="preserve">[ -5 , 24 , -2 , -12 , 2 , 30 , 54 , 34 , 14 , -19 , -10 , 22 , -1 , 12 , 56 , -28 , -2 , 24 , -1 , 12 , -11 , -1 , -8 , -2 , 10 , -22 , 8 , 18 , 15 , 2 , 25 , 9 , -27 , -16 , 5 , 36 , -15 , 32 ]  , </v>
      </c>
    </row>
    <row r="519" spans="1:1">
      <c r="A519" s="13" t="str">
        <f>jsRow('symptom factors'!A519:AL519, TRUE )</f>
        <v xml:space="preserve">[ 9 , -37 , -37 , -34 , -107 , 23 , -46 , -4 , -18 , 40 , -24 , 39 , -19 , -80 , 34 , -36 , -38 , 40 , 38 , 26 , 7 , 16 , 31 , -13 , 31 , 2 , 4 , 6 , -35 , -6 , 46 , 11 , -7 , 22 , 52 , 13 , -35 , -23 ]  , </v>
      </c>
    </row>
    <row r="520" spans="1:1">
      <c r="A520" s="13" t="str">
        <f>jsRow('symptom factors'!A520:AL520, TRUE )</f>
        <v xml:space="preserve">[ -14 , 13 , 3 , -9 , 12 , 10 , 17 , 13 , 5 , 0 , -1 , -17 , -4 , 20 , 0 , 3 , 6 , 17 , -17 , 0 , -16 , -37 , 24 , 10 , 2 , -34 , -5 , 16 , 57 , -28 , 19 , -27 , -21 , 2 , 3 , 26 , 46 , 4 ]  , </v>
      </c>
    </row>
    <row r="521" spans="1:1">
      <c r="A521" s="13" t="str">
        <f>jsRow('symptom factors'!A521:AL521, TRUE )</f>
        <v xml:space="preserve">[ -2 , -1 , -6 , 0 , -2 , -32 , 8 , -24 , -1 , 27 , 37 , 9 , -5 , 6 , 24 , 24 , -17 , -7 , 30 , 14 , 19 , 15 , -17 , 8 , -3 , 1 , -27 , 45 , -23 , 9 , 7 , 3 , 4 , -7 , -6 , 28 , 26 , -6 ]  , </v>
      </c>
    </row>
    <row r="522" spans="1:1">
      <c r="A522" s="13" t="str">
        <f>jsRow('symptom factors'!A522:AL522, TRUE )</f>
        <v xml:space="preserve">[ -29 , -18 , -8 , 16 , -43 , 27 , -28 , 18 , 4 , -25 , -8 , -17 , -13 , -15 , -46 , -37 , 4 , -24 , 3 , 16 , 23 , -5 , 1 , -18 , -1 , -33 , 5 , 17 , 5 , -33 , 8 , -26 , -11 , -35 , 0 , 35 , -35 , -4 ]  , </v>
      </c>
    </row>
    <row r="523" spans="1:1">
      <c r="A523" s="13" t="str">
        <f>jsRow('symptom factors'!A523:AL523, TRUE )</f>
        <v xml:space="preserve">[ 17 , 54 , -14 , -8 , 8 , 20 , 43 , -34 , 64 , -10 , 5 , 48 , 12 , -5 , -12 , -24 , -47 , 5 , 5 , -6 , 21 , 22 , -25 , -35 , 1 , -6 , -15 , -3 , 9 , -6 , 30 , -34 , -19 , -16 , 11 , 9 , -29 , 15 ]  , </v>
      </c>
    </row>
    <row r="524" spans="1:1">
      <c r="A524" s="13" t="str">
        <f>jsRow('symptom factors'!A524:AL524, TRUE )</f>
        <v xml:space="preserve">[ 0 , 0 , -27 , 1 , 4 , -16 , 18 , -18 , -22 , 5 , 28 , 0 , -11 , -6 , -20 , -19 , 15 , 14 , 4 , 25 , -23 , 16 , 6 , -8 , -2 , 11 , 9 , -11 , -10 , 16 , 15 , -30 , -15 , -13 , 9 , -14 , 16 , -4 ]  , </v>
      </c>
    </row>
    <row r="525" spans="1:1">
      <c r="A525" s="13" t="str">
        <f>jsRow('symptom factors'!A525:AL525, TRUE )</f>
        <v xml:space="preserve">[ -13 , -30 , -27 , 10 , 12 , 4 , 12 , -30 , -17 , 19 , -17 , -9 , -41 , 13 , 2 , -2 , -1 , 2 , 7 , -34 , -20 , 33 , 10 , 0 , -13 , -29 , -9 , -4 , -20 , 4 , 5 , -3 , -10 , 13 , -13 , -17 , -15 , 9 ]  , </v>
      </c>
    </row>
    <row r="526" spans="1:1">
      <c r="A526" s="13" t="str">
        <f>jsRow('symptom factors'!A526:AL526, TRUE )</f>
        <v xml:space="preserve">[ -2 , -9 , -20 , 7 , 8 , -4 , 13 , -7 , 21 , 4 , -22 , 5 , -6 , 17 , 22 , 7 , 4 , 12 , -11 , 3 , 10 , -2 , 5 , -10 , 10 , -16 , -11 , -3 , 3 , 11 , -2 , -22 , 10 , 5 , -5 , -6 , 29 , -10 ]  , </v>
      </c>
    </row>
    <row r="527" spans="1:1">
      <c r="A527" s="13" t="str">
        <f>jsRow('symptom factors'!A527:AL527, TRUE )</f>
        <v xml:space="preserve">[ -20 , 30 , -4 , 36 , 10 , 15 , -33 , 12 , -12 , -9 , -22 , 4 , 13 , 30 , 40 , -2 , -14 , 17 , 2 , 69 , -29 , 12 , -2 , -39 , -9 , 15 , 21 , -21 , 10 , 17 , -43 , -24 , 3 , 7 , 49 , 4 , 20 , -67 ]  , </v>
      </c>
    </row>
    <row r="528" spans="1:1">
      <c r="A528" s="13" t="str">
        <f>jsRow('symptom factors'!A528:AL528, TRUE )</f>
        <v xml:space="preserve">[ -21 , 5 , 14 , 42 , 0 , 28 , 1 , 0 , -30 , -3 , -9 , -8 , -13 , 3 , -47 , 15 , 22 , -17 , 24 , 40 , 18 , 9 , -25 , -7 , 51 , -36 , 15 , -24 , 7 , -9 , -1 , 13 , 20 , -4 , 0 , 9 , -10 , 21 ]  , </v>
      </c>
    </row>
    <row r="529" spans="1:1">
      <c r="A529" s="13" t="str">
        <f>jsRow('symptom factors'!A529:AL529, TRUE )</f>
        <v xml:space="preserve">[ -47 , -4 , -3 , 27 , -15 , 27 , 20 , 35 , -21 , -40 , 8 , 32 , 17 , -8 , 15 , -28 , -30 , -56 , -4 , 29 , -10 , 60 , -8 , -2 , -2 , -33 , 45 , 44 , 42 , -45 , -35 , 14 , 69 , 9 , -1 , -26 , -1 , 35 ]  , </v>
      </c>
    </row>
    <row r="530" spans="1:1">
      <c r="A530" s="13" t="str">
        <f>jsRow('symptom factors'!A530:AL530, TRUE )</f>
        <v xml:space="preserve">[ -19 , -13 , -23 , 3 , -2 , -3 , 26 , -12 , -2 , -1 , 19 , 16 , 27 , 4 , 35 , -10 , -45 , -15 , 8 , 6 , 5 , 31 , 19 , 42 , -34 , -12 , 33 , 45 , 4 , -21 , -21 , 2 , 19 , 41 , 16 , -28 , -13 , 25 ]  , </v>
      </c>
    </row>
    <row r="531" spans="1:1">
      <c r="A531" s="13" t="str">
        <f>jsRow('symptom factors'!A531:AL531, TRUE )</f>
        <v xml:space="preserve">[ 5 , -11 , -5 , 7 , 5 , -1 , 25 , -43 , -1 , 20 , 21 , -3 , 12 , 4 , -13 , 17 , -43 , 4 , 32 , -7 , 5 , 3 , 41 , 56 , -24 , -21 , 18 , 1 , -28 , -16 , 10 , 20 , -11 , 35 , 14 , 5 , 8 , -5 ]  , </v>
      </c>
    </row>
    <row r="532" spans="1:1">
      <c r="A532" s="13" t="str">
        <f>jsRow('symptom factors'!A532:AL532, TRUE )</f>
        <v xml:space="preserve">[ -16 , -5 , -22 , 25 , 20 , -75 , 34 , -48 , 1 , 43 , 35 , 8 , 2 , 28 , 38 , 48 , -47 , 24 , 21 , 14 , 26 , 4 , -20 , 53 , -16 , -6 , -33 , 41 , -7 , -20 , 15 , -3 , 12 , 24 , 9 , 0 , 43 , -76 ]  , </v>
      </c>
    </row>
    <row r="533" spans="1:1">
      <c r="A533" s="13" t="str">
        <f>jsRow('symptom factors'!A533:AL533, TRUE )</f>
        <v xml:space="preserve">[ -23 , 0 , 6 , 33 , -29 , 51 , -37 , 28 , -9 , -29 , -19 , -10 , -15 , -10 , -41 , -43 , 31 , -23 , 3 , 24 , 26 , 32 , 38 , -29 , 29 , -33 , 3 , 1 , -4 , -20 , 6 , 10 , 19 , -31 , -30 , 39 , 10 , 28 ]  , </v>
      </c>
    </row>
    <row r="534" spans="1:1">
      <c r="A534" s="13" t="str">
        <f>jsRow('symptom factors'!A534:AL534, TRUE )</f>
        <v xml:space="preserve">[ 3 , -14 , -42 , 13 , 16 , -75 , 3 , -23 , -27 , 2 , 14 , -9 , -17 , 28 , 31 , 12 , -38 , 6 , 14 , 0 , 7 , 2 , 5 , -6 , -16 , -4 , 3 , 29 , 4 , -5 , -15 , -21 , 24 , -13 , 2 , 27 , -20 , -69 ]  , </v>
      </c>
    </row>
    <row r="535" spans="1:1">
      <c r="A535" s="13" t="str">
        <f>jsRow('symptom factors'!A535:AL535, TRUE )</f>
        <v xml:space="preserve">[ -12 , 3 , 3 , 32 , -3 , 42 , 13 , 5 , 15 , 11 , 5 , 8 , -1 , -6 , -32 , -10 , -3 , -8 , 7 , 19 , 13 , -1 , 3 , 3 , 9 , -8 , -3 , -11 , -3 , -17 , -6 , 1 , 20 , 3 , 2 , 5 , -20 , -12 ]  , </v>
      </c>
    </row>
    <row r="536" spans="1:1">
      <c r="A536" s="13" t="str">
        <f>jsRow('symptom factors'!A536:AL536, TRUE )</f>
        <v xml:space="preserve">[ -6 , -19 , -26 , -1 , -11 , 9 , -22 , -5 , 2 , 7 , 19 , -3 , 9 , -9 , -3 , 12 , -28 , -28 , -13 , 28 , 21 , -1 , 42 , 25 , -17 , 23 , 18 , -24 , 6 , -16 , 9 , 4 , -32 , -4 , 8 , 10 , -23 , -18 ]  , </v>
      </c>
    </row>
    <row r="537" spans="1:1">
      <c r="A537" s="13" t="str">
        <f>jsRow('symptom factors'!A537:AL537, TRUE )</f>
        <v xml:space="preserve">[ 15 , -6 , -4 , -1 , 1 , 1 , -4 , -17 , -17 , -3 , 7 , -7 , -13 , 16 , 0 , -40 , 11 , 3 , 22 , 8 , 24 , -31 , 7 , 27 , -11 , 12 , 7 , -2 , -2 , -26 , -5 , -1 , -8 , -6 , -30 , -10 , -11 , 6 ]  , </v>
      </c>
    </row>
    <row r="538" spans="1:1">
      <c r="A538" s="13" t="str">
        <f>jsRow('symptom factors'!A538:AL538, TRUE )</f>
        <v xml:space="preserve">[ -6 , -5 , -9 , 0 , 2 , 1 , -4 , -2 , 2 , -3 , -19 , -3 , -16 , 4 , -5 , 16 , -11 , 1 , -10 , 8 , 12 , -5 , 3 , 7 , 6 , -7 , 31 , 3 , -1 , 13 , 18 , 14 , -7 , 5 , 10 , -10 , 4 , 0 ]  , </v>
      </c>
    </row>
    <row r="539" spans="1:1">
      <c r="A539" s="13" t="str">
        <f>jsRow('symptom factors'!A539:AL539, TRUE )</f>
        <v xml:space="preserve">[ -2 , 6 , -10 , 0 , 1 , 4 , -18 , -1 , 6 , -8 , -8 , 18 , 5 , 1 , -7 , 2 , -6 , -2 , 0 , -5 , 0 , -10 , 0 , 10 , 8 , 12 , 18 , 2 , -8 , 5 , -3 , 2 , 6 , 0 , 4 , -14 , 10 , 18 ]  , </v>
      </c>
    </row>
    <row r="540" spans="1:1">
      <c r="A540" s="13" t="str">
        <f>jsRow('symptom factors'!A540:AL540, TRUE )</f>
        <v xml:space="preserve">[ -9 , -7 , -21 , 1 , 1 , -26 , -8 , -2 , 24 , -7 , -9 , 2 , 6 , 15 , -5 , -1 , 15 , 2 , 12 , -10 , 6 , -11 , -8 , -1 , -16 , -2 , 14 , -28 , 18 , -6 , -16 , 5 , -1 , 18 , 17 , 9 , -7 , 13 ]  , </v>
      </c>
    </row>
    <row r="541" spans="1:1">
      <c r="A541" s="13" t="str">
        <f>jsRow('symptom factors'!A541:AL541, TRUE )</f>
        <v xml:space="preserve">[ -5 , -13 , -18 , 7 , 32 , -24 , -6 , -9 , 4 , -16 , -17 , 24 , -5 , -2 , 67 , -6 , -36 , -10 , -17 , 57 , -10 , 33 , -18 , -18 , -24 , 23 , -16 , -39 , 3 , 30 , -24 , 10 , -5 , -34 , -8 , 19 , -12 , 7 ]  , </v>
      </c>
    </row>
    <row r="542" spans="1:1">
      <c r="A542" s="13" t="str">
        <f>jsRow('symptom factors'!A542:AL542, TRUE )</f>
        <v xml:space="preserve">[ 19 , 21 , -35 , -9 , -1 , 21 , 24 , 21 , -32 , -14 , 16 , 8 , 4 , -11 , -11 , -1 , 21 , -9 , 11 , -32 , 15 , -18 , 14 , 22 , 9 , -28 , -44 , 46 , 2 , -12 , 35 , 28 , 19 , 38 , 26 , 29 , 54 , -13 ]  , </v>
      </c>
    </row>
    <row r="543" spans="1:1">
      <c r="A543" s="13" t="str">
        <f>jsRow('symptom factors'!A543:AL543, TRUE )</f>
        <v xml:space="preserve">[ -8 , -1 , -13 , -5 , 26 , 4 , 8 , -10 , 8 , -14 , -25 , -22 , 8 , -14 , -7 , 15 , 13 , 7 , -9 , 5 , 24 , 2 , 38 , -34 , -7 , 33 , -1 , 66 , 1 , 30 , 8 , 14 , 33 , 26 , 19 , -23 , 16 , -4 ]  , </v>
      </c>
    </row>
    <row r="544" spans="1:1">
      <c r="A544" s="13" t="str">
        <f>jsRow('symptom factors'!A544:AL544, TRUE )</f>
        <v xml:space="preserve">[ 4 , -7 , -15 , 9 , 31 , -13 , 24 , 15 , -40 , -11 , 13 , -35 , -9 , -5 , 13 , -19 , -26 , -7 , 10 , -43 , -1 , 14 , 14 , 21 , 4 , -7 , 3 , -27 , 7 , -24 , 6 , -37 , -53 , -6 , 23 , -60 , 25 , 41 ]  , </v>
      </c>
    </row>
    <row r="545" spans="1:1">
      <c r="A545" s="13" t="str">
        <f>jsRow('symptom factors'!A545:AL545, TRUE )</f>
        <v xml:space="preserve">[ 12 , -10 , -46 , 14 , 48 , 24 , -48 , 49 , 26 , -33 , 30 , -1 , -28 , -42 , -19 , 16 , -18 , 8 , 25 , -17 , -20 , 65 , -5 , -14 , -30 , 25 , -33 , 44 , -6 , -21 , 17 , -19 , -8 , -25 , 8 , -29 , -32 , -43 ]  , </v>
      </c>
    </row>
    <row r="546" spans="1:1">
      <c r="A546" s="13" t="str">
        <f>jsRow('symptom factors'!A546:AL546, TRUE )</f>
        <v xml:space="preserve">[ 1 , 17 , 4 , 36 , 3 , 25 , 22 , 8 , 2 , -2 , 1 , 15 , -13 , 2 , -20 , 24 , -7 , 0 , 5 , 13 , 36 , 0 , -4 , 8 , 15 , 1 , 21 , -17 , 1 , -9 , 10 , -2 , 27 , 22 , -9 , -4 , -1 , 6 ]  , </v>
      </c>
    </row>
    <row r="547" spans="1:1">
      <c r="A547" s="13" t="str">
        <f>jsRow('symptom factors'!A547:AL547, TRUE )</f>
        <v xml:space="preserve">[ -4 , -2 , 9 , -4 , -1 , 4 , -29 , -4 , -2 , -6 , -2 , -8 , 4 , 14 , 12 , -21 , 10 , -18 , 13 , -10 , 19 , 0 , 0 , 12 , -31 , -27 , 7 , 10 , 10 , -9 , -4 , -7 , -19 , 18 , -4 , -18 , -6 , 11 ]  , </v>
      </c>
    </row>
    <row r="548" spans="1:1">
      <c r="A548" s="13" t="str">
        <f>jsRow('symptom factors'!A548:AL548, TRUE )</f>
        <v xml:space="preserve">[ -1 , 13 , 20 , -20 , -4 , 2 , 20 , 16 , 4 , -8 , 8 , 38 , 12 , 17 , 27 , -25 , 42 , 11 , -28 , 22 , -19 , -12 , 9 , 45 , -3 , 15 , 33 , 31 , -31 , 9 , 74 , 16 , 36 , -6 , -18 , -2 , -36 , 47 ]  , </v>
      </c>
    </row>
    <row r="549" spans="1:1">
      <c r="A549" s="13" t="str">
        <f>jsRow('symptom factors'!A549:AL549, TRUE )</f>
        <v xml:space="preserve">[ 25 , -20 , 14 , 1 , -4 , 4 , 5 , -2 , -2 , -2 , -23 , 30 , 32 , 14 , -6 , 2 , -7 , 30 , 9 , -6 , -14 , 19 , 8 , -1 , 15 , 11 , -3 , 25 , 19 , -8 , -6 , 7 , -29 , -8 , -33 , -4 , -3 , -2 ]  , </v>
      </c>
    </row>
    <row r="550" spans="1:1">
      <c r="A550" s="13" t="str">
        <f>jsRow('symptom factors'!A550:AL550, TRUE )</f>
        <v xml:space="preserve">[ 39 , -11 , 19 , 13 , -3 , -2 , 18 , -9 , 8 , -1 , -9 , 18 , 11 , 12 , -4 , 21 , 5 , 13 , 3 , 32 , -5 , 3 , 3 , 4 , 28 , 9 , -6 , 14 , 29 , -7 , -4 , 4 , -19 , -6 , -46 , -34 , -19 , 9 ]  , </v>
      </c>
    </row>
    <row r="551" spans="1:1">
      <c r="A551" s="13" t="str">
        <f>jsRow('symptom factors'!A551:AL551, TRUE )</f>
        <v xml:space="preserve">[ 25 , -51 , 24 , 16 , -22 , 38 , -11 , -15 , -19 , -2 , -16 , 22 , 9 , -2 , 17 , 11 , -2 , 8 , 24 , -13 , 13 , -28 , 53 , 3 , 21 , 7 , -28 , -2 , -9 , -12 , -36 , -24 , 13 , 9 , 9 , -12 , -16 , -11 ]  , </v>
      </c>
    </row>
    <row r="552" spans="1:1">
      <c r="A552" s="13" t="str">
        <f>jsRow('symptom factors'!A552:AL552, TRUE )</f>
        <v xml:space="preserve">[ 13 , -24 , 17 , 4 , -3 , 11 , -8 , -2 , -13 , -5 , -23 , 24 , 18 , 16 , -8 , 11 , 5 , 32 , 3 , -16 , -2 , 7 , 15 , 0 , 16 , 7 , 6 , 9 , -9 , 9 , -4 , 3 , -19 , 4 , -6 , 7 , -4 , -7 ]  , </v>
      </c>
    </row>
    <row r="553" spans="1:1">
      <c r="A553" s="13" t="str">
        <f>jsRow('symptom factors'!A553:AL553, TRUE )</f>
        <v xml:space="preserve">[ 14 , -12 , 3 , -3 , -13 , 18 , -11 , -6 , -5 , -5 , -7 , -8 , -16 , 1 , 13 , -2 , 3 , 11 , 9 , 8 , 7 , -12 , 11 , -8 , 10 , -11 , -5 , -29 , -8 , -5 , -18 , -4 , -10 , 40 , 17 , -8 , 13 , -10 ]  , </v>
      </c>
    </row>
    <row r="554" spans="1:1">
      <c r="A554" s="13" t="str">
        <f>jsRow('symptom factors'!A554:AL554, TRUE )</f>
        <v xml:space="preserve">[ 11 , 6 , 8 , -8 , 13 , 4 , -7 , -34 , -17 , -2 , 3 , -11 , -13 , 14 , -2 , -46 , 21 , 1 , 29 , -6 , 11 , -11 , 10 , 5 , 12 , 6 , 4 , 14 , -35 , -30 , 13 , -8 , -12 , -28 , -15 , -16 , -5 , 0 ]  , </v>
      </c>
    </row>
    <row r="555" spans="1:1">
      <c r="A555" s="13" t="str">
        <f>jsRow('symptom factors'!A555:AL555, TRUE )</f>
        <v xml:space="preserve">[ 9 , -2 , -2 , -6 , -1 , 3 , -7 , -2 , -13 , 1 , -13 , -3 , -8 , 12 , -6 , -16 , -7 , 6 , 6 , -4 , 9 , -4 , -12 , 5 , -8 , 17 , -8 , -4 , 0 , -10 , 11 , 10 , -1 , 8 , -6 , 11 , 18 , 15 ]  , </v>
      </c>
    </row>
    <row r="556" spans="1:1">
      <c r="A556" s="13" t="str">
        <f>jsRow('symptom factors'!A556:AL556, TRUE )</f>
        <v xml:space="preserve">[ 6 , 2 , 0 , 5 , 20 , 11 , -10 , -1 , 3 , 9 , 3 , 1 , 2 , 11 , -8 , -18 , -8 , 7 , 5 , 7 , 13 , -15 , -28 , -1 , -13 , -6 , -10 , -2 , -6 , -11 , -16 , 9 , -1 , 7 , -4 , -4 , 4 , 2 ]  , </v>
      </c>
    </row>
    <row r="557" spans="1:1">
      <c r="A557" s="13" t="str">
        <f>jsRow('symptom factors'!A557:AL557, TRUE )</f>
        <v xml:space="preserve">[ 7 , 4 , 1 , 0 , 9 , 10 , -14 , -7 , 3 , 0 , 1 , 1 , -4 , 6 , 0 , -11 , -7 , 2 , 3 , 10 , 13 , -15 , -23 , 0 , -9 , -6 , -4 , -3 , -2 , -10 , -4 , 1 , 0 , 6 , -3 , -13 , 4 , 4 ]  , </v>
      </c>
    </row>
    <row r="558" spans="1:1">
      <c r="A558" s="13" t="s">
        <v>1</v>
      </c>
    </row>
    <row r="559" spans="1:1">
      <c r="A559" s="13"/>
    </row>
    <row r="560" spans="1:1">
      <c r="A560" s="13"/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558"/>
  <sheetViews>
    <sheetView workbookViewId="0">
      <selection sqref="A1:A2"/>
    </sheetView>
  </sheetViews>
  <sheetFormatPr defaultRowHeight="12.75"/>
  <sheetData>
    <row r="1" spans="1:1">
      <c r="A1" t="s">
        <v>0</v>
      </c>
    </row>
    <row r="2" spans="1:1">
      <c r="A2" t="str">
        <f>CONCATENATE(ROUND('symptom weights'!A2,0)," ,  ")</f>
        <v xml:space="preserve">526 ,  </v>
      </c>
    </row>
    <row r="3" spans="1:1">
      <c r="A3" t="str">
        <f>CONCATENATE(ROUND('symptom weights'!A3,0)," ,  ")</f>
        <v xml:space="preserve">168 ,  </v>
      </c>
    </row>
    <row r="4" spans="1:1">
      <c r="A4" t="str">
        <f>CONCATENATE(ROUND('symptom weights'!A4,0)," ,  ")</f>
        <v xml:space="preserve">294 ,  </v>
      </c>
    </row>
    <row r="5" spans="1:1">
      <c r="A5" t="str">
        <f>CONCATENATE(ROUND('symptom weights'!A5,0)," ,  ")</f>
        <v xml:space="preserve">234 ,  </v>
      </c>
    </row>
    <row r="6" spans="1:1">
      <c r="A6" t="str">
        <f>CONCATENATE(ROUND('symptom weights'!A6,0)," ,  ")</f>
        <v xml:space="preserve">439 ,  </v>
      </c>
    </row>
    <row r="7" spans="1:1">
      <c r="A7" t="str">
        <f>CONCATENATE(ROUND('symptom weights'!A7,0)," ,  ")</f>
        <v xml:space="preserve">294 ,  </v>
      </c>
    </row>
    <row r="8" spans="1:1">
      <c r="A8" t="str">
        <f>CONCATENATE(ROUND('symptom weights'!A8,0)," ,  ")</f>
        <v xml:space="preserve">173 ,  </v>
      </c>
    </row>
    <row r="9" spans="1:1">
      <c r="A9" t="str">
        <f>CONCATENATE(ROUND('symptom weights'!A9,0)," ,  ")</f>
        <v xml:space="preserve">233 ,  </v>
      </c>
    </row>
    <row r="10" spans="1:1">
      <c r="A10" t="str">
        <f>CONCATENATE(ROUND('symptom weights'!A10,0)," ,  ")</f>
        <v xml:space="preserve">518 ,  </v>
      </c>
    </row>
    <row r="11" spans="1:1">
      <c r="A11" t="str">
        <f>CONCATENATE(ROUND('symptom weights'!A11,0)," ,  ")</f>
        <v xml:space="preserve">49 ,  </v>
      </c>
    </row>
    <row r="12" spans="1:1">
      <c r="A12" t="str">
        <f>CONCATENATE(ROUND('symptom weights'!A12,0)," ,  ")</f>
        <v xml:space="preserve">474 ,  </v>
      </c>
    </row>
    <row r="13" spans="1:1">
      <c r="A13" t="str">
        <f>CONCATENATE(ROUND('symptom weights'!A13,0)," ,  ")</f>
        <v xml:space="preserve">1121 ,  </v>
      </c>
    </row>
    <row r="14" spans="1:1">
      <c r="A14" t="str">
        <f>CONCATENATE(ROUND('symptom weights'!A14,0)," ,  ")</f>
        <v xml:space="preserve">1133 ,  </v>
      </c>
    </row>
    <row r="15" spans="1:1">
      <c r="A15" t="str">
        <f>CONCATENATE(ROUND('symptom weights'!A15,0)," ,  ")</f>
        <v xml:space="preserve">34 ,  </v>
      </c>
    </row>
    <row r="16" spans="1:1">
      <c r="A16" t="str">
        <f>CONCATENATE(ROUND('symptom weights'!A16,0)," ,  ")</f>
        <v xml:space="preserve">1493 ,  </v>
      </c>
    </row>
    <row r="17" spans="1:1">
      <c r="A17" t="str">
        <f>CONCATENATE(ROUND('symptom weights'!A17,0)," ,  ")</f>
        <v xml:space="preserve">334 ,  </v>
      </c>
    </row>
    <row r="18" spans="1:1">
      <c r="A18" t="str">
        <f>CONCATENATE(ROUND('symptom weights'!A18,0)," ,  ")</f>
        <v xml:space="preserve">409 ,  </v>
      </c>
    </row>
    <row r="19" spans="1:1">
      <c r="A19" t="str">
        <f>CONCATENATE(ROUND('symptom weights'!A19,0)," ,  ")</f>
        <v xml:space="preserve">283 ,  </v>
      </c>
    </row>
    <row r="20" spans="1:1">
      <c r="A20" t="str">
        <f>CONCATENATE(ROUND('symptom weights'!A20,0)," ,  ")</f>
        <v xml:space="preserve">1195 ,  </v>
      </c>
    </row>
    <row r="21" spans="1:1">
      <c r="A21" t="str">
        <f>CONCATENATE(ROUND('symptom weights'!A21,0)," ,  ")</f>
        <v xml:space="preserve">1147 ,  </v>
      </c>
    </row>
    <row r="22" spans="1:1">
      <c r="A22" t="str">
        <f>CONCATENATE(ROUND('symptom weights'!A22,0)," ,  ")</f>
        <v xml:space="preserve">533 ,  </v>
      </c>
    </row>
    <row r="23" spans="1:1">
      <c r="A23" t="str">
        <f>CONCATENATE(ROUND('symptom weights'!A23,0)," ,  ")</f>
        <v xml:space="preserve">916 ,  </v>
      </c>
    </row>
    <row r="24" spans="1:1">
      <c r="A24" t="str">
        <f>CONCATENATE(ROUND('symptom weights'!A24,0)," ,  ")</f>
        <v xml:space="preserve">517 ,  </v>
      </c>
    </row>
    <row r="25" spans="1:1">
      <c r="A25" t="str">
        <f>CONCATENATE(ROUND('symptom weights'!A25,0)," ,  ")</f>
        <v xml:space="preserve">428 ,  </v>
      </c>
    </row>
    <row r="26" spans="1:1">
      <c r="A26" t="str">
        <f>CONCATENATE(ROUND('symptom weights'!A26,0)," ,  ")</f>
        <v xml:space="preserve">443 ,  </v>
      </c>
    </row>
    <row r="27" spans="1:1">
      <c r="A27" t="str">
        <f>CONCATENATE(ROUND('symptom weights'!A27,0)," ,  ")</f>
        <v xml:space="preserve">1033 ,  </v>
      </c>
    </row>
    <row r="28" spans="1:1">
      <c r="A28" t="str">
        <f>CONCATENATE(ROUND('symptom weights'!A28,0)," ,  ")</f>
        <v xml:space="preserve">986 ,  </v>
      </c>
    </row>
    <row r="29" spans="1:1">
      <c r="A29" t="str">
        <f>CONCATENATE(ROUND('symptom weights'!A29,0)," ,  ")</f>
        <v xml:space="preserve">617 ,  </v>
      </c>
    </row>
    <row r="30" spans="1:1">
      <c r="A30" t="str">
        <f>CONCATENATE(ROUND('symptom weights'!A30,0)," ,  ")</f>
        <v xml:space="preserve">148 ,  </v>
      </c>
    </row>
    <row r="31" spans="1:1">
      <c r="A31" t="str">
        <f>CONCATENATE(ROUND('symptom weights'!A31,0)," ,  ")</f>
        <v xml:space="preserve">1311 ,  </v>
      </c>
    </row>
    <row r="32" spans="1:1">
      <c r="A32" t="str">
        <f>CONCATENATE(ROUND('symptom weights'!A32,0)," ,  ")</f>
        <v xml:space="preserve">80 ,  </v>
      </c>
    </row>
    <row r="33" spans="1:1">
      <c r="A33" t="str">
        <f>CONCATENATE(ROUND('symptom weights'!A33,0)," ,  ")</f>
        <v xml:space="preserve">414 ,  </v>
      </c>
    </row>
    <row r="34" spans="1:1">
      <c r="A34" t="str">
        <f>CONCATENATE(ROUND('symptom weights'!A34,0)," ,  ")</f>
        <v xml:space="preserve">1345 ,  </v>
      </c>
    </row>
    <row r="35" spans="1:1">
      <c r="A35" t="str">
        <f>CONCATENATE(ROUND('symptom weights'!A35,0)," ,  ")</f>
        <v xml:space="preserve">829 ,  </v>
      </c>
    </row>
    <row r="36" spans="1:1">
      <c r="A36" t="str">
        <f>CONCATENATE(ROUND('symptom weights'!A36,0)," ,  ")</f>
        <v xml:space="preserve">1489 ,  </v>
      </c>
    </row>
    <row r="37" spans="1:1">
      <c r="A37" t="str">
        <f>CONCATENATE(ROUND('symptom weights'!A37,0)," ,  ")</f>
        <v xml:space="preserve">154 ,  </v>
      </c>
    </row>
    <row r="38" spans="1:1">
      <c r="A38" t="str">
        <f>CONCATENATE(ROUND('symptom weights'!A38,0)," ,  ")</f>
        <v xml:space="preserve">1020 ,  </v>
      </c>
    </row>
    <row r="39" spans="1:1">
      <c r="A39" t="str">
        <f>CONCATENATE(ROUND('symptom weights'!A39,0)," ,  ")</f>
        <v xml:space="preserve">605 ,  </v>
      </c>
    </row>
    <row r="40" spans="1:1">
      <c r="A40" t="str">
        <f>CONCATENATE(ROUND('symptom weights'!A40,0)," ,  ")</f>
        <v xml:space="preserve">1162 ,  </v>
      </c>
    </row>
    <row r="41" spans="1:1">
      <c r="A41" t="str">
        <f>CONCATENATE(ROUND('symptom weights'!A41,0)," ,  ")</f>
        <v xml:space="preserve">798 ,  </v>
      </c>
    </row>
    <row r="42" spans="1:1">
      <c r="A42" t="str">
        <f>CONCATENATE(ROUND('symptom weights'!A42,0)," ,  ")</f>
        <v xml:space="preserve">751 ,  </v>
      </c>
    </row>
    <row r="43" spans="1:1">
      <c r="A43" t="str">
        <f>CONCATENATE(ROUND('symptom weights'!A43,0)," ,  ")</f>
        <v xml:space="preserve">211 ,  </v>
      </c>
    </row>
    <row r="44" spans="1:1">
      <c r="A44" t="str">
        <f>CONCATENATE(ROUND('symptom weights'!A44,0)," ,  ")</f>
        <v xml:space="preserve">189 ,  </v>
      </c>
    </row>
    <row r="45" spans="1:1">
      <c r="A45" t="str">
        <f>CONCATENATE(ROUND('symptom weights'!A45,0)," ,  ")</f>
        <v xml:space="preserve">198 ,  </v>
      </c>
    </row>
    <row r="46" spans="1:1">
      <c r="A46" t="str">
        <f>CONCATENATE(ROUND('symptom weights'!A46,0)," ,  ")</f>
        <v xml:space="preserve">277 ,  </v>
      </c>
    </row>
    <row r="47" spans="1:1">
      <c r="A47" t="str">
        <f>CONCATENATE(ROUND('symptom weights'!A47,0)," ,  ")</f>
        <v xml:space="preserve">190 ,  </v>
      </c>
    </row>
    <row r="48" spans="1:1">
      <c r="A48" t="str">
        <f>CONCATENATE(ROUND('symptom weights'!A48,0)," ,  ")</f>
        <v xml:space="preserve">96 ,  </v>
      </c>
    </row>
    <row r="49" spans="1:1">
      <c r="A49" t="str">
        <f>CONCATENATE(ROUND('symptom weights'!A49,0)," ,  ")</f>
        <v xml:space="preserve">111 ,  </v>
      </c>
    </row>
    <row r="50" spans="1:1">
      <c r="A50" t="str">
        <f>CONCATENATE(ROUND('symptom weights'!A50,0)," ,  ")</f>
        <v xml:space="preserve">163 ,  </v>
      </c>
    </row>
    <row r="51" spans="1:1">
      <c r="A51" t="str">
        <f>CONCATENATE(ROUND('symptom weights'!A51,0)," ,  ")</f>
        <v xml:space="preserve">357 ,  </v>
      </c>
    </row>
    <row r="52" spans="1:1">
      <c r="A52" t="str">
        <f>CONCATENATE(ROUND('symptom weights'!A52,0)," ,  ")</f>
        <v xml:space="preserve">92 ,  </v>
      </c>
    </row>
    <row r="53" spans="1:1">
      <c r="A53" t="str">
        <f>CONCATENATE(ROUND('symptom weights'!A53,0)," ,  ")</f>
        <v xml:space="preserve">142 ,  </v>
      </c>
    </row>
    <row r="54" spans="1:1">
      <c r="A54" t="str">
        <f>CONCATENATE(ROUND('symptom weights'!A54,0)," ,  ")</f>
        <v xml:space="preserve">1079 ,  </v>
      </c>
    </row>
    <row r="55" spans="1:1">
      <c r="A55" t="str">
        <f>CONCATENATE(ROUND('symptom weights'!A55,0)," ,  ")</f>
        <v xml:space="preserve">623 ,  </v>
      </c>
    </row>
    <row r="56" spans="1:1">
      <c r="A56" t="str">
        <f>CONCATENATE(ROUND('symptom weights'!A56,0)," ,  ")</f>
        <v xml:space="preserve">126 ,  </v>
      </c>
    </row>
    <row r="57" spans="1:1">
      <c r="A57" t="str">
        <f>CONCATENATE(ROUND('symptom weights'!A57,0)," ,  ")</f>
        <v xml:space="preserve">139 ,  </v>
      </c>
    </row>
    <row r="58" spans="1:1">
      <c r="A58" t="str">
        <f>CONCATENATE(ROUND('symptom weights'!A58,0)," ,  ")</f>
        <v xml:space="preserve">497 ,  </v>
      </c>
    </row>
    <row r="59" spans="1:1">
      <c r="A59" t="str">
        <f>CONCATENATE(ROUND('symptom weights'!A59,0)," ,  ")</f>
        <v xml:space="preserve">366 ,  </v>
      </c>
    </row>
    <row r="60" spans="1:1">
      <c r="A60" t="str">
        <f>CONCATENATE(ROUND('symptom weights'!A60,0)," ,  ")</f>
        <v xml:space="preserve">118 ,  </v>
      </c>
    </row>
    <row r="61" spans="1:1">
      <c r="A61" t="str">
        <f>CONCATENATE(ROUND('symptom weights'!A61,0)," ,  ")</f>
        <v xml:space="preserve">309 ,  </v>
      </c>
    </row>
    <row r="62" spans="1:1">
      <c r="A62" t="str">
        <f>CONCATENATE(ROUND('symptom weights'!A62,0)," ,  ")</f>
        <v xml:space="preserve">101 ,  </v>
      </c>
    </row>
    <row r="63" spans="1:1">
      <c r="A63" t="str">
        <f>CONCATENATE(ROUND('symptom weights'!A63,0)," ,  ")</f>
        <v xml:space="preserve">100 ,  </v>
      </c>
    </row>
    <row r="64" spans="1:1">
      <c r="A64" t="str">
        <f>CONCATENATE(ROUND('symptom weights'!A64,0)," ,  ")</f>
        <v xml:space="preserve">128 ,  </v>
      </c>
    </row>
    <row r="65" spans="1:1">
      <c r="A65" t="str">
        <f>CONCATENATE(ROUND('symptom weights'!A65,0)," ,  ")</f>
        <v xml:space="preserve">138 ,  </v>
      </c>
    </row>
    <row r="66" spans="1:1">
      <c r="A66" t="str">
        <f>CONCATENATE(ROUND('symptom weights'!A66,0)," ,  ")</f>
        <v xml:space="preserve">78 ,  </v>
      </c>
    </row>
    <row r="67" spans="1:1">
      <c r="A67" t="str">
        <f>CONCATENATE(ROUND('symptom weights'!A67,0)," ,  ")</f>
        <v xml:space="preserve">304 ,  </v>
      </c>
    </row>
    <row r="68" spans="1:1">
      <c r="A68" t="str">
        <f>CONCATENATE(ROUND('symptom weights'!A68,0)," ,  ")</f>
        <v xml:space="preserve">6083 ,  </v>
      </c>
    </row>
    <row r="69" spans="1:1">
      <c r="A69" t="str">
        <f>CONCATENATE(ROUND('symptom weights'!A69,0)," ,  ")</f>
        <v xml:space="preserve">1318 ,  </v>
      </c>
    </row>
    <row r="70" spans="1:1">
      <c r="A70" t="str">
        <f>CONCATENATE(ROUND('symptom weights'!A70,0)," ,  ")</f>
        <v xml:space="preserve">1562 ,  </v>
      </c>
    </row>
    <row r="71" spans="1:1">
      <c r="A71" t="str">
        <f>CONCATENATE(ROUND('symptom weights'!A71,0)," ,  ")</f>
        <v xml:space="preserve">612 ,  </v>
      </c>
    </row>
    <row r="72" spans="1:1">
      <c r="A72" t="str">
        <f>CONCATENATE(ROUND('symptom weights'!A72,0)," ,  ")</f>
        <v xml:space="preserve">2375 ,  </v>
      </c>
    </row>
    <row r="73" spans="1:1">
      <c r="A73" t="str">
        <f>CONCATENATE(ROUND('symptom weights'!A73,0)," ,  ")</f>
        <v xml:space="preserve">2192 ,  </v>
      </c>
    </row>
    <row r="74" spans="1:1">
      <c r="A74" t="str">
        <f>CONCATENATE(ROUND('symptom weights'!A74,0)," ,  ")</f>
        <v xml:space="preserve">1234 ,  </v>
      </c>
    </row>
    <row r="75" spans="1:1">
      <c r="A75" t="str">
        <f>CONCATENATE(ROUND('symptom weights'!A75,0)," ,  ")</f>
        <v xml:space="preserve">1555 ,  </v>
      </c>
    </row>
    <row r="76" spans="1:1">
      <c r="A76" t="str">
        <f>CONCATENATE(ROUND('symptom weights'!A76,0)," ,  ")</f>
        <v xml:space="preserve">1008 ,  </v>
      </c>
    </row>
    <row r="77" spans="1:1">
      <c r="A77" t="str">
        <f>CONCATENATE(ROUND('symptom weights'!A77,0)," ,  ")</f>
        <v xml:space="preserve">231 ,  </v>
      </c>
    </row>
    <row r="78" spans="1:1">
      <c r="A78" t="str">
        <f>CONCATENATE(ROUND('symptom weights'!A78,0)," ,  ")</f>
        <v xml:space="preserve">646 ,  </v>
      </c>
    </row>
    <row r="79" spans="1:1">
      <c r="A79" t="str">
        <f>CONCATENATE(ROUND('symptom weights'!A79,0)," ,  ")</f>
        <v xml:space="preserve">504 ,  </v>
      </c>
    </row>
    <row r="80" spans="1:1">
      <c r="A80" t="str">
        <f>CONCATENATE(ROUND('symptom weights'!A80,0)," ,  ")</f>
        <v xml:space="preserve">1318 ,  </v>
      </c>
    </row>
    <row r="81" spans="1:1">
      <c r="A81" t="str">
        <f>CONCATENATE(ROUND('symptom weights'!A81,0)," ,  ")</f>
        <v xml:space="preserve">673 ,  </v>
      </c>
    </row>
    <row r="82" spans="1:1">
      <c r="A82" t="str">
        <f>CONCATENATE(ROUND('symptom weights'!A82,0)," ,  ")</f>
        <v xml:space="preserve">1772 ,  </v>
      </c>
    </row>
    <row r="83" spans="1:1">
      <c r="A83" t="str">
        <f>CONCATENATE(ROUND('symptom weights'!A83,0)," ,  ")</f>
        <v xml:space="preserve">1199 ,  </v>
      </c>
    </row>
    <row r="84" spans="1:1">
      <c r="A84" t="str">
        <f>CONCATENATE(ROUND('symptom weights'!A84,0)," ,  ")</f>
        <v xml:space="preserve">1011 ,  </v>
      </c>
    </row>
    <row r="85" spans="1:1">
      <c r="A85" t="str">
        <f>CONCATENATE(ROUND('symptom weights'!A85,0)," ,  ")</f>
        <v xml:space="preserve">1587 ,  </v>
      </c>
    </row>
    <row r="86" spans="1:1">
      <c r="A86" t="str">
        <f>CONCATENATE(ROUND('symptom weights'!A86,0)," ,  ")</f>
        <v xml:space="preserve">1774 ,  </v>
      </c>
    </row>
    <row r="87" spans="1:1">
      <c r="A87" t="str">
        <f>CONCATENATE(ROUND('symptom weights'!A87,0)," ,  ")</f>
        <v xml:space="preserve">1877 ,  </v>
      </c>
    </row>
    <row r="88" spans="1:1">
      <c r="A88" t="str">
        <f>CONCATENATE(ROUND('symptom weights'!A88,0)," ,  ")</f>
        <v xml:space="preserve">3993 ,  </v>
      </c>
    </row>
    <row r="89" spans="1:1">
      <c r="A89" t="str">
        <f>CONCATENATE(ROUND('symptom weights'!A89,0)," ,  ")</f>
        <v xml:space="preserve">5272 ,  </v>
      </c>
    </row>
    <row r="90" spans="1:1">
      <c r="A90" t="str">
        <f>CONCATENATE(ROUND('symptom weights'!A90,0)," ,  ")</f>
        <v xml:space="preserve">1754 ,  </v>
      </c>
    </row>
    <row r="91" spans="1:1">
      <c r="A91" t="str">
        <f>CONCATENATE(ROUND('symptom weights'!A91,0)," ,  ")</f>
        <v xml:space="preserve">825 ,  </v>
      </c>
    </row>
    <row r="92" spans="1:1">
      <c r="A92" t="str">
        <f>CONCATENATE(ROUND('symptom weights'!A92,0)," ,  ")</f>
        <v xml:space="preserve">1957 ,  </v>
      </c>
    </row>
    <row r="93" spans="1:1">
      <c r="A93" t="str">
        <f>CONCATENATE(ROUND('symptom weights'!A93,0)," ,  ")</f>
        <v xml:space="preserve">3297 ,  </v>
      </c>
    </row>
    <row r="94" spans="1:1">
      <c r="A94" t="str">
        <f>CONCATENATE(ROUND('symptom weights'!A94,0)," ,  ")</f>
        <v xml:space="preserve">1523 ,  </v>
      </c>
    </row>
    <row r="95" spans="1:1">
      <c r="A95" t="str">
        <f>CONCATENATE(ROUND('symptom weights'!A95,0)," ,  ")</f>
        <v xml:space="preserve">776 ,  </v>
      </c>
    </row>
    <row r="96" spans="1:1">
      <c r="A96" t="str">
        <f>CONCATENATE(ROUND('symptom weights'!A96,0)," ,  ")</f>
        <v xml:space="preserve">1148 ,  </v>
      </c>
    </row>
    <row r="97" spans="1:1">
      <c r="A97" t="str">
        <f>CONCATENATE(ROUND('symptom weights'!A97,0)," ,  ")</f>
        <v xml:space="preserve">792 ,  </v>
      </c>
    </row>
    <row r="98" spans="1:1">
      <c r="A98" t="str">
        <f>CONCATENATE(ROUND('symptom weights'!A98,0)," ,  ")</f>
        <v xml:space="preserve">1274 ,  </v>
      </c>
    </row>
    <row r="99" spans="1:1">
      <c r="A99" t="str">
        <f>CONCATENATE(ROUND('symptom weights'!A99,0)," ,  ")</f>
        <v xml:space="preserve">1336 ,  </v>
      </c>
    </row>
    <row r="100" spans="1:1">
      <c r="A100" t="str">
        <f>CONCATENATE(ROUND('symptom weights'!A100,0)," ,  ")</f>
        <v xml:space="preserve">1176 ,  </v>
      </c>
    </row>
    <row r="101" spans="1:1">
      <c r="A101" t="str">
        <f>CONCATENATE(ROUND('symptom weights'!A101,0)," ,  ")</f>
        <v xml:space="preserve">1662 ,  </v>
      </c>
    </row>
    <row r="102" spans="1:1">
      <c r="A102" t="str">
        <f>CONCATENATE(ROUND('symptom weights'!A102,0)," ,  ")</f>
        <v xml:space="preserve">1258 ,  </v>
      </c>
    </row>
    <row r="103" spans="1:1">
      <c r="A103" t="str">
        <f>CONCATENATE(ROUND('symptom weights'!A103,0)," ,  ")</f>
        <v xml:space="preserve">786 ,  </v>
      </c>
    </row>
    <row r="104" spans="1:1">
      <c r="A104" t="str">
        <f>CONCATENATE(ROUND('symptom weights'!A104,0)," ,  ")</f>
        <v xml:space="preserve">716 ,  </v>
      </c>
    </row>
    <row r="105" spans="1:1">
      <c r="A105" t="str">
        <f>CONCATENATE(ROUND('symptom weights'!A105,0)," ,  ")</f>
        <v xml:space="preserve">1550 ,  </v>
      </c>
    </row>
    <row r="106" spans="1:1">
      <c r="A106" t="str">
        <f>CONCATENATE(ROUND('symptom weights'!A106,0)," ,  ")</f>
        <v xml:space="preserve">1330 ,  </v>
      </c>
    </row>
    <row r="107" spans="1:1">
      <c r="A107" t="str">
        <f>CONCATENATE(ROUND('symptom weights'!A107,0)," ,  ")</f>
        <v xml:space="preserve">450 ,  </v>
      </c>
    </row>
    <row r="108" spans="1:1">
      <c r="A108" t="str">
        <f>CONCATENATE(ROUND('symptom weights'!A108,0)," ,  ")</f>
        <v xml:space="preserve">1306 ,  </v>
      </c>
    </row>
    <row r="109" spans="1:1">
      <c r="A109" t="str">
        <f>CONCATENATE(ROUND('symptom weights'!A109,0)," ,  ")</f>
        <v xml:space="preserve">701 ,  </v>
      </c>
    </row>
    <row r="110" spans="1:1">
      <c r="A110" t="str">
        <f>CONCATENATE(ROUND('symptom weights'!A110,0)," ,  ")</f>
        <v xml:space="preserve">1317 ,  </v>
      </c>
    </row>
    <row r="111" spans="1:1">
      <c r="A111" t="str">
        <f>CONCATENATE(ROUND('symptom weights'!A111,0)," ,  ")</f>
        <v xml:space="preserve">1677 ,  </v>
      </c>
    </row>
    <row r="112" spans="1:1">
      <c r="A112" t="str">
        <f>CONCATENATE(ROUND('symptom weights'!A112,0)," ,  ")</f>
        <v xml:space="preserve">4184 ,  </v>
      </c>
    </row>
    <row r="113" spans="1:1">
      <c r="A113" t="str">
        <f>CONCATENATE(ROUND('symptom weights'!A113,0)," ,  ")</f>
        <v xml:space="preserve">445 ,  </v>
      </c>
    </row>
    <row r="114" spans="1:1">
      <c r="A114" t="str">
        <f>CONCATENATE(ROUND('symptom weights'!A114,0)," ,  ")</f>
        <v xml:space="preserve">1268 ,  </v>
      </c>
    </row>
    <row r="115" spans="1:1">
      <c r="A115" t="str">
        <f>CONCATENATE(ROUND('symptom weights'!A115,0)," ,  ")</f>
        <v xml:space="preserve">1754 ,  </v>
      </c>
    </row>
    <row r="116" spans="1:1">
      <c r="A116" t="str">
        <f>CONCATENATE(ROUND('symptom weights'!A116,0)," ,  ")</f>
        <v xml:space="preserve">4283 ,  </v>
      </c>
    </row>
    <row r="117" spans="1:1">
      <c r="A117" t="str">
        <f>CONCATENATE(ROUND('symptom weights'!A117,0)," ,  ")</f>
        <v xml:space="preserve">2481 ,  </v>
      </c>
    </row>
    <row r="118" spans="1:1">
      <c r="A118" t="str">
        <f>CONCATENATE(ROUND('symptom weights'!A118,0)," ,  ")</f>
        <v xml:space="preserve">1220 ,  </v>
      </c>
    </row>
    <row r="119" spans="1:1">
      <c r="A119" t="str">
        <f>CONCATENATE(ROUND('symptom weights'!A119,0)," ,  ")</f>
        <v xml:space="preserve">1467 ,  </v>
      </c>
    </row>
    <row r="120" spans="1:1">
      <c r="A120" t="str">
        <f>CONCATENATE(ROUND('symptom weights'!A120,0)," ,  ")</f>
        <v xml:space="preserve">805 ,  </v>
      </c>
    </row>
    <row r="121" spans="1:1">
      <c r="A121" t="str">
        <f>CONCATENATE(ROUND('symptom weights'!A121,0)," ,  ")</f>
        <v xml:space="preserve">2168 ,  </v>
      </c>
    </row>
    <row r="122" spans="1:1">
      <c r="A122" t="str">
        <f>CONCATENATE(ROUND('symptom weights'!A122,0)," ,  ")</f>
        <v xml:space="preserve">1536 ,  </v>
      </c>
    </row>
    <row r="123" spans="1:1">
      <c r="A123" t="str">
        <f>CONCATENATE(ROUND('symptom weights'!A123,0)," ,  ")</f>
        <v xml:space="preserve">2222 ,  </v>
      </c>
    </row>
    <row r="124" spans="1:1">
      <c r="A124" t="str">
        <f>CONCATENATE(ROUND('symptom weights'!A124,0)," ,  ")</f>
        <v xml:space="preserve">2633 ,  </v>
      </c>
    </row>
    <row r="125" spans="1:1">
      <c r="A125" t="str">
        <f>CONCATENATE(ROUND('symptom weights'!A125,0)," ,  ")</f>
        <v xml:space="preserve">1627 ,  </v>
      </c>
    </row>
    <row r="126" spans="1:1">
      <c r="A126" t="str">
        <f>CONCATENATE(ROUND('symptom weights'!A126,0)," ,  ")</f>
        <v xml:space="preserve">757 ,  </v>
      </c>
    </row>
    <row r="127" spans="1:1">
      <c r="A127" t="str">
        <f>CONCATENATE(ROUND('symptom weights'!A127,0)," ,  ")</f>
        <v xml:space="preserve">791 ,  </v>
      </c>
    </row>
    <row r="128" spans="1:1">
      <c r="A128" t="str">
        <f>CONCATENATE(ROUND('symptom weights'!A128,0)," ,  ")</f>
        <v xml:space="preserve">1900 ,  </v>
      </c>
    </row>
    <row r="129" spans="1:1">
      <c r="A129" t="str">
        <f>CONCATENATE(ROUND('symptom weights'!A129,0)," ,  ")</f>
        <v xml:space="preserve">2103 ,  </v>
      </c>
    </row>
    <row r="130" spans="1:1">
      <c r="A130" t="str">
        <f>CONCATENATE(ROUND('symptom weights'!A130,0)," ,  ")</f>
        <v xml:space="preserve">2082 ,  </v>
      </c>
    </row>
    <row r="131" spans="1:1">
      <c r="A131" t="str">
        <f>CONCATENATE(ROUND('symptom weights'!A131,0)," ,  ")</f>
        <v xml:space="preserve">472 ,  </v>
      </c>
    </row>
    <row r="132" spans="1:1">
      <c r="A132" t="str">
        <f>CONCATENATE(ROUND('symptom weights'!A132,0)," ,  ")</f>
        <v xml:space="preserve">1547 ,  </v>
      </c>
    </row>
    <row r="133" spans="1:1">
      <c r="A133" t="str">
        <f>CONCATENATE(ROUND('symptom weights'!A133,0)," ,  ")</f>
        <v xml:space="preserve">475 ,  </v>
      </c>
    </row>
    <row r="134" spans="1:1">
      <c r="A134" t="str">
        <f>CONCATENATE(ROUND('symptom weights'!A134,0)," ,  ")</f>
        <v xml:space="preserve">944 ,  </v>
      </c>
    </row>
    <row r="135" spans="1:1">
      <c r="A135" t="str">
        <f>CONCATENATE(ROUND('symptom weights'!A135,0)," ,  ")</f>
        <v xml:space="preserve">1781 ,  </v>
      </c>
    </row>
    <row r="136" spans="1:1">
      <c r="A136" t="str">
        <f>CONCATENATE(ROUND('symptom weights'!A136,0)," ,  ")</f>
        <v xml:space="preserve">2295 ,  </v>
      </c>
    </row>
    <row r="137" spans="1:1">
      <c r="A137" t="str">
        <f>CONCATENATE(ROUND('symptom weights'!A137,0)," ,  ")</f>
        <v xml:space="preserve">1330 ,  </v>
      </c>
    </row>
    <row r="138" spans="1:1">
      <c r="A138" t="str">
        <f>CONCATENATE(ROUND('symptom weights'!A138,0)," ,  ")</f>
        <v xml:space="preserve">1622 ,  </v>
      </c>
    </row>
    <row r="139" spans="1:1">
      <c r="A139" t="str">
        <f>CONCATENATE(ROUND('symptom weights'!A139,0)," ,  ")</f>
        <v xml:space="preserve">2405 ,  </v>
      </c>
    </row>
    <row r="140" spans="1:1">
      <c r="A140" t="str">
        <f>CONCATENATE(ROUND('symptom weights'!A140,0)," ,  ")</f>
        <v xml:space="preserve">2350 ,  </v>
      </c>
    </row>
    <row r="141" spans="1:1">
      <c r="A141" t="str">
        <f>CONCATENATE(ROUND('symptom weights'!A141,0)," ,  ")</f>
        <v xml:space="preserve">1448 ,  </v>
      </c>
    </row>
    <row r="142" spans="1:1">
      <c r="A142" t="str">
        <f>CONCATENATE(ROUND('symptom weights'!A142,0)," ,  ")</f>
        <v xml:space="preserve">410 ,  </v>
      </c>
    </row>
    <row r="143" spans="1:1">
      <c r="A143" t="str">
        <f>CONCATENATE(ROUND('symptom weights'!A143,0)," ,  ")</f>
        <v xml:space="preserve">619 ,  </v>
      </c>
    </row>
    <row r="144" spans="1:1">
      <c r="A144" t="str">
        <f>CONCATENATE(ROUND('symptom weights'!A144,0)," ,  ")</f>
        <v xml:space="preserve">1746 ,  </v>
      </c>
    </row>
    <row r="145" spans="1:1">
      <c r="A145" t="str">
        <f>CONCATENATE(ROUND('symptom weights'!A145,0)," ,  ")</f>
        <v xml:space="preserve">2046 ,  </v>
      </c>
    </row>
    <row r="146" spans="1:1">
      <c r="A146" t="str">
        <f>CONCATENATE(ROUND('symptom weights'!A146,0)," ,  ")</f>
        <v xml:space="preserve">1121 ,  </v>
      </c>
    </row>
    <row r="147" spans="1:1">
      <c r="A147" t="str">
        <f>CONCATENATE(ROUND('symptom weights'!A147,0)," ,  ")</f>
        <v xml:space="preserve">1288 ,  </v>
      </c>
    </row>
    <row r="148" spans="1:1">
      <c r="A148" t="str">
        <f>CONCATENATE(ROUND('symptom weights'!A148,0)," ,  ")</f>
        <v xml:space="preserve">2764 ,  </v>
      </c>
    </row>
    <row r="149" spans="1:1">
      <c r="A149" t="str">
        <f>CONCATENATE(ROUND('symptom weights'!A149,0)," ,  ")</f>
        <v xml:space="preserve">3146 ,  </v>
      </c>
    </row>
    <row r="150" spans="1:1">
      <c r="A150" t="str">
        <f>CONCATENATE(ROUND('symptom weights'!A150,0)," ,  ")</f>
        <v xml:space="preserve">6161 ,  </v>
      </c>
    </row>
    <row r="151" spans="1:1">
      <c r="A151" t="str">
        <f>CONCATENATE(ROUND('symptom weights'!A151,0)," ,  ")</f>
        <v xml:space="preserve">2757 ,  </v>
      </c>
    </row>
    <row r="152" spans="1:1">
      <c r="A152" t="str">
        <f>CONCATENATE(ROUND('symptom weights'!A152,0)," ,  ")</f>
        <v xml:space="preserve">1004 ,  </v>
      </c>
    </row>
    <row r="153" spans="1:1">
      <c r="A153" t="str">
        <f>CONCATENATE(ROUND('symptom weights'!A153,0)," ,  ")</f>
        <v xml:space="preserve">7948 ,  </v>
      </c>
    </row>
    <row r="154" spans="1:1">
      <c r="A154" t="str">
        <f>CONCATENATE(ROUND('symptom weights'!A154,0)," ,  ")</f>
        <v xml:space="preserve">3382 ,  </v>
      </c>
    </row>
    <row r="155" spans="1:1">
      <c r="A155" t="str">
        <f>CONCATENATE(ROUND('symptom weights'!A155,0)," ,  ")</f>
        <v xml:space="preserve">1136 ,  </v>
      </c>
    </row>
    <row r="156" spans="1:1">
      <c r="A156" t="str">
        <f>CONCATENATE(ROUND('symptom weights'!A156,0)," ,  ")</f>
        <v xml:space="preserve">1798 ,  </v>
      </c>
    </row>
    <row r="157" spans="1:1">
      <c r="A157" t="str">
        <f>CONCATENATE(ROUND('symptom weights'!A157,0)," ,  ")</f>
        <v xml:space="preserve">2989 ,  </v>
      </c>
    </row>
    <row r="158" spans="1:1">
      <c r="A158" t="str">
        <f>CONCATENATE(ROUND('symptom weights'!A158,0)," ,  ")</f>
        <v xml:space="preserve">6050 ,  </v>
      </c>
    </row>
    <row r="159" spans="1:1">
      <c r="A159" t="str">
        <f>CONCATENATE(ROUND('symptom weights'!A159,0)," ,  ")</f>
        <v xml:space="preserve">1791 ,  </v>
      </c>
    </row>
    <row r="160" spans="1:1">
      <c r="A160" t="str">
        <f>CONCATENATE(ROUND('symptom weights'!A160,0)," ,  ")</f>
        <v xml:space="preserve">2466 ,  </v>
      </c>
    </row>
    <row r="161" spans="1:1">
      <c r="A161" t="str">
        <f>CONCATENATE(ROUND('symptom weights'!A161,0)," ,  ")</f>
        <v xml:space="preserve">3326 ,  </v>
      </c>
    </row>
    <row r="162" spans="1:1">
      <c r="A162" t="str">
        <f>CONCATENATE(ROUND('symptom weights'!A162,0)," ,  ")</f>
        <v xml:space="preserve">1426 ,  </v>
      </c>
    </row>
    <row r="163" spans="1:1">
      <c r="A163" t="str">
        <f>CONCATENATE(ROUND('symptom weights'!A163,0)," ,  ")</f>
        <v xml:space="preserve">1972 ,  </v>
      </c>
    </row>
    <row r="164" spans="1:1">
      <c r="A164" t="str">
        <f>CONCATENATE(ROUND('symptom weights'!A164,0)," ,  ")</f>
        <v xml:space="preserve">787 ,  </v>
      </c>
    </row>
    <row r="165" spans="1:1">
      <c r="A165" t="str">
        <f>CONCATENATE(ROUND('symptom weights'!A165,0)," ,  ")</f>
        <v xml:space="preserve">4150 ,  </v>
      </c>
    </row>
    <row r="166" spans="1:1">
      <c r="A166" t="str">
        <f>CONCATENATE(ROUND('symptom weights'!A166,0)," ,  ")</f>
        <v xml:space="preserve">3740 ,  </v>
      </c>
    </row>
    <row r="167" spans="1:1">
      <c r="A167" t="str">
        <f>CONCATENATE(ROUND('symptom weights'!A167,0)," ,  ")</f>
        <v xml:space="preserve">3106 ,  </v>
      </c>
    </row>
    <row r="168" spans="1:1">
      <c r="A168" t="str">
        <f>CONCATENATE(ROUND('symptom weights'!A168,0)," ,  ")</f>
        <v xml:space="preserve">6409 ,  </v>
      </c>
    </row>
    <row r="169" spans="1:1">
      <c r="A169" t="str">
        <f>CONCATENATE(ROUND('symptom weights'!A169,0)," ,  ")</f>
        <v xml:space="preserve">3691 ,  </v>
      </c>
    </row>
    <row r="170" spans="1:1">
      <c r="A170" t="str">
        <f>CONCATENATE(ROUND('symptom weights'!A170,0)," ,  ")</f>
        <v xml:space="preserve">1049 ,  </v>
      </c>
    </row>
    <row r="171" spans="1:1">
      <c r="A171" t="str">
        <f>CONCATENATE(ROUND('symptom weights'!A171,0)," ,  ")</f>
        <v xml:space="preserve">947 ,  </v>
      </c>
    </row>
    <row r="172" spans="1:1">
      <c r="A172" t="str">
        <f>CONCATENATE(ROUND('symptom weights'!A172,0)," ,  ")</f>
        <v xml:space="preserve">505 ,  </v>
      </c>
    </row>
    <row r="173" spans="1:1">
      <c r="A173" t="str">
        <f>CONCATENATE(ROUND('symptom weights'!A173,0)," ,  ")</f>
        <v xml:space="preserve">1076 ,  </v>
      </c>
    </row>
    <row r="174" spans="1:1">
      <c r="A174" t="str">
        <f>CONCATENATE(ROUND('symptom weights'!A174,0)," ,  ")</f>
        <v xml:space="preserve">1101 ,  </v>
      </c>
    </row>
    <row r="175" spans="1:1">
      <c r="A175" t="str">
        <f>CONCATENATE(ROUND('symptom weights'!A175,0)," ,  ")</f>
        <v xml:space="preserve">750 ,  </v>
      </c>
    </row>
    <row r="176" spans="1:1">
      <c r="A176" t="str">
        <f>CONCATENATE(ROUND('symptom weights'!A176,0)," ,  ")</f>
        <v xml:space="preserve">1425 ,  </v>
      </c>
    </row>
    <row r="177" spans="1:1">
      <c r="A177" t="str">
        <f>CONCATENATE(ROUND('symptom weights'!A177,0)," ,  ")</f>
        <v xml:space="preserve">925 ,  </v>
      </c>
    </row>
    <row r="178" spans="1:1">
      <c r="A178" t="str">
        <f>CONCATENATE(ROUND('symptom weights'!A178,0)," ,  ")</f>
        <v xml:space="preserve">878 ,  </v>
      </c>
    </row>
    <row r="179" spans="1:1">
      <c r="A179" t="str">
        <f>CONCATENATE(ROUND('symptom weights'!A179,0)," ,  ")</f>
        <v xml:space="preserve">1463 ,  </v>
      </c>
    </row>
    <row r="180" spans="1:1">
      <c r="A180" t="str">
        <f>CONCATENATE(ROUND('symptom weights'!A180,0)," ,  ")</f>
        <v xml:space="preserve">1119 ,  </v>
      </c>
    </row>
    <row r="181" spans="1:1">
      <c r="A181" t="str">
        <f>CONCATENATE(ROUND('symptom weights'!A181,0)," ,  ")</f>
        <v xml:space="preserve">939 ,  </v>
      </c>
    </row>
    <row r="182" spans="1:1">
      <c r="A182" t="str">
        <f>CONCATENATE(ROUND('symptom weights'!A182,0)," ,  ")</f>
        <v xml:space="preserve">753 ,  </v>
      </c>
    </row>
    <row r="183" spans="1:1">
      <c r="A183" t="str">
        <f>CONCATENATE(ROUND('symptom weights'!A183,0)," ,  ")</f>
        <v xml:space="preserve">860 ,  </v>
      </c>
    </row>
    <row r="184" spans="1:1">
      <c r="A184" t="str">
        <f>CONCATENATE(ROUND('symptom weights'!A184,0)," ,  ")</f>
        <v xml:space="preserve">801 ,  </v>
      </c>
    </row>
    <row r="185" spans="1:1">
      <c r="A185" t="str">
        <f>CONCATENATE(ROUND('symptom weights'!A185,0)," ,  ")</f>
        <v xml:space="preserve">291 ,  </v>
      </c>
    </row>
    <row r="186" spans="1:1">
      <c r="A186" t="str">
        <f>CONCATENATE(ROUND('symptom weights'!A186,0)," ,  ")</f>
        <v xml:space="preserve">1342 ,  </v>
      </c>
    </row>
    <row r="187" spans="1:1">
      <c r="A187" t="str">
        <f>CONCATENATE(ROUND('symptom weights'!A187,0)," ,  ")</f>
        <v xml:space="preserve">1930 ,  </v>
      </c>
    </row>
    <row r="188" spans="1:1">
      <c r="A188" t="str">
        <f>CONCATENATE(ROUND('symptom weights'!A188,0)," ,  ")</f>
        <v xml:space="preserve">1330 ,  </v>
      </c>
    </row>
    <row r="189" spans="1:1">
      <c r="A189" t="str">
        <f>CONCATENATE(ROUND('symptom weights'!A189,0)," ,  ")</f>
        <v xml:space="preserve">475 ,  </v>
      </c>
    </row>
    <row r="190" spans="1:1">
      <c r="A190" t="str">
        <f>CONCATENATE(ROUND('symptom weights'!A190,0)," ,  ")</f>
        <v xml:space="preserve">1795 ,  </v>
      </c>
    </row>
    <row r="191" spans="1:1">
      <c r="A191" t="str">
        <f>CONCATENATE(ROUND('symptom weights'!A191,0)," ,  ")</f>
        <v xml:space="preserve">1512 ,  </v>
      </c>
    </row>
    <row r="192" spans="1:1">
      <c r="A192" t="str">
        <f>CONCATENATE(ROUND('symptom weights'!A192,0)," ,  ")</f>
        <v xml:space="preserve">2121 ,  </v>
      </c>
    </row>
    <row r="193" spans="1:1">
      <c r="A193" t="str">
        <f>CONCATENATE(ROUND('symptom weights'!A193,0)," ,  ")</f>
        <v xml:space="preserve">1814 ,  </v>
      </c>
    </row>
    <row r="194" spans="1:1">
      <c r="A194" t="str">
        <f>CONCATENATE(ROUND('symptom weights'!A194,0)," ,  ")</f>
        <v xml:space="preserve">1305 ,  </v>
      </c>
    </row>
    <row r="195" spans="1:1">
      <c r="A195" t="str">
        <f>CONCATENATE(ROUND('symptom weights'!A195,0)," ,  ")</f>
        <v xml:space="preserve">1412 ,  </v>
      </c>
    </row>
    <row r="196" spans="1:1">
      <c r="A196" t="str">
        <f>CONCATENATE(ROUND('symptom weights'!A196,0)," ,  ")</f>
        <v xml:space="preserve">1020 ,  </v>
      </c>
    </row>
    <row r="197" spans="1:1">
      <c r="A197" t="str">
        <f>CONCATENATE(ROUND('symptom weights'!A197,0)," ,  ")</f>
        <v xml:space="preserve">1170 ,  </v>
      </c>
    </row>
    <row r="198" spans="1:1">
      <c r="A198" t="str">
        <f>CONCATENATE(ROUND('symptom weights'!A198,0)," ,  ")</f>
        <v xml:space="preserve">1160 ,  </v>
      </c>
    </row>
    <row r="199" spans="1:1">
      <c r="A199" t="str">
        <f>CONCATENATE(ROUND('symptom weights'!A199,0)," ,  ")</f>
        <v xml:space="preserve">687 ,  </v>
      </c>
    </row>
    <row r="200" spans="1:1">
      <c r="A200" t="str">
        <f>CONCATENATE(ROUND('symptom weights'!A200,0)," ,  ")</f>
        <v xml:space="preserve">1381 ,  </v>
      </c>
    </row>
    <row r="201" spans="1:1">
      <c r="A201" t="str">
        <f>CONCATENATE(ROUND('symptom weights'!A201,0)," ,  ")</f>
        <v xml:space="preserve">2194 ,  </v>
      </c>
    </row>
    <row r="202" spans="1:1">
      <c r="A202" t="str">
        <f>CONCATENATE(ROUND('symptom weights'!A202,0)," ,  ")</f>
        <v xml:space="preserve">2677 ,  </v>
      </c>
    </row>
    <row r="203" spans="1:1">
      <c r="A203" t="str">
        <f>CONCATENATE(ROUND('symptom weights'!A203,0)," ,  ")</f>
        <v xml:space="preserve">614 ,  </v>
      </c>
    </row>
    <row r="204" spans="1:1">
      <c r="A204" t="str">
        <f>CONCATENATE(ROUND('symptom weights'!A204,0)," ,  ")</f>
        <v xml:space="preserve">1725 ,  </v>
      </c>
    </row>
    <row r="205" spans="1:1">
      <c r="A205" t="str">
        <f>CONCATENATE(ROUND('symptom weights'!A205,0)," ,  ")</f>
        <v xml:space="preserve">824 ,  </v>
      </c>
    </row>
    <row r="206" spans="1:1">
      <c r="A206" t="str">
        <f>CONCATENATE(ROUND('symptom weights'!A206,0)," ,  ")</f>
        <v xml:space="preserve">414 ,  </v>
      </c>
    </row>
    <row r="207" spans="1:1">
      <c r="A207" t="str">
        <f>CONCATENATE(ROUND('symptom weights'!A207,0)," ,  ")</f>
        <v xml:space="preserve">458 ,  </v>
      </c>
    </row>
    <row r="208" spans="1:1">
      <c r="A208" t="str">
        <f>CONCATENATE(ROUND('symptom weights'!A208,0)," ,  ")</f>
        <v xml:space="preserve">377 ,  </v>
      </c>
    </row>
    <row r="209" spans="1:1">
      <c r="A209" t="str">
        <f>CONCATENATE(ROUND('symptom weights'!A209,0)," ,  ")</f>
        <v xml:space="preserve">804 ,  </v>
      </c>
    </row>
    <row r="210" spans="1:1">
      <c r="A210" t="str">
        <f>CONCATENATE(ROUND('symptom weights'!A210,0)," ,  ")</f>
        <v xml:space="preserve">2253 ,  </v>
      </c>
    </row>
    <row r="211" spans="1:1">
      <c r="A211" t="str">
        <f>CONCATENATE(ROUND('symptom weights'!A211,0)," ,  ")</f>
        <v xml:space="preserve">1023 ,  </v>
      </c>
    </row>
    <row r="212" spans="1:1">
      <c r="A212" t="str">
        <f>CONCATENATE(ROUND('symptom weights'!A212,0)," ,  ")</f>
        <v xml:space="preserve">3130 ,  </v>
      </c>
    </row>
    <row r="213" spans="1:1">
      <c r="A213" t="str">
        <f>CONCATENATE(ROUND('symptom weights'!A213,0)," ,  ")</f>
        <v xml:space="preserve">3327 ,  </v>
      </c>
    </row>
    <row r="214" spans="1:1">
      <c r="A214" t="str">
        <f>CONCATENATE(ROUND('symptom weights'!A214,0)," ,  ")</f>
        <v xml:space="preserve">1631 ,  </v>
      </c>
    </row>
    <row r="215" spans="1:1">
      <c r="A215" t="str">
        <f>CONCATENATE(ROUND('symptom weights'!A215,0)," ,  ")</f>
        <v xml:space="preserve">1369 ,  </v>
      </c>
    </row>
    <row r="216" spans="1:1">
      <c r="A216" t="str">
        <f>CONCATENATE(ROUND('symptom weights'!A216,0)," ,  ")</f>
        <v xml:space="preserve">1359 ,  </v>
      </c>
    </row>
    <row r="217" spans="1:1">
      <c r="A217" t="str">
        <f>CONCATENATE(ROUND('symptom weights'!A217,0)," ,  ")</f>
        <v xml:space="preserve">3884 ,  </v>
      </c>
    </row>
    <row r="218" spans="1:1">
      <c r="A218" t="str">
        <f>CONCATENATE(ROUND('symptom weights'!A218,0)," ,  ")</f>
        <v xml:space="preserve">2884 ,  </v>
      </c>
    </row>
    <row r="219" spans="1:1">
      <c r="A219" t="str">
        <f>CONCATENATE(ROUND('symptom weights'!A219,0)," ,  ")</f>
        <v xml:space="preserve">1470 ,  </v>
      </c>
    </row>
    <row r="220" spans="1:1">
      <c r="A220" t="str">
        <f>CONCATENATE(ROUND('symptom weights'!A220,0)," ,  ")</f>
        <v xml:space="preserve">1635 ,  </v>
      </c>
    </row>
    <row r="221" spans="1:1">
      <c r="A221" t="str">
        <f>CONCATENATE(ROUND('symptom weights'!A221,0)," ,  ")</f>
        <v xml:space="preserve">2775 ,  </v>
      </c>
    </row>
    <row r="222" spans="1:1">
      <c r="A222" t="str">
        <f>CONCATENATE(ROUND('symptom weights'!A222,0)," ,  ")</f>
        <v xml:space="preserve">939 ,  </v>
      </c>
    </row>
    <row r="223" spans="1:1">
      <c r="A223" t="str">
        <f>CONCATENATE(ROUND('symptom weights'!A223,0)," ,  ")</f>
        <v xml:space="preserve">2404 ,  </v>
      </c>
    </row>
    <row r="224" spans="1:1">
      <c r="A224" t="str">
        <f>CONCATENATE(ROUND('symptom weights'!A224,0)," ,  ")</f>
        <v xml:space="preserve">1209 ,  </v>
      </c>
    </row>
    <row r="225" spans="1:1">
      <c r="A225" t="str">
        <f>CONCATENATE(ROUND('symptom weights'!A225,0)," ,  ")</f>
        <v xml:space="preserve">1410 ,  </v>
      </c>
    </row>
    <row r="226" spans="1:1">
      <c r="A226" t="str">
        <f>CONCATENATE(ROUND('symptom weights'!A226,0)," ,  ")</f>
        <v xml:space="preserve">2454 ,  </v>
      </c>
    </row>
    <row r="227" spans="1:1">
      <c r="A227" t="str">
        <f>CONCATENATE(ROUND('symptom weights'!A227,0)," ,  ")</f>
        <v xml:space="preserve">1143 ,  </v>
      </c>
    </row>
    <row r="228" spans="1:1">
      <c r="A228" t="str">
        <f>CONCATENATE(ROUND('symptom weights'!A228,0)," ,  ")</f>
        <v xml:space="preserve">3131 ,  </v>
      </c>
    </row>
    <row r="229" spans="1:1">
      <c r="A229" t="str">
        <f>CONCATENATE(ROUND('symptom weights'!A229,0)," ,  ")</f>
        <v xml:space="preserve">2257 ,  </v>
      </c>
    </row>
    <row r="230" spans="1:1">
      <c r="A230" t="str">
        <f>CONCATENATE(ROUND('symptom weights'!A230,0)," ,  ")</f>
        <v xml:space="preserve">1221 ,  </v>
      </c>
    </row>
    <row r="231" spans="1:1">
      <c r="A231" t="str">
        <f>CONCATENATE(ROUND('symptom weights'!A231,0)," ,  ")</f>
        <v xml:space="preserve">990 ,  </v>
      </c>
    </row>
    <row r="232" spans="1:1">
      <c r="A232" t="str">
        <f>CONCATENATE(ROUND('symptom weights'!A232,0)," ,  ")</f>
        <v xml:space="preserve">556 ,  </v>
      </c>
    </row>
    <row r="233" spans="1:1">
      <c r="A233" t="str">
        <f>CONCATENATE(ROUND('symptom weights'!A233,0)," ,  ")</f>
        <v xml:space="preserve">2325 ,  </v>
      </c>
    </row>
    <row r="234" spans="1:1">
      <c r="A234" t="str">
        <f>CONCATENATE(ROUND('symptom weights'!A234,0)," ,  ")</f>
        <v xml:space="preserve">259 ,  </v>
      </c>
    </row>
    <row r="235" spans="1:1">
      <c r="A235" t="str">
        <f>CONCATENATE(ROUND('symptom weights'!A235,0)," ,  ")</f>
        <v xml:space="preserve">2782 ,  </v>
      </c>
    </row>
    <row r="236" spans="1:1">
      <c r="A236" t="str">
        <f>CONCATENATE(ROUND('symptom weights'!A236,0)," ,  ")</f>
        <v xml:space="preserve">1289 ,  </v>
      </c>
    </row>
    <row r="237" spans="1:1">
      <c r="A237" t="str">
        <f>CONCATENATE(ROUND('symptom weights'!A237,0)," ,  ")</f>
        <v xml:space="preserve">1665 ,  </v>
      </c>
    </row>
    <row r="238" spans="1:1">
      <c r="A238" t="str">
        <f>CONCATENATE(ROUND('symptom weights'!A238,0)," ,  ")</f>
        <v xml:space="preserve">1641 ,  </v>
      </c>
    </row>
    <row r="239" spans="1:1">
      <c r="A239" t="str">
        <f>CONCATENATE(ROUND('symptom weights'!A239,0)," ,  ")</f>
        <v xml:space="preserve">1441 ,  </v>
      </c>
    </row>
    <row r="240" spans="1:1">
      <c r="A240" t="str">
        <f>CONCATENATE(ROUND('symptom weights'!A240,0)," ,  ")</f>
        <v xml:space="preserve">1154 ,  </v>
      </c>
    </row>
    <row r="241" spans="1:1">
      <c r="A241" t="str">
        <f>CONCATENATE(ROUND('symptom weights'!A241,0)," ,  ")</f>
        <v xml:space="preserve">3418 ,  </v>
      </c>
    </row>
    <row r="242" spans="1:1">
      <c r="A242" t="str">
        <f>CONCATENATE(ROUND('symptom weights'!A242,0)," ,  ")</f>
        <v xml:space="preserve">912 ,  </v>
      </c>
    </row>
    <row r="243" spans="1:1">
      <c r="A243" t="str">
        <f>CONCATENATE(ROUND('symptom weights'!A243,0)," ,  ")</f>
        <v xml:space="preserve">269 ,  </v>
      </c>
    </row>
    <row r="244" spans="1:1">
      <c r="A244" t="str">
        <f>CONCATENATE(ROUND('symptom weights'!A244,0)," ,  ")</f>
        <v xml:space="preserve">1305 ,  </v>
      </c>
    </row>
    <row r="245" spans="1:1">
      <c r="A245" t="str">
        <f>CONCATENATE(ROUND('symptom weights'!A245,0)," ,  ")</f>
        <v xml:space="preserve">1892 ,  </v>
      </c>
    </row>
    <row r="246" spans="1:1">
      <c r="A246" t="str">
        <f>CONCATENATE(ROUND('symptom weights'!A246,0)," ,  ")</f>
        <v xml:space="preserve">577 ,  </v>
      </c>
    </row>
    <row r="247" spans="1:1">
      <c r="A247" t="str">
        <f>CONCATENATE(ROUND('symptom weights'!A247,0)," ,  ")</f>
        <v xml:space="preserve">902 ,  </v>
      </c>
    </row>
    <row r="248" spans="1:1">
      <c r="A248" t="str">
        <f>CONCATENATE(ROUND('symptom weights'!A248,0)," ,  ")</f>
        <v xml:space="preserve">538 ,  </v>
      </c>
    </row>
    <row r="249" spans="1:1">
      <c r="A249" t="str">
        <f>CONCATENATE(ROUND('symptom weights'!A249,0)," ,  ")</f>
        <v xml:space="preserve">1663 ,  </v>
      </c>
    </row>
    <row r="250" spans="1:1">
      <c r="A250" t="str">
        <f>CONCATENATE(ROUND('symptom weights'!A250,0)," ,  ")</f>
        <v xml:space="preserve">865 ,  </v>
      </c>
    </row>
    <row r="251" spans="1:1">
      <c r="A251" t="str">
        <f>CONCATENATE(ROUND('symptom weights'!A251,0)," ,  ")</f>
        <v xml:space="preserve">1542 ,  </v>
      </c>
    </row>
    <row r="252" spans="1:1">
      <c r="A252" t="str">
        <f>CONCATENATE(ROUND('symptom weights'!A252,0)," ,  ")</f>
        <v xml:space="preserve">942 ,  </v>
      </c>
    </row>
    <row r="253" spans="1:1">
      <c r="A253" t="str">
        <f>CONCATENATE(ROUND('symptom weights'!A253,0)," ,  ")</f>
        <v xml:space="preserve">782 ,  </v>
      </c>
    </row>
    <row r="254" spans="1:1">
      <c r="A254" t="str">
        <f>CONCATENATE(ROUND('symptom weights'!A254,0)," ,  ")</f>
        <v xml:space="preserve">1509 ,  </v>
      </c>
    </row>
    <row r="255" spans="1:1">
      <c r="A255" t="str">
        <f>CONCATENATE(ROUND('symptom weights'!A255,0)," ,  ")</f>
        <v xml:space="preserve">1751 ,  </v>
      </c>
    </row>
    <row r="256" spans="1:1">
      <c r="A256" t="str">
        <f>CONCATENATE(ROUND('symptom weights'!A256,0)," ,  ")</f>
        <v xml:space="preserve">1287 ,  </v>
      </c>
    </row>
    <row r="257" spans="1:1">
      <c r="A257" t="str">
        <f>CONCATENATE(ROUND('symptom weights'!A257,0)," ,  ")</f>
        <v xml:space="preserve">931 ,  </v>
      </c>
    </row>
    <row r="258" spans="1:1">
      <c r="A258" t="str">
        <f>CONCATENATE(ROUND('symptom weights'!A258,0)," ,  ")</f>
        <v xml:space="preserve">327 ,  </v>
      </c>
    </row>
    <row r="259" spans="1:1">
      <c r="A259" t="str">
        <f>CONCATENATE(ROUND('symptom weights'!A259,0)," ,  ")</f>
        <v xml:space="preserve">434 ,  </v>
      </c>
    </row>
    <row r="260" spans="1:1">
      <c r="A260" t="str">
        <f>CONCATENATE(ROUND('symptom weights'!A260,0)," ,  ")</f>
        <v xml:space="preserve">162 ,  </v>
      </c>
    </row>
    <row r="261" spans="1:1">
      <c r="A261" t="str">
        <f>CONCATENATE(ROUND('symptom weights'!A261,0)," ,  ")</f>
        <v xml:space="preserve">153 ,  </v>
      </c>
    </row>
    <row r="262" spans="1:1">
      <c r="A262" t="str">
        <f>CONCATENATE(ROUND('symptom weights'!A262,0)," ,  ")</f>
        <v xml:space="preserve">211 ,  </v>
      </c>
    </row>
    <row r="263" spans="1:1">
      <c r="A263" t="str">
        <f>CONCATENATE(ROUND('symptom weights'!A263,0)," ,  ")</f>
        <v xml:space="preserve">1161 ,  </v>
      </c>
    </row>
    <row r="264" spans="1:1">
      <c r="A264" t="str">
        <f>CONCATENATE(ROUND('symptom weights'!A264,0)," ,  ")</f>
        <v xml:space="preserve">1566 ,  </v>
      </c>
    </row>
    <row r="265" spans="1:1">
      <c r="A265" t="str">
        <f>CONCATENATE(ROUND('symptom weights'!A265,0)," ,  ")</f>
        <v xml:space="preserve">901 ,  </v>
      </c>
    </row>
    <row r="266" spans="1:1">
      <c r="A266" t="str">
        <f>CONCATENATE(ROUND('symptom weights'!A266,0)," ,  ")</f>
        <v xml:space="preserve">1103 ,  </v>
      </c>
    </row>
    <row r="267" spans="1:1">
      <c r="A267" t="str">
        <f>CONCATENATE(ROUND('symptom weights'!A267,0)," ,  ")</f>
        <v xml:space="preserve">1502 ,  </v>
      </c>
    </row>
    <row r="268" spans="1:1">
      <c r="A268" t="str">
        <f>CONCATENATE(ROUND('symptom weights'!A268,0)," ,  ")</f>
        <v xml:space="preserve">389 ,  </v>
      </c>
    </row>
    <row r="269" spans="1:1">
      <c r="A269" t="str">
        <f>CONCATENATE(ROUND('symptom weights'!A269,0)," ,  ")</f>
        <v xml:space="preserve">232 ,  </v>
      </c>
    </row>
    <row r="270" spans="1:1">
      <c r="A270" t="str">
        <f>CONCATENATE(ROUND('symptom weights'!A270,0)," ,  ")</f>
        <v xml:space="preserve">460 ,  </v>
      </c>
    </row>
    <row r="271" spans="1:1">
      <c r="A271" t="str">
        <f>CONCATENATE(ROUND('symptom weights'!A271,0)," ,  ")</f>
        <v xml:space="preserve">261 ,  </v>
      </c>
    </row>
    <row r="272" spans="1:1">
      <c r="A272" t="str">
        <f>CONCATENATE(ROUND('symptom weights'!A272,0)," ,  ")</f>
        <v xml:space="preserve">330 ,  </v>
      </c>
    </row>
    <row r="273" spans="1:1">
      <c r="A273" t="str">
        <f>CONCATENATE(ROUND('symptom weights'!A273,0)," ,  ")</f>
        <v xml:space="preserve">510 ,  </v>
      </c>
    </row>
    <row r="274" spans="1:1">
      <c r="A274" t="str">
        <f>CONCATENATE(ROUND('symptom weights'!A274,0)," ,  ")</f>
        <v xml:space="preserve">201 ,  </v>
      </c>
    </row>
    <row r="275" spans="1:1">
      <c r="A275" t="str">
        <f>CONCATENATE(ROUND('symptom weights'!A275,0)," ,  ")</f>
        <v xml:space="preserve">96 ,  </v>
      </c>
    </row>
    <row r="276" spans="1:1">
      <c r="A276" t="str">
        <f>CONCATENATE(ROUND('symptom weights'!A276,0)," ,  ")</f>
        <v xml:space="preserve">327 ,  </v>
      </c>
    </row>
    <row r="277" spans="1:1">
      <c r="A277" t="str">
        <f>CONCATENATE(ROUND('symptom weights'!A277,0)," ,  ")</f>
        <v xml:space="preserve">144 ,  </v>
      </c>
    </row>
    <row r="278" spans="1:1">
      <c r="A278" t="str">
        <f>CONCATENATE(ROUND('symptom weights'!A278,0)," ,  ")</f>
        <v xml:space="preserve">101 ,  </v>
      </c>
    </row>
    <row r="279" spans="1:1">
      <c r="A279" t="str">
        <f>CONCATENATE(ROUND('symptom weights'!A279,0)," ,  ")</f>
        <v xml:space="preserve">73 ,  </v>
      </c>
    </row>
    <row r="280" spans="1:1">
      <c r="A280" t="str">
        <f>CONCATENATE(ROUND('symptom weights'!A280,0)," ,  ")</f>
        <v xml:space="preserve">6241 ,  </v>
      </c>
    </row>
    <row r="281" spans="1:1">
      <c r="A281" t="str">
        <f>CONCATENATE(ROUND('symptom weights'!A281,0)," ,  ")</f>
        <v xml:space="preserve">6599 ,  </v>
      </c>
    </row>
    <row r="282" spans="1:1">
      <c r="A282" t="str">
        <f>CONCATENATE(ROUND('symptom weights'!A282,0)," ,  ")</f>
        <v xml:space="preserve">6454 ,  </v>
      </c>
    </row>
    <row r="283" spans="1:1">
      <c r="A283" t="str">
        <f>CONCATENATE(ROUND('symptom weights'!A283,0)," ,  ")</f>
        <v xml:space="preserve">6513 ,  </v>
      </c>
    </row>
    <row r="284" spans="1:1">
      <c r="A284" t="str">
        <f>CONCATENATE(ROUND('symptom weights'!A284,0)," ,  ")</f>
        <v xml:space="preserve">6301 ,  </v>
      </c>
    </row>
    <row r="285" spans="1:1">
      <c r="A285" t="str">
        <f>CONCATENATE(ROUND('symptom weights'!A285,0)," ,  ")</f>
        <v xml:space="preserve">6446 ,  </v>
      </c>
    </row>
    <row r="286" spans="1:1">
      <c r="A286" t="str">
        <f>CONCATENATE(ROUND('symptom weights'!A286,0)," ,  ")</f>
        <v xml:space="preserve">6713 ,  </v>
      </c>
    </row>
    <row r="287" spans="1:1">
      <c r="A287" t="str">
        <f>CONCATENATE(ROUND('symptom weights'!A287,0)," ,  ")</f>
        <v xml:space="preserve">6654 ,  </v>
      </c>
    </row>
    <row r="288" spans="1:1">
      <c r="A288" t="str">
        <f>CONCATENATE(ROUND('symptom weights'!A288,0)," ,  ")</f>
        <v xml:space="preserve">6376 ,  </v>
      </c>
    </row>
    <row r="289" spans="1:1">
      <c r="A289" t="str">
        <f>CONCATENATE(ROUND('symptom weights'!A289,0)," ,  ")</f>
        <v xml:space="preserve">6698 ,  </v>
      </c>
    </row>
    <row r="290" spans="1:1">
      <c r="A290" t="str">
        <f>CONCATENATE(ROUND('symptom weights'!A290,0)," ,  ")</f>
        <v xml:space="preserve">6274 ,  </v>
      </c>
    </row>
    <row r="291" spans="1:1">
      <c r="A291" t="str">
        <f>CONCATENATE(ROUND('symptom weights'!A291,0)," ,  ")</f>
        <v xml:space="preserve">5646 ,  </v>
      </c>
    </row>
    <row r="292" spans="1:1">
      <c r="A292" t="str">
        <f>CONCATENATE(ROUND('symptom weights'!A292,0)," ,  ")</f>
        <v xml:space="preserve">5622 ,  </v>
      </c>
    </row>
    <row r="293" spans="1:1">
      <c r="A293" t="str">
        <f>CONCATENATE(ROUND('symptom weights'!A293,0)," ,  ")</f>
        <v xml:space="preserve">6706 ,  </v>
      </c>
    </row>
    <row r="294" spans="1:1">
      <c r="A294" t="str">
        <f>CONCATENATE(ROUND('symptom weights'!A294,0)," ,  ")</f>
        <v xml:space="preserve">5266 ,  </v>
      </c>
    </row>
    <row r="295" spans="1:1">
      <c r="A295" t="str">
        <f>CONCATENATE(ROUND('symptom weights'!A295,0)," ,  ")</f>
        <v xml:space="preserve">6425 ,  </v>
      </c>
    </row>
    <row r="296" spans="1:1">
      <c r="A296" t="str">
        <f>CONCATENATE(ROUND('symptom weights'!A296,0)," ,  ")</f>
        <v xml:space="preserve">6331 ,  </v>
      </c>
    </row>
    <row r="297" spans="1:1">
      <c r="A297" t="str">
        <f>CONCATENATE(ROUND('symptom weights'!A297,0)," ,  ")</f>
        <v xml:space="preserve">6472 ,  </v>
      </c>
    </row>
    <row r="298" spans="1:1">
      <c r="A298" t="str">
        <f>CONCATENATE(ROUND('symptom weights'!A298,0)," ,  ")</f>
        <v xml:space="preserve">5707 ,  </v>
      </c>
    </row>
    <row r="299" spans="1:1">
      <c r="A299" t="str">
        <f>CONCATENATE(ROUND('symptom weights'!A299,0)," ,  ")</f>
        <v xml:space="preserve">5747 ,  </v>
      </c>
    </row>
    <row r="300" spans="1:1">
      <c r="A300" t="str">
        <f>CONCATENATE(ROUND('symptom weights'!A300,0)," ,  ")</f>
        <v xml:space="preserve">6354 ,  </v>
      </c>
    </row>
    <row r="301" spans="1:1">
      <c r="A301" t="str">
        <f>CONCATENATE(ROUND('symptom weights'!A301,0)," ,  ")</f>
        <v xml:space="preserve">6131 ,  </v>
      </c>
    </row>
    <row r="302" spans="1:1">
      <c r="A302" t="str">
        <f>CONCATENATE(ROUND('symptom weights'!A302,0)," ,  ")</f>
        <v xml:space="preserve">6377 ,  </v>
      </c>
    </row>
    <row r="303" spans="1:1">
      <c r="A303" t="str">
        <f>CONCATENATE(ROUND('symptom weights'!A303,0)," ,  ")</f>
        <v xml:space="preserve">6478 ,  </v>
      </c>
    </row>
    <row r="304" spans="1:1">
      <c r="A304" t="str">
        <f>CONCATENATE(ROUND('symptom weights'!A304,0)," ,  ")</f>
        <v xml:space="preserve">6320 ,  </v>
      </c>
    </row>
    <row r="305" spans="1:1">
      <c r="A305" t="str">
        <f>CONCATENATE(ROUND('symptom weights'!A305,0)," ,  ")</f>
        <v xml:space="preserve">5733 ,  </v>
      </c>
    </row>
    <row r="306" spans="1:1">
      <c r="A306" t="str">
        <f>CONCATENATE(ROUND('symptom weights'!A306,0)," ,  ")</f>
        <v xml:space="preserve">5780 ,  </v>
      </c>
    </row>
    <row r="307" spans="1:1">
      <c r="A307" t="str">
        <f>CONCATENATE(ROUND('symptom weights'!A307,0)," ,  ")</f>
        <v xml:space="preserve">9630 ,  </v>
      </c>
    </row>
    <row r="308" spans="1:1">
      <c r="A308" t="str">
        <f>CONCATENATE(ROUND('symptom weights'!A308,0)," ,  ")</f>
        <v xml:space="preserve">9286 ,  </v>
      </c>
    </row>
    <row r="309" spans="1:1">
      <c r="A309" t="str">
        <f>CONCATENATE(ROUND('symptom weights'!A309,0)," ,  ")</f>
        <v xml:space="preserve">8942 ,  </v>
      </c>
    </row>
    <row r="310" spans="1:1">
      <c r="A310" t="str">
        <f>CONCATENATE(ROUND('symptom weights'!A310,0)," ,  ")</f>
        <v xml:space="preserve">10078 ,  </v>
      </c>
    </row>
    <row r="311" spans="1:1">
      <c r="A311" t="str">
        <f>CONCATENATE(ROUND('symptom weights'!A311,0)," ,  ")</f>
        <v xml:space="preserve">9804 ,  </v>
      </c>
    </row>
    <row r="312" spans="1:1">
      <c r="A312" t="str">
        <f>CONCATENATE(ROUND('symptom weights'!A312,0)," ,  ")</f>
        <v xml:space="preserve">8885 ,  </v>
      </c>
    </row>
    <row r="313" spans="1:1">
      <c r="A313" t="str">
        <f>CONCATENATE(ROUND('symptom weights'!A313,0)," ,  ")</f>
        <v xml:space="preserve">10485 ,  </v>
      </c>
    </row>
    <row r="314" spans="1:1">
      <c r="A314" t="str">
        <f>CONCATENATE(ROUND('symptom weights'!A314,0)," ,  ")</f>
        <v xml:space="preserve">8730 ,  </v>
      </c>
    </row>
    <row r="315" spans="1:1">
      <c r="A315" t="str">
        <f>CONCATENATE(ROUND('symptom weights'!A315,0)," ,  ")</f>
        <v xml:space="preserve">10065 ,  </v>
      </c>
    </row>
    <row r="316" spans="1:1">
      <c r="A316" t="str">
        <f>CONCATENATE(ROUND('symptom weights'!A316,0)," ,  ")</f>
        <v xml:space="preserve">8307 ,  </v>
      </c>
    </row>
    <row r="317" spans="1:1">
      <c r="A317" t="str">
        <f>CONCATENATE(ROUND('symptom weights'!A317,0)," ,  ")</f>
        <v xml:space="preserve">8296 ,  </v>
      </c>
    </row>
    <row r="318" spans="1:1">
      <c r="A318" t="str">
        <f>CONCATENATE(ROUND('symptom weights'!A318,0)," ,  ")</f>
        <v xml:space="preserve">8155 ,  </v>
      </c>
    </row>
    <row r="319" spans="1:1">
      <c r="A319" t="str">
        <f>CONCATENATE(ROUND('symptom weights'!A319,0)," ,  ")</f>
        <v xml:space="preserve">7538 ,  </v>
      </c>
    </row>
    <row r="320" spans="1:1">
      <c r="A320" t="str">
        <f>CONCATENATE(ROUND('symptom weights'!A320,0)," ,  ")</f>
        <v xml:space="preserve">7585 ,  </v>
      </c>
    </row>
    <row r="321" spans="1:1">
      <c r="A321" t="str">
        <f>CONCATENATE(ROUND('symptom weights'!A321,0)," ,  ")</f>
        <v xml:space="preserve">8125 ,  </v>
      </c>
    </row>
    <row r="322" spans="1:1">
      <c r="A322" t="str">
        <f>CONCATENATE(ROUND('symptom weights'!A322,0)," ,  ")</f>
        <v xml:space="preserve">8862 ,  </v>
      </c>
    </row>
    <row r="323" spans="1:1">
      <c r="A323" t="str">
        <f>CONCATENATE(ROUND('symptom weights'!A323,0)," ,  ")</f>
        <v xml:space="preserve">8853 ,  </v>
      </c>
    </row>
    <row r="324" spans="1:1">
      <c r="A324" t="str">
        <f>CONCATENATE(ROUND('symptom weights'!A324,0)," ,  ")</f>
        <v xml:space="preserve">8774 ,  </v>
      </c>
    </row>
    <row r="325" spans="1:1">
      <c r="A325" t="str">
        <f>CONCATENATE(ROUND('symptom weights'!A325,0)," ,  ")</f>
        <v xml:space="preserve">8871 ,  </v>
      </c>
    </row>
    <row r="326" spans="1:1">
      <c r="A326" t="str">
        <f>CONCATENATE(ROUND('symptom weights'!A326,0)," ,  ")</f>
        <v xml:space="preserve">8955 ,  </v>
      </c>
    </row>
    <row r="327" spans="1:1">
      <c r="A327" t="str">
        <f>CONCATENATE(ROUND('symptom weights'!A327,0)," ,  ")</f>
        <v xml:space="preserve">8940 ,  </v>
      </c>
    </row>
    <row r="328" spans="1:1">
      <c r="A328" t="str">
        <f>CONCATENATE(ROUND('symptom weights'!A328,0)," ,  ")</f>
        <v xml:space="preserve">9154 ,  </v>
      </c>
    </row>
    <row r="329" spans="1:1">
      <c r="A329" t="str">
        <f>CONCATENATE(ROUND('symptom weights'!A329,0)," ,  ")</f>
        <v xml:space="preserve">8959 ,  </v>
      </c>
    </row>
    <row r="330" spans="1:1">
      <c r="A330" t="str">
        <f>CONCATENATE(ROUND('symptom weights'!A330,0)," ,  ")</f>
        <v xml:space="preserve">8810 ,  </v>
      </c>
    </row>
    <row r="331" spans="1:1">
      <c r="A331" t="str">
        <f>CONCATENATE(ROUND('symptom weights'!A331,0)," ,  ")</f>
        <v xml:space="preserve">8195 ,  </v>
      </c>
    </row>
    <row r="332" spans="1:1">
      <c r="A332" t="str">
        <f>CONCATENATE(ROUND('symptom weights'!A332,0)," ,  ")</f>
        <v xml:space="preserve">8008 ,  </v>
      </c>
    </row>
    <row r="333" spans="1:1">
      <c r="A333" t="str">
        <f>CONCATENATE(ROUND('symptom weights'!A333,0)," ,  ")</f>
        <v xml:space="preserve">8464 ,  </v>
      </c>
    </row>
    <row r="334" spans="1:1">
      <c r="A334" t="str">
        <f>CONCATENATE(ROUND('symptom weights'!A334,0)," ,  ")</f>
        <v xml:space="preserve">8960 ,  </v>
      </c>
    </row>
    <row r="335" spans="1:1">
      <c r="A335" t="str">
        <f>CONCATENATE(ROUND('symptom weights'!A335,0)," ,  ")</f>
        <v xml:space="preserve">8948 ,  </v>
      </c>
    </row>
    <row r="336" spans="1:1">
      <c r="A336" t="str">
        <f>CONCATENATE(ROUND('symptom weights'!A336,0)," ,  ")</f>
        <v xml:space="preserve">8590 ,  </v>
      </c>
    </row>
    <row r="337" spans="1:1">
      <c r="A337" t="str">
        <f>CONCATENATE(ROUND('symptom weights'!A337,0)," ,  ")</f>
        <v xml:space="preserve">8716 ,  </v>
      </c>
    </row>
    <row r="338" spans="1:1">
      <c r="A338" t="str">
        <f>CONCATENATE(ROUND('symptom weights'!A338,0)," ,  ")</f>
        <v xml:space="preserve">8539 ,  </v>
      </c>
    </row>
    <row r="339" spans="1:1">
      <c r="A339" t="str">
        <f>CONCATENATE(ROUND('symptom weights'!A339,0)," ,  ")</f>
        <v xml:space="preserve">8752 ,  </v>
      </c>
    </row>
    <row r="340" spans="1:1">
      <c r="A340" t="str">
        <f>CONCATENATE(ROUND('symptom weights'!A340,0)," ,  ")</f>
        <v xml:space="preserve">8546 ,  </v>
      </c>
    </row>
    <row r="341" spans="1:1">
      <c r="A341" t="str">
        <f>CONCATENATE(ROUND('symptom weights'!A341,0)," ,  ")</f>
        <v xml:space="preserve">8950 ,  </v>
      </c>
    </row>
    <row r="342" spans="1:1">
      <c r="A342" t="str">
        <f>CONCATENATE(ROUND('symptom weights'!A342,0)," ,  ")</f>
        <v xml:space="preserve">8923 ,  </v>
      </c>
    </row>
    <row r="343" spans="1:1">
      <c r="A343" t="str">
        <f>CONCATENATE(ROUND('symptom weights'!A343,0)," ,  ")</f>
        <v xml:space="preserve">9179 ,  </v>
      </c>
    </row>
    <row r="344" spans="1:1">
      <c r="A344" t="str">
        <f>CONCATENATE(ROUND('symptom weights'!A344,0)," ,  ")</f>
        <v xml:space="preserve">9239 ,  </v>
      </c>
    </row>
    <row r="345" spans="1:1">
      <c r="A345" t="str">
        <f>CONCATENATE(ROUND('symptom weights'!A345,0)," ,  ")</f>
        <v xml:space="preserve">9050 ,  </v>
      </c>
    </row>
    <row r="346" spans="1:1">
      <c r="A346" t="str">
        <f>CONCATENATE(ROUND('symptom weights'!A346,0)," ,  ")</f>
        <v xml:space="preserve">9809 ,  </v>
      </c>
    </row>
    <row r="347" spans="1:1">
      <c r="A347" t="str">
        <f>CONCATENATE(ROUND('symptom weights'!A347,0)," ,  ")</f>
        <v xml:space="preserve">14575 ,  </v>
      </c>
    </row>
    <row r="348" spans="1:1">
      <c r="A348" t="str">
        <f>CONCATENATE(ROUND('symptom weights'!A348,0)," ,  ")</f>
        <v xml:space="preserve">14331 ,  </v>
      </c>
    </row>
    <row r="349" spans="1:1">
      <c r="A349" t="str">
        <f>CONCATENATE(ROUND('symptom weights'!A349,0)," ,  ")</f>
        <v xml:space="preserve">14385 ,  </v>
      </c>
    </row>
    <row r="350" spans="1:1">
      <c r="A350" t="str">
        <f>CONCATENATE(ROUND('symptom weights'!A350,0)," ,  ")</f>
        <v xml:space="preserve">15283 ,  </v>
      </c>
    </row>
    <row r="351" spans="1:1">
      <c r="A351" t="str">
        <f>CONCATENATE(ROUND('symptom weights'!A351,0)," ,  ")</f>
        <v xml:space="preserve">15446 ,  </v>
      </c>
    </row>
    <row r="352" spans="1:1">
      <c r="A352" t="str">
        <f>CONCATENATE(ROUND('symptom weights'!A352,0)," ,  ")</f>
        <v xml:space="preserve">16364 ,  </v>
      </c>
    </row>
    <row r="353" spans="1:1">
      <c r="A353" t="str">
        <f>CONCATENATE(ROUND('symptom weights'!A353,0)," ,  ")</f>
        <v xml:space="preserve">16084 ,  </v>
      </c>
    </row>
    <row r="354" spans="1:1">
      <c r="A354" t="str">
        <f>CONCATENATE(ROUND('symptom weights'!A354,0)," ,  ")</f>
        <v xml:space="preserve">23387 ,  </v>
      </c>
    </row>
    <row r="355" spans="1:1">
      <c r="A355" t="str">
        <f>CONCATENATE(ROUND('symptom weights'!A355,0)," ,  ")</f>
        <v xml:space="preserve">22380 ,  </v>
      </c>
    </row>
    <row r="356" spans="1:1">
      <c r="A356" t="str">
        <f>CONCATENATE(ROUND('symptom weights'!A356,0)," ,  ")</f>
        <v xml:space="preserve">21849 ,  </v>
      </c>
    </row>
    <row r="357" spans="1:1">
      <c r="A357" t="str">
        <f>CONCATENATE(ROUND('symptom weights'!A357,0)," ,  ")</f>
        <v xml:space="preserve">25112 ,  </v>
      </c>
    </row>
    <row r="358" spans="1:1">
      <c r="A358" t="str">
        <f>CONCATENATE(ROUND('symptom weights'!A358,0)," ,  ")</f>
        <v xml:space="preserve">24441 ,  </v>
      </c>
    </row>
    <row r="359" spans="1:1">
      <c r="A359" t="str">
        <f>CONCATENATE(ROUND('symptom weights'!A359,0)," ,  ")</f>
        <v xml:space="preserve">17941 ,  </v>
      </c>
    </row>
    <row r="360" spans="1:1">
      <c r="A360" t="str">
        <f>CONCATENATE(ROUND('symptom weights'!A360,0)," ,  ")</f>
        <v xml:space="preserve">22596 ,  </v>
      </c>
    </row>
    <row r="361" spans="1:1">
      <c r="A361" t="str">
        <f>CONCATENATE(ROUND('symptom weights'!A361,0)," ,  ")</f>
        <v xml:space="preserve">23196 ,  </v>
      </c>
    </row>
    <row r="362" spans="1:1">
      <c r="A362" t="str">
        <f>CONCATENATE(ROUND('symptom weights'!A362,0)," ,  ")</f>
        <v xml:space="preserve">23384 ,  </v>
      </c>
    </row>
    <row r="363" spans="1:1">
      <c r="A363" t="str">
        <f>CONCATENATE(ROUND('symptom weights'!A363,0)," ,  ")</f>
        <v xml:space="preserve">22835 ,  </v>
      </c>
    </row>
    <row r="364" spans="1:1">
      <c r="A364" t="str">
        <f>CONCATENATE(ROUND('symptom weights'!A364,0)," ,  ")</f>
        <v xml:space="preserve">22594 ,  </v>
      </c>
    </row>
    <row r="365" spans="1:1">
      <c r="A365" t="str">
        <f>CONCATENATE(ROUND('symptom weights'!A365,0)," ,  ")</f>
        <v xml:space="preserve">22490 ,  </v>
      </c>
    </row>
    <row r="366" spans="1:1">
      <c r="A366" t="str">
        <f>CONCATENATE(ROUND('symptom weights'!A366,0)," ,  ")</f>
        <v xml:space="preserve">20471 ,  </v>
      </c>
    </row>
    <row r="367" spans="1:1">
      <c r="A367" t="str">
        <f>CONCATENATE(ROUND('symptom weights'!A367,0)," ,  ")</f>
        <v xml:space="preserve">19096 ,  </v>
      </c>
    </row>
    <row r="368" spans="1:1">
      <c r="A368" t="str">
        <f>CONCATENATE(ROUND('symptom weights'!A368,0)," ,  ")</f>
        <v xml:space="preserve">14138 ,  </v>
      </c>
    </row>
    <row r="369" spans="1:1">
      <c r="A369" t="str">
        <f>CONCATENATE(ROUND('symptom weights'!A369,0)," ,  ")</f>
        <v xml:space="preserve">20193 ,  </v>
      </c>
    </row>
    <row r="370" spans="1:1">
      <c r="A370" t="str">
        <f>CONCATENATE(ROUND('symptom weights'!A370,0)," ,  ")</f>
        <v xml:space="preserve">22466 ,  </v>
      </c>
    </row>
    <row r="371" spans="1:1">
      <c r="A371" t="str">
        <f>CONCATENATE(ROUND('symptom weights'!A371,0)," ,  ")</f>
        <v xml:space="preserve">21154 ,  </v>
      </c>
    </row>
    <row r="372" spans="1:1">
      <c r="A372" t="str">
        <f>CONCATENATE(ROUND('symptom weights'!A372,0)," ,  ")</f>
        <v xml:space="preserve">22845 ,  </v>
      </c>
    </row>
    <row r="373" spans="1:1">
      <c r="A373" t="str">
        <f>CONCATENATE(ROUND('symptom weights'!A373,0)," ,  ")</f>
        <v xml:space="preserve">22122 ,  </v>
      </c>
    </row>
    <row r="374" spans="1:1">
      <c r="A374" t="str">
        <f>CONCATENATE(ROUND('symptom weights'!A374,0)," ,  ")</f>
        <v xml:space="preserve">14745 ,  </v>
      </c>
    </row>
    <row r="375" spans="1:1">
      <c r="A375" t="str">
        <f>CONCATENATE(ROUND('symptom weights'!A375,0)," ,  ")</f>
        <v xml:space="preserve">15048 ,  </v>
      </c>
    </row>
    <row r="376" spans="1:1">
      <c r="A376" t="str">
        <f>CONCATENATE(ROUND('symptom weights'!A376,0)," ,  ")</f>
        <v xml:space="preserve">14583 ,  </v>
      </c>
    </row>
    <row r="377" spans="1:1">
      <c r="A377" t="str">
        <f>CONCATENATE(ROUND('symptom weights'!A377,0)," ,  ")</f>
        <v xml:space="preserve">13079 ,  </v>
      </c>
    </row>
    <row r="378" spans="1:1">
      <c r="A378" t="str">
        <f>CONCATENATE(ROUND('symptom weights'!A378,0)," ,  ")</f>
        <v xml:space="preserve">23219 ,  </v>
      </c>
    </row>
    <row r="379" spans="1:1">
      <c r="A379" t="str">
        <f>CONCATENATE(ROUND('symptom weights'!A379,0)," ,  ")</f>
        <v xml:space="preserve">22705 ,  </v>
      </c>
    </row>
    <row r="380" spans="1:1">
      <c r="A380" t="str">
        <f>CONCATENATE(ROUND('symptom weights'!A380,0)," ,  ")</f>
        <v xml:space="preserve">23109 ,  </v>
      </c>
    </row>
    <row r="381" spans="1:1">
      <c r="A381" t="str">
        <f>CONCATENATE(ROUND('symptom weights'!A381,0)," ,  ")</f>
        <v xml:space="preserve">20244 ,  </v>
      </c>
    </row>
    <row r="382" spans="1:1">
      <c r="A382" t="str">
        <f>CONCATENATE(ROUND('symptom weights'!A382,0)," ,  ")</f>
        <v xml:space="preserve">23651 ,  </v>
      </c>
    </row>
    <row r="383" spans="1:1">
      <c r="A383" t="str">
        <f>CONCATENATE(ROUND('symptom weights'!A383,0)," ,  ")</f>
        <v xml:space="preserve">15211 ,  </v>
      </c>
    </row>
    <row r="384" spans="1:1">
      <c r="A384" t="str">
        <f>CONCATENATE(ROUND('symptom weights'!A384,0)," ,  ")</f>
        <v xml:space="preserve">15459 ,  </v>
      </c>
    </row>
    <row r="385" spans="1:1">
      <c r="A385" t="str">
        <f>CONCATENATE(ROUND('symptom weights'!A385,0)," ,  ")</f>
        <v xml:space="preserve">14820 ,  </v>
      </c>
    </row>
    <row r="386" spans="1:1">
      <c r="A386" t="str">
        <f>CONCATENATE(ROUND('symptom weights'!A386,0)," ,  ")</f>
        <v xml:space="preserve">13125 ,  </v>
      </c>
    </row>
    <row r="387" spans="1:1">
      <c r="A387" t="str">
        <f>CONCATENATE(ROUND('symptom weights'!A387,0)," ,  ")</f>
        <v xml:space="preserve">23523 ,  </v>
      </c>
    </row>
    <row r="388" spans="1:1">
      <c r="A388" t="str">
        <f>CONCATENATE(ROUND('symptom weights'!A388,0)," ,  ")</f>
        <v xml:space="preserve">21963 ,  </v>
      </c>
    </row>
    <row r="389" spans="1:1">
      <c r="A389" t="str">
        <f>CONCATENATE(ROUND('symptom weights'!A389,0)," ,  ")</f>
        <v xml:space="preserve">22690 ,  </v>
      </c>
    </row>
    <row r="390" spans="1:1">
      <c r="A390" t="str">
        <f>CONCATENATE(ROUND('symptom weights'!A390,0)," ,  ")</f>
        <v xml:space="preserve">20239 ,  </v>
      </c>
    </row>
    <row r="391" spans="1:1">
      <c r="A391" t="str">
        <f>CONCATENATE(ROUND('symptom weights'!A391,0)," ,  ")</f>
        <v xml:space="preserve">22996 ,  </v>
      </c>
    </row>
    <row r="392" spans="1:1">
      <c r="A392" t="str">
        <f>CONCATENATE(ROUND('symptom weights'!A392,0)," ,  ")</f>
        <v xml:space="preserve">19874 ,  </v>
      </c>
    </row>
    <row r="393" spans="1:1">
      <c r="A393" t="str">
        <f>CONCATENATE(ROUND('symptom weights'!A393,0)," ,  ")</f>
        <v xml:space="preserve">19412 ,  </v>
      </c>
    </row>
    <row r="394" spans="1:1">
      <c r="A394" t="str">
        <f>CONCATENATE(ROUND('symptom weights'!A394,0)," ,  ")</f>
        <v xml:space="preserve">16919 ,  </v>
      </c>
    </row>
    <row r="395" spans="1:1">
      <c r="A395" t="str">
        <f>CONCATENATE(ROUND('symptom weights'!A395,0)," ,  ")</f>
        <v xml:space="preserve">21942 ,  </v>
      </c>
    </row>
    <row r="396" spans="1:1">
      <c r="A396" t="str">
        <f>CONCATENATE(ROUND('symptom weights'!A396,0)," ,  ")</f>
        <v xml:space="preserve">23147 ,  </v>
      </c>
    </row>
    <row r="397" spans="1:1">
      <c r="A397" t="str">
        <f>CONCATENATE(ROUND('symptom weights'!A397,0)," ,  ")</f>
        <v xml:space="preserve">14425 ,  </v>
      </c>
    </row>
    <row r="398" spans="1:1">
      <c r="A398" t="str">
        <f>CONCATENATE(ROUND('symptom weights'!A398,0)," ,  ")</f>
        <v xml:space="preserve">15033 ,  </v>
      </c>
    </row>
    <row r="399" spans="1:1">
      <c r="A399" t="str">
        <f>CONCATENATE(ROUND('symptom weights'!A399,0)," ,  ")</f>
        <v xml:space="preserve">13688 ,  </v>
      </c>
    </row>
    <row r="400" spans="1:1">
      <c r="A400" t="str">
        <f>CONCATENATE(ROUND('symptom weights'!A400,0)," ,  ")</f>
        <v xml:space="preserve">12896 ,  </v>
      </c>
    </row>
    <row r="401" spans="1:1">
      <c r="A401" t="str">
        <f>CONCATENATE(ROUND('symptom weights'!A401,0)," ,  ")</f>
        <v xml:space="preserve">15397 ,  </v>
      </c>
    </row>
    <row r="402" spans="1:1">
      <c r="A402" t="str">
        <f>CONCATENATE(ROUND('symptom weights'!A402,0)," ,  ")</f>
        <v xml:space="preserve">21762 ,  </v>
      </c>
    </row>
    <row r="403" spans="1:1">
      <c r="A403" t="str">
        <f>CONCATENATE(ROUND('symptom weights'!A403,0)," ,  ")</f>
        <v xml:space="preserve">22741 ,  </v>
      </c>
    </row>
    <row r="404" spans="1:1">
      <c r="A404" t="str">
        <f>CONCATENATE(ROUND('symptom weights'!A404,0)," ,  ")</f>
        <v xml:space="preserve">22523 ,  </v>
      </c>
    </row>
    <row r="405" spans="1:1">
      <c r="A405" t="str">
        <f>CONCATENATE(ROUND('symptom weights'!A405,0)," ,  ")</f>
        <v xml:space="preserve">23577 ,  </v>
      </c>
    </row>
    <row r="406" spans="1:1">
      <c r="A406" t="str">
        <f>CONCATENATE(ROUND('symptom weights'!A406,0)," ,  ")</f>
        <v xml:space="preserve">22351 ,  </v>
      </c>
    </row>
    <row r="407" spans="1:1">
      <c r="A407" t="str">
        <f>CONCATENATE(ROUND('symptom weights'!A407,0)," ,  ")</f>
        <v xml:space="preserve">22264 ,  </v>
      </c>
    </row>
    <row r="408" spans="1:1">
      <c r="A408" t="str">
        <f>CONCATENATE(ROUND('symptom weights'!A408,0)," ,  ")</f>
        <v xml:space="preserve">22286 ,  </v>
      </c>
    </row>
    <row r="409" spans="1:1">
      <c r="A409" t="str">
        <f>CONCATENATE(ROUND('symptom weights'!A409,0)," ,  ")</f>
        <v xml:space="preserve">23780 ,  </v>
      </c>
    </row>
    <row r="410" spans="1:1">
      <c r="A410" t="str">
        <f>CONCATENATE(ROUND('symptom weights'!A410,0)," ,  ")</f>
        <v xml:space="preserve">22875 ,  </v>
      </c>
    </row>
    <row r="411" spans="1:1">
      <c r="A411" t="str">
        <f>CONCATENATE(ROUND('symptom weights'!A411,0)," ,  ")</f>
        <v xml:space="preserve">22818 ,  </v>
      </c>
    </row>
    <row r="412" spans="1:1">
      <c r="A412" t="str">
        <f>CONCATENATE(ROUND('symptom weights'!A412,0)," ,  ")</f>
        <v xml:space="preserve">23424 ,  </v>
      </c>
    </row>
    <row r="413" spans="1:1">
      <c r="A413" t="str">
        <f>CONCATENATE(ROUND('symptom weights'!A413,0)," ,  ")</f>
        <v xml:space="preserve">15878 ,  </v>
      </c>
    </row>
    <row r="414" spans="1:1">
      <c r="A414" t="str">
        <f>CONCATENATE(ROUND('symptom weights'!A414,0)," ,  ")</f>
        <v xml:space="preserve">15304 ,  </v>
      </c>
    </row>
    <row r="415" spans="1:1">
      <c r="A415" t="str">
        <f>CONCATENATE(ROUND('symptom weights'!A415,0)," ,  ")</f>
        <v xml:space="preserve">14545 ,  </v>
      </c>
    </row>
    <row r="416" spans="1:1">
      <c r="A416" t="str">
        <f>CONCATENATE(ROUND('symptom weights'!A416,0)," ,  ")</f>
        <v xml:space="preserve">14234 ,  </v>
      </c>
    </row>
    <row r="417" spans="1:1">
      <c r="A417" t="str">
        <f>CONCATENATE(ROUND('symptom weights'!A417,0)," ,  ")</f>
        <v xml:space="preserve">15253 ,  </v>
      </c>
    </row>
    <row r="418" spans="1:1">
      <c r="A418" t="str">
        <f>CONCATENATE(ROUND('symptom weights'!A418,0)," ,  ")</f>
        <v xml:space="preserve">14420 ,  </v>
      </c>
    </row>
    <row r="419" spans="1:1">
      <c r="A419" t="str">
        <f>CONCATENATE(ROUND('symptom weights'!A419,0)," ,  ")</f>
        <v xml:space="preserve">14615 ,  </v>
      </c>
    </row>
    <row r="420" spans="1:1">
      <c r="A420" t="str">
        <f>CONCATENATE(ROUND('symptom weights'!A420,0)," ,  ")</f>
        <v xml:space="preserve">14920 ,  </v>
      </c>
    </row>
    <row r="421" spans="1:1">
      <c r="A421" t="str">
        <f>CONCATENATE(ROUND('symptom weights'!A421,0)," ,  ")</f>
        <v xml:space="preserve">22757 ,  </v>
      </c>
    </row>
    <row r="422" spans="1:1">
      <c r="A422" t="str">
        <f>CONCATENATE(ROUND('symptom weights'!A422,0)," ,  ")</f>
        <v xml:space="preserve">21630 ,  </v>
      </c>
    </row>
    <row r="423" spans="1:1">
      <c r="A423" t="str">
        <f>CONCATENATE(ROUND('symptom weights'!A423,0)," ,  ")</f>
        <v xml:space="preserve">22377 ,  </v>
      </c>
    </row>
    <row r="424" spans="1:1">
      <c r="A424" t="str">
        <f>CONCATENATE(ROUND('symptom weights'!A424,0)," ,  ")</f>
        <v xml:space="preserve">23301 ,  </v>
      </c>
    </row>
    <row r="425" spans="1:1">
      <c r="A425" t="str">
        <f>CONCATENATE(ROUND('symptom weights'!A425,0)," ,  ")</f>
        <v xml:space="preserve">22047 ,  </v>
      </c>
    </row>
    <row r="426" spans="1:1">
      <c r="A426" t="str">
        <f>CONCATENATE(ROUND('symptom weights'!A426,0)," ,  ")</f>
        <v xml:space="preserve">18426 ,  </v>
      </c>
    </row>
    <row r="427" spans="1:1">
      <c r="A427" t="str">
        <f>CONCATENATE(ROUND('symptom weights'!A427,0)," ,  ")</f>
        <v xml:space="preserve">17997 ,  </v>
      </c>
    </row>
    <row r="428" spans="1:1">
      <c r="A428" t="str">
        <f>CONCATENATE(ROUND('symptom weights'!A428,0)," ,  ")</f>
        <v xml:space="preserve">18289 ,  </v>
      </c>
    </row>
    <row r="429" spans="1:1">
      <c r="A429" t="str">
        <f>CONCATENATE(ROUND('symptom weights'!A429,0)," ,  ")</f>
        <v xml:space="preserve">21693 ,  </v>
      </c>
    </row>
    <row r="430" spans="1:1">
      <c r="A430" t="str">
        <f>CONCATENATE(ROUND('symptom weights'!A430,0)," ,  ")</f>
        <v xml:space="preserve">21493 ,  </v>
      </c>
    </row>
    <row r="431" spans="1:1">
      <c r="A431" t="str">
        <f>CONCATENATE(ROUND('symptom weights'!A431,0)," ,  ")</f>
        <v xml:space="preserve">17852 ,  </v>
      </c>
    </row>
    <row r="432" spans="1:1">
      <c r="A432" t="str">
        <f>CONCATENATE(ROUND('symptom weights'!A432,0)," ,  ")</f>
        <v xml:space="preserve">22405 ,  </v>
      </c>
    </row>
    <row r="433" spans="1:1">
      <c r="A433" t="str">
        <f>CONCATENATE(ROUND('symptom weights'!A433,0)," ,  ")</f>
        <v xml:space="preserve">19882 ,  </v>
      </c>
    </row>
    <row r="434" spans="1:1">
      <c r="A434" t="str">
        <f>CONCATENATE(ROUND('symptom weights'!A434,0)," ,  ")</f>
        <v xml:space="preserve">19345 ,  </v>
      </c>
    </row>
    <row r="435" spans="1:1">
      <c r="A435" t="str">
        <f>CONCATENATE(ROUND('symptom weights'!A435,0)," ,  ")</f>
        <v xml:space="preserve">21419 ,  </v>
      </c>
    </row>
    <row r="436" spans="1:1">
      <c r="A436" t="str">
        <f>CONCATENATE(ROUND('symptom weights'!A436,0)," ,  ")</f>
        <v xml:space="preserve">18413 ,  </v>
      </c>
    </row>
    <row r="437" spans="1:1">
      <c r="A437" t="str">
        <f>CONCATENATE(ROUND('symptom weights'!A437,0)," ,  ")</f>
        <v xml:space="preserve">14997 ,  </v>
      </c>
    </row>
    <row r="438" spans="1:1">
      <c r="A438" t="str">
        <f>CONCATENATE(ROUND('symptom weights'!A438,0)," ,  ")</f>
        <v xml:space="preserve">14322 ,  </v>
      </c>
    </row>
    <row r="439" spans="1:1">
      <c r="A439" t="str">
        <f>CONCATENATE(ROUND('symptom weights'!A439,0)," ,  ")</f>
        <v xml:space="preserve">21083 ,  </v>
      </c>
    </row>
    <row r="440" spans="1:1">
      <c r="A440" t="str">
        <f>CONCATENATE(ROUND('symptom weights'!A440,0)," ,  ")</f>
        <v xml:space="preserve">15408 ,  </v>
      </c>
    </row>
    <row r="441" spans="1:1">
      <c r="A441" t="str">
        <f>CONCATENATE(ROUND('symptom weights'!A441,0)," ,  ")</f>
        <v xml:space="preserve">15647 ,  </v>
      </c>
    </row>
    <row r="442" spans="1:1">
      <c r="A442" t="str">
        <f>CONCATENATE(ROUND('symptom weights'!A442,0)," ,  ")</f>
        <v xml:space="preserve">16027 ,  </v>
      </c>
    </row>
    <row r="443" spans="1:1">
      <c r="A443" t="str">
        <f>CONCATENATE(ROUND('symptom weights'!A443,0)," ,  ")</f>
        <v xml:space="preserve">13488 ,  </v>
      </c>
    </row>
    <row r="444" spans="1:1">
      <c r="A444" t="str">
        <f>CONCATENATE(ROUND('symptom weights'!A444,0)," ,  ")</f>
        <v xml:space="preserve">13899 ,  </v>
      </c>
    </row>
    <row r="445" spans="1:1">
      <c r="A445" t="str">
        <f>CONCATENATE(ROUND('symptom weights'!A445,0)," ,  ")</f>
        <v xml:space="preserve">19546 ,  </v>
      </c>
    </row>
    <row r="446" spans="1:1">
      <c r="A446" t="str">
        <f>CONCATENATE(ROUND('symptom weights'!A446,0)," ,  ")</f>
        <v xml:space="preserve">14757 ,  </v>
      </c>
    </row>
    <row r="447" spans="1:1">
      <c r="A447" t="str">
        <f>CONCATENATE(ROUND('symptom weights'!A447,0)," ,  ")</f>
        <v xml:space="preserve">17475 ,  </v>
      </c>
    </row>
    <row r="448" spans="1:1">
      <c r="A448" t="str">
        <f>CONCATENATE(ROUND('symptom weights'!A448,0)," ,  ")</f>
        <v xml:space="preserve">23318 ,  </v>
      </c>
    </row>
    <row r="449" spans="1:1">
      <c r="A449" t="str">
        <f>CONCATENATE(ROUND('symptom weights'!A449,0)," ,  ")</f>
        <v xml:space="preserve">9976 ,  </v>
      </c>
    </row>
    <row r="450" spans="1:1">
      <c r="A450" t="str">
        <f>CONCATENATE(ROUND('symptom weights'!A450,0)," ,  ")</f>
        <v xml:space="preserve">10419 ,  </v>
      </c>
    </row>
    <row r="451" spans="1:1">
      <c r="A451" t="str">
        <f>CONCATENATE(ROUND('symptom weights'!A451,0)," ,  ")</f>
        <v xml:space="preserve">9848 ,  </v>
      </c>
    </row>
    <row r="452" spans="1:1">
      <c r="A452" t="str">
        <f>CONCATENATE(ROUND('symptom weights'!A452,0)," ,  ")</f>
        <v xml:space="preserve">9822 ,  </v>
      </c>
    </row>
    <row r="453" spans="1:1">
      <c r="A453" t="str">
        <f>CONCATENATE(ROUND('symptom weights'!A453,0)," ,  ")</f>
        <v xml:space="preserve">9686 ,  </v>
      </c>
    </row>
    <row r="454" spans="1:1">
      <c r="A454" t="str">
        <f>CONCATENATE(ROUND('symptom weights'!A454,0)," ,  ")</f>
        <v xml:space="preserve">9535 ,  </v>
      </c>
    </row>
    <row r="455" spans="1:1">
      <c r="A455" t="str">
        <f>CONCATENATE(ROUND('symptom weights'!A455,0)," ,  ")</f>
        <v xml:space="preserve">9998 ,  </v>
      </c>
    </row>
    <row r="456" spans="1:1">
      <c r="A456" t="str">
        <f>CONCATENATE(ROUND('symptom weights'!A456,0)," ,  ")</f>
        <v xml:space="preserve">10057 ,  </v>
      </c>
    </row>
    <row r="457" spans="1:1">
      <c r="A457" t="str">
        <f>CONCATENATE(ROUND('symptom weights'!A457,0)," ,  ")</f>
        <v xml:space="preserve">9472 ,  </v>
      </c>
    </row>
    <row r="458" spans="1:1">
      <c r="A458" t="str">
        <f>CONCATENATE(ROUND('symptom weights'!A458,0)," ,  ")</f>
        <v xml:space="preserve">9829 ,  </v>
      </c>
    </row>
    <row r="459" spans="1:1">
      <c r="A459" t="str">
        <f>CONCATENATE(ROUND('symptom weights'!A459,0)," ,  ")</f>
        <v xml:space="preserve">9984 ,  </v>
      </c>
    </row>
    <row r="460" spans="1:1">
      <c r="A460" t="str">
        <f>CONCATENATE(ROUND('symptom weights'!A460,0)," ,  ")</f>
        <v xml:space="preserve">11458 ,  </v>
      </c>
    </row>
    <row r="461" spans="1:1">
      <c r="A461" t="str">
        <f>CONCATENATE(ROUND('symptom weights'!A461,0)," ,  ")</f>
        <v xml:space="preserve">11324 ,  </v>
      </c>
    </row>
    <row r="462" spans="1:1">
      <c r="A462" t="str">
        <f>CONCATENATE(ROUND('symptom weights'!A462,0)," ,  ")</f>
        <v xml:space="preserve">7535 ,  </v>
      </c>
    </row>
    <row r="463" spans="1:1">
      <c r="A463" t="str">
        <f>CONCATENATE(ROUND('symptom weights'!A463,0)," ,  ")</f>
        <v xml:space="preserve">8046 ,  </v>
      </c>
    </row>
    <row r="464" spans="1:1">
      <c r="A464" t="str">
        <f>CONCATENATE(ROUND('symptom weights'!A464,0)," ,  ")</f>
        <v xml:space="preserve">16296 ,  </v>
      </c>
    </row>
    <row r="465" spans="1:1">
      <c r="A465" t="str">
        <f>CONCATENATE(ROUND('symptom weights'!A465,0)," ,  ")</f>
        <v xml:space="preserve">15729 ,  </v>
      </c>
    </row>
    <row r="466" spans="1:1">
      <c r="A466" t="str">
        <f>CONCATENATE(ROUND('symptom weights'!A466,0)," ,  ")</f>
        <v xml:space="preserve">14545 ,  </v>
      </c>
    </row>
    <row r="467" spans="1:1">
      <c r="A467" t="str">
        <f>CONCATENATE(ROUND('symptom weights'!A467,0)," ,  ")</f>
        <v xml:space="preserve">15364 ,  </v>
      </c>
    </row>
    <row r="468" spans="1:1">
      <c r="A468" t="str">
        <f>CONCATENATE(ROUND('symptom weights'!A468,0)," ,  ")</f>
        <v xml:space="preserve">18440 ,  </v>
      </c>
    </row>
    <row r="469" spans="1:1">
      <c r="A469" t="str">
        <f>CONCATENATE(ROUND('symptom weights'!A469,0)," ,  ")</f>
        <v xml:space="preserve">19630 ,  </v>
      </c>
    </row>
    <row r="470" spans="1:1">
      <c r="A470" t="str">
        <f>CONCATENATE(ROUND('symptom weights'!A470,0)," ,  ")</f>
        <v xml:space="preserve">18997 ,  </v>
      </c>
    </row>
    <row r="471" spans="1:1">
      <c r="A471" t="str">
        <f>CONCATENATE(ROUND('symptom weights'!A471,0)," ,  ")</f>
        <v xml:space="preserve">19352 ,  </v>
      </c>
    </row>
    <row r="472" spans="1:1">
      <c r="A472" t="str">
        <f>CONCATENATE(ROUND('symptom weights'!A472,0)," ,  ")</f>
        <v xml:space="preserve">19861 ,  </v>
      </c>
    </row>
    <row r="473" spans="1:1">
      <c r="A473" t="str">
        <f>CONCATENATE(ROUND('symptom weights'!A473,0)," ,  ")</f>
        <v xml:space="preserve">19606 ,  </v>
      </c>
    </row>
    <row r="474" spans="1:1">
      <c r="A474" t="str">
        <f>CONCATENATE(ROUND('symptom weights'!A474,0)," ,  ")</f>
        <v xml:space="preserve">20099 ,  </v>
      </c>
    </row>
    <row r="475" spans="1:1">
      <c r="A475" t="str">
        <f>CONCATENATE(ROUND('symptom weights'!A475,0)," ,  ")</f>
        <v xml:space="preserve">19824 ,  </v>
      </c>
    </row>
    <row r="476" spans="1:1">
      <c r="A476" t="str">
        <f>CONCATENATE(ROUND('symptom weights'!A476,0)," ,  ")</f>
        <v xml:space="preserve">22424 ,  </v>
      </c>
    </row>
    <row r="477" spans="1:1">
      <c r="A477" t="str">
        <f>CONCATENATE(ROUND('symptom weights'!A477,0)," ,  ")</f>
        <v xml:space="preserve">23680 ,  </v>
      </c>
    </row>
    <row r="478" spans="1:1">
      <c r="A478" t="str">
        <f>CONCATENATE(ROUND('symptom weights'!A478,0)," ,  ")</f>
        <v xml:space="preserve">16257 ,  </v>
      </c>
    </row>
    <row r="479" spans="1:1">
      <c r="A479" t="str">
        <f>CONCATENATE(ROUND('symptom weights'!A479,0)," ,  ")</f>
        <v xml:space="preserve">15444 ,  </v>
      </c>
    </row>
    <row r="480" spans="1:1">
      <c r="A480" t="str">
        <f>CONCATENATE(ROUND('symptom weights'!A480,0)," ,  ")</f>
        <v xml:space="preserve">14982 ,  </v>
      </c>
    </row>
    <row r="481" spans="1:1">
      <c r="A481" t="str">
        <f>CONCATENATE(ROUND('symptom weights'!A481,0)," ,  ")</f>
        <v xml:space="preserve">16985 ,  </v>
      </c>
    </row>
    <row r="482" spans="1:1">
      <c r="A482" t="str">
        <f>CONCATENATE(ROUND('symptom weights'!A482,0)," ,  ")</f>
        <v xml:space="preserve">14150 ,  </v>
      </c>
    </row>
    <row r="483" spans="1:1">
      <c r="A483" t="str">
        <f>CONCATENATE(ROUND('symptom weights'!A483,0)," ,  ")</f>
        <v xml:space="preserve">14939 ,  </v>
      </c>
    </row>
    <row r="484" spans="1:1">
      <c r="A484" t="str">
        <f>CONCATENATE(ROUND('symptom weights'!A484,0)," ,  ")</f>
        <v xml:space="preserve">17621 ,  </v>
      </c>
    </row>
    <row r="485" spans="1:1">
      <c r="A485" t="str">
        <f>CONCATENATE(ROUND('symptom weights'!A485,0)," ,  ")</f>
        <v xml:space="preserve">16745 ,  </v>
      </c>
    </row>
    <row r="486" spans="1:1">
      <c r="A486" t="str">
        <f>CONCATENATE(ROUND('symptom weights'!A486,0)," ,  ")</f>
        <v xml:space="preserve">17446 ,  </v>
      </c>
    </row>
    <row r="487" spans="1:1">
      <c r="A487" t="str">
        <f>CONCATENATE(ROUND('symptom weights'!A487,0)," ,  ")</f>
        <v xml:space="preserve">23633 ,  </v>
      </c>
    </row>
    <row r="488" spans="1:1">
      <c r="A488" t="str">
        <f>CONCATENATE(ROUND('symptom weights'!A488,0)," ,  ")</f>
        <v xml:space="preserve">22183 ,  </v>
      </c>
    </row>
    <row r="489" spans="1:1">
      <c r="A489" t="str">
        <f>CONCATENATE(ROUND('symptom weights'!A489,0)," ,  ")</f>
        <v xml:space="preserve">19995 ,  </v>
      </c>
    </row>
    <row r="490" spans="1:1">
      <c r="A490" t="str">
        <f>CONCATENATE(ROUND('symptom weights'!A490,0)," ,  ")</f>
        <v xml:space="preserve">21238 ,  </v>
      </c>
    </row>
    <row r="491" spans="1:1">
      <c r="A491" t="str">
        <f>CONCATENATE(ROUND('symptom weights'!A491,0)," ,  ")</f>
        <v xml:space="preserve">21109 ,  </v>
      </c>
    </row>
    <row r="492" spans="1:1">
      <c r="A492" t="str">
        <f>CONCATENATE(ROUND('symptom weights'!A492,0)," ,  ")</f>
        <v xml:space="preserve">21532 ,  </v>
      </c>
    </row>
    <row r="493" spans="1:1">
      <c r="A493" t="str">
        <f>CONCATENATE(ROUND('symptom weights'!A493,0)," ,  ")</f>
        <v xml:space="preserve">22999 ,  </v>
      </c>
    </row>
    <row r="494" spans="1:1">
      <c r="A494" t="str">
        <f>CONCATENATE(ROUND('symptom weights'!A494,0)," ,  ")</f>
        <v xml:space="preserve">14498 ,  </v>
      </c>
    </row>
    <row r="495" spans="1:1">
      <c r="A495" t="str">
        <f>CONCATENATE(ROUND('symptom weights'!A495,0)," ,  ")</f>
        <v xml:space="preserve">11990 ,  </v>
      </c>
    </row>
    <row r="496" spans="1:1">
      <c r="A496" t="str">
        <f>CONCATENATE(ROUND('symptom weights'!A496,0)," ,  ")</f>
        <v xml:space="preserve">12973 ,  </v>
      </c>
    </row>
    <row r="497" spans="1:1">
      <c r="A497" t="str">
        <f>CONCATENATE(ROUND('symptom weights'!A497,0)," ,  ")</f>
        <v xml:space="preserve">14404 ,  </v>
      </c>
    </row>
    <row r="498" spans="1:1">
      <c r="A498" t="str">
        <f>CONCATENATE(ROUND('symptom weights'!A498,0)," ,  ")</f>
        <v xml:space="preserve">14204 ,  </v>
      </c>
    </row>
    <row r="499" spans="1:1">
      <c r="A499" t="str">
        <f>CONCATENATE(ROUND('symptom weights'!A499,0)," ,  ")</f>
        <v xml:space="preserve">13082 ,  </v>
      </c>
    </row>
    <row r="500" spans="1:1">
      <c r="A500" t="str">
        <f>CONCATENATE(ROUND('symptom weights'!A500,0)," ,  ")</f>
        <v xml:space="preserve">15874 ,  </v>
      </c>
    </row>
    <row r="501" spans="1:1">
      <c r="A501" t="str">
        <f>CONCATENATE(ROUND('symptom weights'!A501,0)," ,  ")</f>
        <v xml:space="preserve">15195 ,  </v>
      </c>
    </row>
    <row r="502" spans="1:1">
      <c r="A502" t="str">
        <f>CONCATENATE(ROUND('symptom weights'!A502,0)," ,  ")</f>
        <v xml:space="preserve">13910 ,  </v>
      </c>
    </row>
    <row r="503" spans="1:1">
      <c r="A503" t="str">
        <f>CONCATENATE(ROUND('symptom weights'!A503,0)," ,  ")</f>
        <v xml:space="preserve">16219 ,  </v>
      </c>
    </row>
    <row r="504" spans="1:1">
      <c r="A504" t="str">
        <f>CONCATENATE(ROUND('symptom weights'!A504,0)," ,  ")</f>
        <v xml:space="preserve">15185 ,  </v>
      </c>
    </row>
    <row r="505" spans="1:1">
      <c r="A505" t="str">
        <f>CONCATENATE(ROUND('symptom weights'!A505,0)," ,  ")</f>
        <v xml:space="preserve">16352 ,  </v>
      </c>
    </row>
    <row r="506" spans="1:1">
      <c r="A506" t="str">
        <f>CONCATENATE(ROUND('symptom weights'!A506,0)," ,  ")</f>
        <v xml:space="preserve">14507 ,  </v>
      </c>
    </row>
    <row r="507" spans="1:1">
      <c r="A507" t="str">
        <f>CONCATENATE(ROUND('symptom weights'!A507,0)," ,  ")</f>
        <v xml:space="preserve">15381 ,  </v>
      </c>
    </row>
    <row r="508" spans="1:1">
      <c r="A508" t="str">
        <f>CONCATENATE(ROUND('symptom weights'!A508,0)," ,  ")</f>
        <v xml:space="preserve">16377 ,  </v>
      </c>
    </row>
    <row r="509" spans="1:1">
      <c r="A509" t="str">
        <f>CONCATENATE(ROUND('symptom weights'!A509,0)," ,  ")</f>
        <v xml:space="preserve">9970 ,  </v>
      </c>
    </row>
    <row r="510" spans="1:1">
      <c r="A510" t="str">
        <f>CONCATENATE(ROUND('symptom weights'!A510,0)," ,  ")</f>
        <v xml:space="preserve">10392 ,  </v>
      </c>
    </row>
    <row r="511" spans="1:1">
      <c r="A511" t="str">
        <f>CONCATENATE(ROUND('symptom weights'!A511,0)," ,  ")</f>
        <v xml:space="preserve">8641 ,  </v>
      </c>
    </row>
    <row r="512" spans="1:1">
      <c r="A512" t="str">
        <f>CONCATENATE(ROUND('symptom weights'!A512,0)," ,  ")</f>
        <v xml:space="preserve">10707 ,  </v>
      </c>
    </row>
    <row r="513" spans="1:1">
      <c r="A513" t="str">
        <f>CONCATENATE(ROUND('symptom weights'!A513,0)," ,  ")</f>
        <v xml:space="preserve">6811 ,  </v>
      </c>
    </row>
    <row r="514" spans="1:1">
      <c r="A514" t="str">
        <f>CONCATENATE(ROUND('symptom weights'!A514,0)," ,  ")</f>
        <v xml:space="preserve">7787 ,  </v>
      </c>
    </row>
    <row r="515" spans="1:1">
      <c r="A515" t="str">
        <f>CONCATENATE(ROUND('symptom weights'!A515,0)," ,  ")</f>
        <v xml:space="preserve">7406 ,  </v>
      </c>
    </row>
    <row r="516" spans="1:1">
      <c r="A516" t="str">
        <f>CONCATENATE(ROUND('symptom weights'!A516,0)," ,  ")</f>
        <v xml:space="preserve">7991 ,  </v>
      </c>
    </row>
    <row r="517" spans="1:1">
      <c r="A517" t="str">
        <f>CONCATENATE(ROUND('symptom weights'!A517,0)," ,  ")</f>
        <v xml:space="preserve">8158 ,  </v>
      </c>
    </row>
    <row r="518" spans="1:1">
      <c r="A518" t="str">
        <f>CONCATENATE(ROUND('symptom weights'!A518,0)," ,  ")</f>
        <v xml:space="preserve">8399 ,  </v>
      </c>
    </row>
    <row r="519" spans="1:1">
      <c r="A519" t="str">
        <f>CONCATENATE(ROUND('symptom weights'!A519,0)," ,  ")</f>
        <v xml:space="preserve">6757 ,  </v>
      </c>
    </row>
    <row r="520" spans="1:1">
      <c r="A520" t="str">
        <f>CONCATENATE(ROUND('symptom weights'!A520,0)," ,  ")</f>
        <v xml:space="preserve">8698 ,  </v>
      </c>
    </row>
    <row r="521" spans="1:1">
      <c r="A521" t="str">
        <f>CONCATENATE(ROUND('symptom weights'!A521,0)," ,  ")</f>
        <v xml:space="preserve">8818 ,  </v>
      </c>
    </row>
    <row r="522" spans="1:1">
      <c r="A522" t="str">
        <f>CONCATENATE(ROUND('symptom weights'!A522,0)," ,  ")</f>
        <v xml:space="preserve">7781 ,  </v>
      </c>
    </row>
    <row r="523" spans="1:1">
      <c r="A523" t="str">
        <f>CONCATENATE(ROUND('symptom weights'!A523,0)," ,  ")</f>
        <v xml:space="preserve">7195 ,  </v>
      </c>
    </row>
    <row r="524" spans="1:1">
      <c r="A524" t="str">
        <f>CONCATENATE(ROUND('symptom weights'!A524,0)," ,  ")</f>
        <v xml:space="preserve">8991 ,  </v>
      </c>
    </row>
    <row r="525" spans="1:1">
      <c r="A525" t="str">
        <f>CONCATENATE(ROUND('symptom weights'!A525,0)," ,  ")</f>
        <v xml:space="preserve">7467 ,  </v>
      </c>
    </row>
    <row r="526" spans="1:1">
      <c r="A526" t="str">
        <f>CONCATENATE(ROUND('symptom weights'!A526,0)," ,  ")</f>
        <v xml:space="preserve">7831 ,  </v>
      </c>
    </row>
    <row r="527" spans="1:1">
      <c r="A527" t="str">
        <f>CONCATENATE(ROUND('symptom weights'!A527,0)," ,  ")</f>
        <v xml:space="preserve">6706 ,  </v>
      </c>
    </row>
    <row r="528" spans="1:1">
      <c r="A528" t="str">
        <f>CONCATENATE(ROUND('symptom weights'!A528,0)," ,  ")</f>
        <v xml:space="preserve">9736 ,  </v>
      </c>
    </row>
    <row r="529" spans="1:1">
      <c r="A529" t="str">
        <f>CONCATENATE(ROUND('symptom weights'!A529,0)," ,  ")</f>
        <v xml:space="preserve">9059 ,  </v>
      </c>
    </row>
    <row r="530" spans="1:1">
      <c r="A530" t="str">
        <f>CONCATENATE(ROUND('symptom weights'!A530,0)," ,  ")</f>
        <v xml:space="preserve">9658 ,  </v>
      </c>
    </row>
    <row r="531" spans="1:1">
      <c r="A531" t="str">
        <f>CONCATENATE(ROUND('symptom weights'!A531,0)," ,  ")</f>
        <v xml:space="preserve">9819 ,  </v>
      </c>
    </row>
    <row r="532" spans="1:1">
      <c r="A532" t="str">
        <f>CONCATENATE(ROUND('symptom weights'!A532,0)," ,  ")</f>
        <v xml:space="preserve">9092 ,  </v>
      </c>
    </row>
    <row r="533" spans="1:1">
      <c r="A533" t="str">
        <f>CONCATENATE(ROUND('symptom weights'!A533,0)," ,  ")</f>
        <v xml:space="preserve">8850 ,  </v>
      </c>
    </row>
    <row r="534" spans="1:1">
      <c r="A534" t="str">
        <f>CONCATENATE(ROUND('symptom weights'!A534,0)," ,  ")</f>
        <v xml:space="preserve">9314 ,  </v>
      </c>
    </row>
    <row r="535" spans="1:1">
      <c r="A535" t="str">
        <f>CONCATENATE(ROUND('symptom weights'!A535,0)," ,  ")</f>
        <v xml:space="preserve">9670 ,  </v>
      </c>
    </row>
    <row r="536" spans="1:1">
      <c r="A536" t="str">
        <f>CONCATENATE(ROUND('symptom weights'!A536,0)," ,  ")</f>
        <v xml:space="preserve">8482 ,  </v>
      </c>
    </row>
    <row r="537" spans="1:1">
      <c r="A537" t="str">
        <f>CONCATENATE(ROUND('symptom weights'!A537,0)," ,  ")</f>
        <v xml:space="preserve">8380 ,  </v>
      </c>
    </row>
    <row r="538" spans="1:1">
      <c r="A538" t="str">
        <f>CONCATENATE(ROUND('symptom weights'!A538,0)," ,  ")</f>
        <v xml:space="preserve">8585 ,  </v>
      </c>
    </row>
    <row r="539" spans="1:1">
      <c r="A539" t="str">
        <f>CONCATENATE(ROUND('symptom weights'!A539,0)," ,  ")</f>
        <v xml:space="preserve">8646 ,  </v>
      </c>
    </row>
    <row r="540" spans="1:1">
      <c r="A540" t="str">
        <f>CONCATENATE(ROUND('symptom weights'!A540,0)," ,  ")</f>
        <v xml:space="preserve">8594 ,  </v>
      </c>
    </row>
    <row r="541" spans="1:1">
      <c r="A541" t="str">
        <f>CONCATENATE(ROUND('symptom weights'!A541,0)," ,  ")</f>
        <v xml:space="preserve">9434 ,  </v>
      </c>
    </row>
    <row r="542" spans="1:1">
      <c r="A542" t="str">
        <f>CONCATENATE(ROUND('symptom weights'!A542,0)," ,  ")</f>
        <v xml:space="preserve">9029 ,  </v>
      </c>
    </row>
    <row r="543" spans="1:1">
      <c r="A543" t="str">
        <f>CONCATENATE(ROUND('symptom weights'!A543,0)," ,  ")</f>
        <v xml:space="preserve">11084 ,  </v>
      </c>
    </row>
    <row r="544" spans="1:1">
      <c r="A544" t="str">
        <f>CONCATENATE(ROUND('symptom weights'!A544,0)," ,  ")</f>
        <v xml:space="preserve">10882 ,  </v>
      </c>
    </row>
    <row r="545" spans="1:1">
      <c r="A545" t="str">
        <f>CONCATENATE(ROUND('symptom weights'!A545,0)," ,  ")</f>
        <v xml:space="preserve">7333 ,  </v>
      </c>
    </row>
    <row r="546" spans="1:1">
      <c r="A546" t="str">
        <f>CONCATENATE(ROUND('symptom weights'!A546,0)," ,  ")</f>
        <v xml:space="preserve">6060 ,  </v>
      </c>
    </row>
    <row r="547" spans="1:1">
      <c r="A547" t="str">
        <f>CONCATENATE(ROUND('symptom weights'!A547,0)," ,  ")</f>
        <v xml:space="preserve">6255 ,  </v>
      </c>
    </row>
    <row r="548" spans="1:1">
      <c r="A548" t="str">
        <f>CONCATENATE(ROUND('symptom weights'!A548,0)," ,  ")</f>
        <v xml:space="preserve">6013 ,  </v>
      </c>
    </row>
    <row r="549" spans="1:1">
      <c r="A549" t="str">
        <f>CONCATENATE(ROUND('symptom weights'!A549,0)," ,  ")</f>
        <v xml:space="preserve">6211 ,  </v>
      </c>
    </row>
    <row r="550" spans="1:1">
      <c r="A550" t="str">
        <f>CONCATENATE(ROUND('symptom weights'!A550,0)," ,  ")</f>
        <v xml:space="preserve">6156 ,  </v>
      </c>
    </row>
    <row r="551" spans="1:1">
      <c r="A551" t="str">
        <f>CONCATENATE(ROUND('symptom weights'!A551,0)," ,  ")</f>
        <v xml:space="preserve">5955 ,  </v>
      </c>
    </row>
    <row r="552" spans="1:1">
      <c r="A552" t="str">
        <f>CONCATENATE(ROUND('symptom weights'!A552,0)," ,  ")</f>
        <v xml:space="preserve">6226 ,  </v>
      </c>
    </row>
    <row r="553" spans="1:1">
      <c r="A553" t="str">
        <f>CONCATENATE(ROUND('symptom weights'!A553,0)," ,  ")</f>
        <v xml:space="preserve">6201 ,  </v>
      </c>
    </row>
    <row r="554" spans="1:1">
      <c r="A554" t="str">
        <f>CONCATENATE(ROUND('symptom weights'!A554,0)," ,  ")</f>
        <v xml:space="preserve">6137 ,  </v>
      </c>
    </row>
    <row r="555" spans="1:1">
      <c r="A555" t="str">
        <f>CONCATENATE(ROUND('symptom weights'!A555,0)," ,  ")</f>
        <v xml:space="preserve">6294 ,  </v>
      </c>
    </row>
    <row r="556" spans="1:1">
      <c r="A556" t="str">
        <f>CONCATENATE(ROUND('symptom weights'!A556,0)," ,  ")</f>
        <v xml:space="preserve">6364 ,  </v>
      </c>
    </row>
    <row r="557" spans="1:1">
      <c r="A557" t="str">
        <f>CONCATENATE(ROUND('symptom weights'!A557,0)," ,  ")</f>
        <v xml:space="preserve">6354 ,  </v>
      </c>
    </row>
    <row r="558" spans="1:1">
      <c r="A558" t="s">
        <v>1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400"/>
  <sheetViews>
    <sheetView topLeftCell="A373" workbookViewId="0">
      <selection activeCell="E415" sqref="E415"/>
    </sheetView>
  </sheetViews>
  <sheetFormatPr defaultRowHeight="12.75"/>
  <cols>
    <col min="1" max="1" width="60.7109375" customWidth="1"/>
  </cols>
  <sheetData>
    <row r="1" spans="1:1">
      <c r="A1" t="s">
        <v>801</v>
      </c>
    </row>
    <row r="2" spans="1:1">
      <c r="A2" t="str">
        <f>CONCATENATE("{ number: '", remedies_names!A2, "' , name: '",remedies_names!B2, "' }, " )</f>
        <v xml:space="preserve">{ number: 'R001' , name: 'A.D.N. (D.N.A.)' }, </v>
      </c>
    </row>
    <row r="3" spans="1:1">
      <c r="A3" t="str">
        <f>CONCATENATE("{ number: '", remedies_names!A3, "' , name: '",remedies_names!B3, "' }, " )</f>
        <v xml:space="preserve">{ number: 'R002' , name: 'A.R.N  (R.N.A.)' }, </v>
      </c>
    </row>
    <row r="4" spans="1:1">
      <c r="A4" t="str">
        <f>CONCATENATE("{ number: '", remedies_names!A4, "' , name: '",remedies_names!B4, "' }, " )</f>
        <v xml:space="preserve">{ number: 'R003' , name: 'Abrotanum' }, </v>
      </c>
    </row>
    <row r="5" spans="1:1">
      <c r="A5" t="str">
        <f>CONCATENATE("{ number: '", remedies_names!A5, "' , name: '",remedies_names!B5, "' }, " )</f>
        <v xml:space="preserve">{ number: 'R004' , name: 'Aceticum Acidum' }, </v>
      </c>
    </row>
    <row r="6" spans="1:1">
      <c r="A6" t="str">
        <f>CONCATENATE("{ number: '", remedies_names!A6, "' , name: '",remedies_names!B6, "' }, " )</f>
        <v xml:space="preserve">{ number: 'R005' , name: 'Achillea Millefolium' }, </v>
      </c>
    </row>
    <row r="7" spans="1:1">
      <c r="A7" t="str">
        <f>CONCATENATE("{ number: '", remedies_names!A7, "' , name: '",remedies_names!B7, "' }, " )</f>
        <v xml:space="preserve">{ number: 'R006' , name: 'Aconitum Napellus' }, </v>
      </c>
    </row>
    <row r="8" spans="1:1">
      <c r="A8" t="str">
        <f>CONCATENATE("{ number: '", remedies_names!A8, "' , name: '",remedies_names!B8, "' }, " )</f>
        <v xml:space="preserve">{ number: 'R007' , name: 'Actaea Racemosa' }, </v>
      </c>
    </row>
    <row r="9" spans="1:1">
      <c r="A9" t="str">
        <f>CONCATENATE("{ number: '", remedies_names!A9, "' , name: '",remedies_names!B9, "' }, " )</f>
        <v xml:space="preserve">{ number: 'R008' , name: 'Actaea Spicata' }, </v>
      </c>
    </row>
    <row r="10" spans="1:1">
      <c r="A10" t="str">
        <f>CONCATENATE("{ number: '", remedies_names!A10, "' , name: '",remedies_names!B10, "' }, " )</f>
        <v xml:space="preserve">{ number: 'R009' , name: 'Aesculus Hippocasta.' }, </v>
      </c>
    </row>
    <row r="11" spans="1:1">
      <c r="A11" t="str">
        <f>CONCATENATE("{ number: '", remedies_names!A11, "' , name: '",remedies_names!B11, "' }, " )</f>
        <v xml:space="preserve">{ number: 'R010' , name: 'Aethusa Cynapium' }, </v>
      </c>
    </row>
    <row r="12" spans="1:1">
      <c r="A12" t="str">
        <f>CONCATENATE("{ number: '", remedies_names!A12, "' , name: '",remedies_names!B12, "' }, " )</f>
        <v xml:space="preserve">{ number: 'R011' , name: 'Agaricus Muscarius' }, </v>
      </c>
    </row>
    <row r="13" spans="1:1">
      <c r="A13" t="str">
        <f>CONCATENATE("{ number: '", remedies_names!A13, "' , name: '",remedies_names!B13, "' }, " )</f>
        <v xml:space="preserve">{ number: 'R012' , name: 'Agnus Castus' }, </v>
      </c>
    </row>
    <row r="14" spans="1:1">
      <c r="A14" t="str">
        <f>CONCATENATE("{ number: '", remedies_names!A14, "' , name: '",remedies_names!B14, "' }, " )</f>
        <v xml:space="preserve">{ number: 'R013' , name: 'Ailanthus Glandulosa' }, </v>
      </c>
    </row>
    <row r="15" spans="1:1">
      <c r="A15" t="str">
        <f>CONCATENATE("{ number: '", remedies_names!A15, "' , name: '",remedies_names!B15, "' }, " )</f>
        <v xml:space="preserve">{ number: 'R014' , name: 'Allium Cepa' }, </v>
      </c>
    </row>
    <row r="16" spans="1:1">
      <c r="A16" t="str">
        <f>CONCATENATE("{ number: '", remedies_names!A16, "' , name: '",remedies_names!B16, "' }, " )</f>
        <v xml:space="preserve">{ number: 'R015' , name: 'Allium Sativum' }, </v>
      </c>
    </row>
    <row r="17" spans="1:1">
      <c r="A17" t="str">
        <f>CONCATENATE("{ number: '", remedies_names!A17, "' , name: '",remedies_names!B17, "' }, " )</f>
        <v xml:space="preserve">{ number: 'R016' , name: 'Aloe (Aloes Du Cap)' }, </v>
      </c>
    </row>
    <row r="18" spans="1:1">
      <c r="A18" t="str">
        <f>CONCATENATE("{ number: '", remedies_names!A18, "' , name: '",remedies_names!B18, "' }, " )</f>
        <v xml:space="preserve">{ number: 'R017' , name: 'Alumen Crudum' }, </v>
      </c>
    </row>
    <row r="19" spans="1:1">
      <c r="A19" t="str">
        <f>CONCATENATE("{ number: '", remedies_names!A19, "' , name: '",remedies_names!B19, "' }, " )</f>
        <v xml:space="preserve">{ number: 'R018' , name: 'Alumina (Diaspore)' }, </v>
      </c>
    </row>
    <row r="20" spans="1:1">
      <c r="A20" t="str">
        <f>CONCATENATE("{ number: '", remedies_names!A20, "' , name: '",remedies_names!B20, "' }, " )</f>
        <v xml:space="preserve">{ number: 'R019' , name: 'Ambra Grisea' }, </v>
      </c>
    </row>
    <row r="21" spans="1:1">
      <c r="A21" t="str">
        <f>CONCATENATE("{ number: '", remedies_names!A21, "' , name: '",remedies_names!B21, "' }, " )</f>
        <v xml:space="preserve">{ number: 'R020' , name: 'Ammoniacum (Gummi)' }, </v>
      </c>
    </row>
    <row r="22" spans="1:1">
      <c r="A22" t="str">
        <f>CONCATENATE("{ number: '", remedies_names!A22, "' , name: '",remedies_names!B22, "' }, " )</f>
        <v xml:space="preserve">{ number: 'R021' , name: 'Ammonium Bromatum' }, </v>
      </c>
    </row>
    <row r="23" spans="1:1">
      <c r="A23" t="str">
        <f>CONCATENATE("{ number: '", remedies_names!A23, "' , name: '",remedies_names!B23, "' }, " )</f>
        <v xml:space="preserve">{ number: 'R022' , name: 'Ammonium Carbonicum' }, </v>
      </c>
    </row>
    <row r="24" spans="1:1">
      <c r="A24" t="str">
        <f>CONCATENATE("{ number: '", remedies_names!A24, "' , name: '",remedies_names!B24, "' }, " )</f>
        <v xml:space="preserve">{ number: 'R023' , name: 'Ammonium Muriaticum' }, </v>
      </c>
    </row>
    <row r="25" spans="1:1">
      <c r="A25" t="str">
        <f>CONCATENATE("{ number: '", remedies_names!A25, "' , name: '",remedies_names!B25, "' }, " )</f>
        <v xml:space="preserve">{ number: 'R024' , name: 'Amygdalus Com. Amara' }, </v>
      </c>
    </row>
    <row r="26" spans="1:1">
      <c r="A26" t="str">
        <f>CONCATENATE("{ number: '", remedies_names!A26, "' , name: '",remedies_names!B26, "' }, " )</f>
        <v xml:space="preserve">{ number: 'R025' , name: 'Amylium Nitrosum' }, </v>
      </c>
    </row>
    <row r="27" spans="1:1">
      <c r="A27" t="str">
        <f>CONCATENATE("{ number: '", remedies_names!A27, "' , name: '",remedies_names!B27, "' }, " )</f>
        <v xml:space="preserve">{ number: 'R026' , name: 'Anacardium Orientale' }, </v>
      </c>
    </row>
    <row r="28" spans="1:1">
      <c r="A28" t="str">
        <f>CONCATENATE("{ number: '", remedies_names!A28, "' , name: '",remedies_names!B28, "' }, " )</f>
        <v xml:space="preserve">{ number: 'R027' , name: 'Anagallis Arvensis' }, </v>
      </c>
    </row>
    <row r="29" spans="1:1">
      <c r="A29" t="str">
        <f>CONCATENATE("{ number: '", remedies_names!A29, "' , name: '",remedies_names!B29, "' }, " )</f>
        <v xml:space="preserve">{ number: 'R028' , name: 'Anantherum Muricatum' }, </v>
      </c>
    </row>
    <row r="30" spans="1:1">
      <c r="A30" t="str">
        <f>CONCATENATE("{ number: '", remedies_names!A30, "' , name: '",remedies_names!B30, "' }, " )</f>
        <v xml:space="preserve">{ number: 'R029' , name: 'Angustura Vera' }, </v>
      </c>
    </row>
    <row r="31" spans="1:1">
      <c r="A31" t="str">
        <f>CONCATENATE("{ number: '", remedies_names!A31, "' , name: '",remedies_names!B31, "' }, " )</f>
        <v xml:space="preserve">{ number: 'R030' , name: 'Anthracinum' }, </v>
      </c>
    </row>
    <row r="32" spans="1:1">
      <c r="A32" t="str">
        <f>CONCATENATE("{ number: '", remedies_names!A32, "' , name: '",remedies_names!B32, "' }, " )</f>
        <v xml:space="preserve">{ number: 'R031' , name: 'Anthrakokali' }, </v>
      </c>
    </row>
    <row r="33" spans="1:1">
      <c r="A33" t="str">
        <f>CONCATENATE("{ number: '", remedies_names!A33, "' , name: '",remedies_names!B33, "' }, " )</f>
        <v xml:space="preserve">{ number: 'R032' , name: 'Antimonium Crudum' }, </v>
      </c>
    </row>
    <row r="34" spans="1:1">
      <c r="A34" t="str">
        <f>CONCATENATE("{ number: '", remedies_names!A34, "' , name: '",remedies_names!B34, "' }, " )</f>
        <v xml:space="preserve">{ number: 'R033' , name: 'Antimonium Tartaric.' }, </v>
      </c>
    </row>
    <row r="35" spans="1:1">
      <c r="A35" t="str">
        <f>CONCATENATE("{ number: '", remedies_names!A35, "' , name: '",remedies_names!B35, "' }, " )</f>
        <v xml:space="preserve">{ number: 'R034' , name: 'Apis Mellifica' }, </v>
      </c>
    </row>
    <row r="36" spans="1:1">
      <c r="A36" t="str">
        <f>CONCATENATE("{ number: '", remedies_names!A36, "' , name: '",remedies_names!B36, "' }, " )</f>
        <v xml:space="preserve">{ number: 'R035' , name: 'Apocynum Cannabinum' }, </v>
      </c>
    </row>
    <row r="37" spans="1:1">
      <c r="A37" t="str">
        <f>CONCATENATE("{ number: '", remedies_names!A37, "' , name: '",remedies_names!B37, "' }, " )</f>
        <v xml:space="preserve">{ number: 'R036' , name: 'Aranea Diadema' }, </v>
      </c>
    </row>
    <row r="38" spans="1:1">
      <c r="A38" t="str">
        <f>CONCATENATE("{ number: '", remedies_names!A38, "' , name: '",remedies_names!B38, "' }, " )</f>
        <v xml:space="preserve">{ number: 'R037' , name: 'Argentum Metallicum' }, </v>
      </c>
    </row>
    <row r="39" spans="1:1">
      <c r="A39" t="str">
        <f>CONCATENATE("{ number: '", remedies_names!A39, "' , name: '",remedies_names!B39, "' }, " )</f>
        <v xml:space="preserve">{ number: 'R038' , name: 'Argentum Nitricum' }, </v>
      </c>
    </row>
    <row r="40" spans="1:1">
      <c r="A40" t="str">
        <f>CONCATENATE("{ number: '", remedies_names!A40, "' , name: '",remedies_names!B40, "' }, " )</f>
        <v xml:space="preserve">{ number: 'R039' , name: 'Arnica Montana' }, </v>
      </c>
    </row>
    <row r="41" spans="1:1">
      <c r="A41" t="str">
        <f>CONCATENATE("{ number: '", remedies_names!A41, "' , name: '",remedies_names!B41, "' }, " )</f>
        <v xml:space="preserve">{ number: 'R040' , name: 'Arsenicum Album' }, </v>
      </c>
    </row>
    <row r="42" spans="1:1">
      <c r="A42" t="str">
        <f>CONCATENATE("{ number: '", remedies_names!A42, "' , name: '",remedies_names!B42, "' }, " )</f>
        <v xml:space="preserve">{ number: 'R041' , name: 'Arsenicum Hydrogeno.' }, </v>
      </c>
    </row>
    <row r="43" spans="1:1">
      <c r="A43" t="str">
        <f>CONCATENATE("{ number: '", remedies_names!A43, "' , name: '",remedies_names!B43, "' }, " )</f>
        <v xml:space="preserve">{ number: 'R042' , name: 'Arsenicum Iodatum' }, </v>
      </c>
    </row>
    <row r="44" spans="1:1">
      <c r="A44" t="str">
        <f>CONCATENATE("{ number: '", remedies_names!A44, "' , name: '",remedies_names!B44, "' }, " )</f>
        <v xml:space="preserve">{ number: 'R043' , name: 'Arsenicum Metallicum' }, </v>
      </c>
    </row>
    <row r="45" spans="1:1">
      <c r="A45" t="str">
        <f>CONCATENATE("{ number: '", remedies_names!A45, "' , name: '",remedies_names!B45, "' }, " )</f>
        <v xml:space="preserve">{ number: 'R044' , name: 'Arsenicum Sul. Flav.' }, </v>
      </c>
    </row>
    <row r="46" spans="1:1">
      <c r="A46" t="str">
        <f>CONCATENATE("{ number: '", remedies_names!A46, "' , name: '",remedies_names!B46, "' }, " )</f>
        <v xml:space="preserve">{ number: 'R045' , name: 'Arsenicum Sul. Rubr.' }, </v>
      </c>
    </row>
    <row r="47" spans="1:1">
      <c r="A47" t="str">
        <f>CONCATENATE("{ number: '", remedies_names!A47, "' , name: '",remedies_names!B47, "' }, " )</f>
        <v xml:space="preserve">{ number: 'R046' , name: 'Artemisia Vulgaris' }, </v>
      </c>
    </row>
    <row r="48" spans="1:1">
      <c r="A48" t="str">
        <f>CONCATENATE("{ number: '", remedies_names!A48, "' , name: '",remedies_names!B48, "' }, " )</f>
        <v xml:space="preserve">{ number: 'R047' , name: 'Arum Dracunculus' }, </v>
      </c>
    </row>
    <row r="49" spans="1:1">
      <c r="A49" t="str">
        <f>CONCATENATE("{ number: '", remedies_names!A49, "' , name: '",remedies_names!B49, "' }, " )</f>
        <v xml:space="preserve">{ number: 'R048' , name: 'Arum Maculatum' }, </v>
      </c>
    </row>
    <row r="50" spans="1:1">
      <c r="A50" t="str">
        <f>CONCATENATE("{ number: '", remedies_names!A50, "' , name: '",remedies_names!B50, "' }, " )</f>
        <v xml:space="preserve">{ number: 'R049' , name: 'Arum Triphyllum' }, </v>
      </c>
    </row>
    <row r="51" spans="1:1">
      <c r="A51" t="str">
        <f>CONCATENATE("{ number: '", remedies_names!A51, "' , name: '",remedies_names!B51, "' }, " )</f>
        <v xml:space="preserve">{ number: 'R050' , name: 'Arundo Mauritanica' }, </v>
      </c>
    </row>
    <row r="52" spans="1:1">
      <c r="A52" t="str">
        <f>CONCATENATE("{ number: '", remedies_names!A52, "' , name: '",remedies_names!B52, "' }, " )</f>
        <v xml:space="preserve">{ number: 'R051' , name: 'Asa Foetida' }, </v>
      </c>
    </row>
    <row r="53" spans="1:1">
      <c r="A53" t="str">
        <f>CONCATENATE("{ number: '", remedies_names!A53, "' , name: '",remedies_names!B53, "' }, " )</f>
        <v xml:space="preserve">{ number: 'R052' , name: 'Asarum Europaeum' }, </v>
      </c>
    </row>
    <row r="54" spans="1:1">
      <c r="A54" t="str">
        <f>CONCATENATE("{ number: '", remedies_names!A54, "' , name: '",remedies_names!B54, "' }, " )</f>
        <v xml:space="preserve">{ number: 'R053' , name: 'Asclepias Cornuti' }, </v>
      </c>
    </row>
    <row r="55" spans="1:1">
      <c r="A55" t="str">
        <f>CONCATENATE("{ number: '", remedies_names!A55, "' , name: '",remedies_names!B55, "' }, " )</f>
        <v xml:space="preserve">{ number: 'R054' , name: 'Asclepias Tuberosa' }, </v>
      </c>
    </row>
    <row r="56" spans="1:1">
      <c r="A56" t="str">
        <f>CONCATENATE("{ number: '", remedies_names!A56, "' , name: '",remedies_names!B56, "' }, " )</f>
        <v xml:space="preserve">{ number: 'R055' , name: 'Asimina Triloba' }, </v>
      </c>
    </row>
    <row r="57" spans="1:1">
      <c r="A57" t="str">
        <f>CONCATENATE("{ number: '", remedies_names!A57, "' , name: '",remedies_names!B57, "' }, " )</f>
        <v xml:space="preserve">{ number: 'R056' , name: 'Asparagus Officinal.' }, </v>
      </c>
    </row>
    <row r="58" spans="1:1">
      <c r="A58" t="str">
        <f>CONCATENATE("{ number: '", remedies_names!A58, "' , name: '",remedies_names!B58, "' }, " )</f>
        <v xml:space="preserve">{ number: 'R057' , name: 'Astacus Fluviatilis' }, </v>
      </c>
    </row>
    <row r="59" spans="1:1">
      <c r="A59" t="str">
        <f>CONCATENATE("{ number: '", remedies_names!A59, "' , name: '",remedies_names!B59, "' }, " )</f>
        <v xml:space="preserve">{ number: 'R058' , name: 'Asterias Rubens' }, </v>
      </c>
    </row>
    <row r="60" spans="1:1">
      <c r="A60" t="str">
        <f>CONCATENATE("{ number: '", remedies_names!A60, "' , name: '",remedies_names!B60, "' }, " )</f>
        <v xml:space="preserve">{ number: 'R059' , name: 'Atropinum' }, </v>
      </c>
    </row>
    <row r="61" spans="1:1">
      <c r="A61" t="str">
        <f>CONCATENATE("{ number: '", remedies_names!A61, "' , name: '",remedies_names!B61, "' }, " )</f>
        <v xml:space="preserve">{ number: 'R060' , name: 'Atropinum Sulfuricum' }, </v>
      </c>
    </row>
    <row r="62" spans="1:1">
      <c r="A62" t="str">
        <f>CONCATENATE("{ number: '", remedies_names!A62, "' , name: '",remedies_names!B62, "' }, " )</f>
        <v xml:space="preserve">{ number: 'R061' , name: 'Aurum Metallicum' }, </v>
      </c>
    </row>
    <row r="63" spans="1:1">
      <c r="A63" t="str">
        <f>CONCATENATE("{ number: '", remedies_names!A63, "' , name: '",remedies_names!B63, "' }, " )</f>
        <v xml:space="preserve">{ number: 'R062' , name: 'Aurum Muriat. Natro.' }, </v>
      </c>
    </row>
    <row r="64" spans="1:1">
      <c r="A64" t="str">
        <f>CONCATENATE("{ number: '", remedies_names!A64, "' , name: '",remedies_names!B64, "' }, " )</f>
        <v xml:space="preserve">{ number: 'R063' , name: 'Aurum Muriaticum' }, </v>
      </c>
    </row>
    <row r="65" spans="1:1">
      <c r="A65" t="str">
        <f>CONCATENATE("{ number: '", remedies_names!A65, "' , name: '",remedies_names!B65, "' }, " )</f>
        <v xml:space="preserve">{ number: 'R064' , name: 'Badiaga' }, </v>
      </c>
    </row>
    <row r="66" spans="1:1">
      <c r="A66" t="str">
        <f>CONCATENATE("{ number: '", remedies_names!A66, "' , name: '",remedies_names!B66, "' }, " )</f>
        <v xml:space="preserve">{ number: 'R065' , name: 'Baptisia Tinctoria' }, </v>
      </c>
    </row>
    <row r="67" spans="1:1">
      <c r="A67" t="str">
        <f>CONCATENATE("{ number: '", remedies_names!A67, "' , name: '",remedies_names!B67, "' }, " )</f>
        <v xml:space="preserve">{ number: 'R066' , name: 'Baryta Carbonica' }, </v>
      </c>
    </row>
    <row r="68" spans="1:1">
      <c r="A68" t="str">
        <f>CONCATENATE("{ number: '", remedies_names!A68, "' , name: '",remedies_names!B68, "' }, " )</f>
        <v xml:space="preserve">{ number: 'R067' , name: 'Baryta Muriatica' }, </v>
      </c>
    </row>
    <row r="69" spans="1:1">
      <c r="A69" t="str">
        <f>CONCATENATE("{ number: '", remedies_names!A69, "' , name: '",remedies_names!B69, "' }, " )</f>
        <v xml:space="preserve">{ number: 'R068' , name: 'Belladonna' }, </v>
      </c>
    </row>
    <row r="70" spans="1:1">
      <c r="A70" t="str">
        <f>CONCATENATE("{ number: '", remedies_names!A70, "' , name: '",remedies_names!B70, "' }, " )</f>
        <v xml:space="preserve">{ number: 'R069' , name: 'Benzoicum Acidum' }, </v>
      </c>
    </row>
    <row r="71" spans="1:1">
      <c r="A71" t="str">
        <f>CONCATENATE("{ number: '", remedies_names!A71, "' , name: '",remedies_names!B71, "' }, " )</f>
        <v xml:space="preserve">{ number: 'R070' , name: 'Berberis Vulgaris' }, </v>
      </c>
    </row>
    <row r="72" spans="1:1">
      <c r="A72" t="str">
        <f>CONCATENATE("{ number: '", remedies_names!A72, "' , name: '",remedies_names!B72, "' }, " )</f>
        <v xml:space="preserve">{ number: 'R071' , name: 'Bismuthum Oxydatum' }, </v>
      </c>
    </row>
    <row r="73" spans="1:1">
      <c r="A73" t="str">
        <f>CONCATENATE("{ number: '", remedies_names!A73, "' , name: '",remedies_names!B73, "' }, " )</f>
        <v xml:space="preserve">{ number: 'R072' , name: 'Borax    (Na2 B4 O7)' }, </v>
      </c>
    </row>
    <row r="74" spans="1:1">
      <c r="A74" t="str">
        <f>CONCATENATE("{ number: '", remedies_names!A74, "' , name: '",remedies_names!B74, "' }, " )</f>
        <v xml:space="preserve">{ number: 'R073' , name: 'Bovista' }, </v>
      </c>
    </row>
    <row r="75" spans="1:1">
      <c r="A75" t="str">
        <f>CONCATENATE("{ number: '", remedies_names!A75, "' , name: '",remedies_names!B75, "' }, " )</f>
        <v xml:space="preserve">{ number: 'R074' , name: 'Brachyglottis Repens' }, </v>
      </c>
    </row>
    <row r="76" spans="1:1">
      <c r="A76" t="str">
        <f>CONCATENATE("{ number: '", remedies_names!A76, "' , name: '",remedies_names!B76, "' }, " )</f>
        <v xml:space="preserve">{ number: 'R075' , name: 'Bromum' }, </v>
      </c>
    </row>
    <row r="77" spans="1:1">
      <c r="A77" t="str">
        <f>CONCATENATE("{ number: '", remedies_names!A77, "' , name: '",remedies_names!B77, "' }, " )</f>
        <v xml:space="preserve">{ number: 'R076' , name: 'Brucella Melitensis' }, </v>
      </c>
    </row>
    <row r="78" spans="1:1">
      <c r="A78" t="str">
        <f>CONCATENATE("{ number: '", remedies_names!A78, "' , name: '",remedies_names!B78, "' }, " )</f>
        <v xml:space="preserve">{ number: 'R077' , name: 'Bryonia Alba' }, </v>
      </c>
    </row>
    <row r="79" spans="1:1">
      <c r="A79" t="str">
        <f>CONCATENATE("{ number: '", remedies_names!A79, "' , name: '",remedies_names!B79, "' }, " )</f>
        <v xml:space="preserve">{ number: 'R078' , name: 'Cactus Grandiflorus' }, </v>
      </c>
    </row>
    <row r="80" spans="1:1">
      <c r="A80" t="str">
        <f>CONCATENATE("{ number: '", remedies_names!A80, "' , name: '",remedies_names!B80, "' }, " )</f>
        <v xml:space="preserve">{ number: 'R079' , name: 'Cadmium Sulfuratum' }, </v>
      </c>
    </row>
    <row r="81" spans="1:1">
      <c r="A81" t="str">
        <f>CONCATENATE("{ number: '", remedies_names!A81, "' , name: '",remedies_names!B81, "' }, " )</f>
        <v xml:space="preserve">{ number: 'R080' , name: 'Cahinca' }, </v>
      </c>
    </row>
    <row r="82" spans="1:1">
      <c r="A82" t="str">
        <f>CONCATENATE("{ number: '", remedies_names!A82, "' , name: '",remedies_names!B82, "' }, " )</f>
        <v xml:space="preserve">{ number: 'R081' , name: 'Caladium Seguinum' }, </v>
      </c>
    </row>
    <row r="83" spans="1:1">
      <c r="A83" t="str">
        <f>CONCATENATE("{ number: '", remedies_names!A83, "' , name: '",remedies_names!B83, "' }, " )</f>
        <v xml:space="preserve">{ number: 'R082' , name: 'Calcarea Arsenicica' }, </v>
      </c>
    </row>
    <row r="84" spans="1:1">
      <c r="A84" t="str">
        <f>CONCATENATE("{ number: '", remedies_names!A84, "' , name: '",remedies_names!B84, "' }, " )</f>
        <v xml:space="preserve">{ number: 'R083' , name: 'Calcarea Carbonica' }, </v>
      </c>
    </row>
    <row r="85" spans="1:1">
      <c r="A85" t="str">
        <f>CONCATENATE("{ number: '", remedies_names!A85, "' , name: '",remedies_names!B85, "' }, " )</f>
        <v xml:space="preserve">{ number: 'R084' , name: 'Calcarea Fluorica' }, </v>
      </c>
    </row>
    <row r="86" spans="1:1">
      <c r="A86" t="str">
        <f>CONCATENATE("{ number: '", remedies_names!A86, "' , name: '",remedies_names!B86, "' }, " )</f>
        <v xml:space="preserve">{ number: 'R085' , name: 'Calcarea Iodata' }, </v>
      </c>
    </row>
    <row r="87" spans="1:1">
      <c r="A87" t="str">
        <f>CONCATENATE("{ number: '", remedies_names!A87, "' , name: '",remedies_names!B87, "' }, " )</f>
        <v xml:space="preserve">{ number: 'R086' , name: 'Calcarea Phosphorica' }, </v>
      </c>
    </row>
    <row r="88" spans="1:1">
      <c r="A88" t="str">
        <f>CONCATENATE("{ number: '", remedies_names!A88, "' , name: '",remedies_names!B88, "' }, " )</f>
        <v xml:space="preserve">{ number: 'R087' , name: 'Calcarea Sulfurica' }, </v>
      </c>
    </row>
    <row r="89" spans="1:1">
      <c r="A89" t="str">
        <f>CONCATENATE("{ number: '", remedies_names!A89, "' , name: '",remedies_names!B89, "' }, " )</f>
        <v xml:space="preserve">{ number: 'R088' , name: 'Calendula Officinal.' }, </v>
      </c>
    </row>
    <row r="90" spans="1:1">
      <c r="A90" t="str">
        <f>CONCATENATE("{ number: '", remedies_names!A90, "' , name: '",remedies_names!B90, "' }, " )</f>
        <v xml:space="preserve">{ number: 'R089' , name: 'Camphora Officinalis' }, </v>
      </c>
    </row>
    <row r="91" spans="1:1">
      <c r="A91" t="str">
        <f>CONCATENATE("{ number: '", remedies_names!A91, "' , name: '",remedies_names!B91, "' }, " )</f>
        <v xml:space="preserve">{ number: 'R090' , name: 'Cannabis Indica' }, </v>
      </c>
    </row>
    <row r="92" spans="1:1">
      <c r="A92" t="str">
        <f>CONCATENATE("{ number: '", remedies_names!A92, "' , name: '",remedies_names!B92, "' }, " )</f>
        <v xml:space="preserve">{ number: 'R091' , name: 'Cannabis Sativa' }, </v>
      </c>
    </row>
    <row r="93" spans="1:1">
      <c r="A93" t="str">
        <f>CONCATENATE("{ number: '", remedies_names!A93, "' , name: '",remedies_names!B93, "' }, " )</f>
        <v xml:space="preserve">{ number: 'R092' , name: 'Cantharis' }, </v>
      </c>
    </row>
    <row r="94" spans="1:1">
      <c r="A94" t="str">
        <f>CONCATENATE("{ number: '", remedies_names!A94, "' , name: '",remedies_names!B94, "' }, " )</f>
        <v xml:space="preserve">{ number: 'R093' , name: 'Capsicum Annuum' }, </v>
      </c>
    </row>
    <row r="95" spans="1:1">
      <c r="A95" t="str">
        <f>CONCATENATE("{ number: '", remedies_names!A95, "' , name: '",remedies_names!B95, "' }, " )</f>
        <v xml:space="preserve">{ number: 'R094' , name: 'Carbo Animalis' }, </v>
      </c>
    </row>
    <row r="96" spans="1:1">
      <c r="A96" t="str">
        <f>CONCATENATE("{ number: '", remedies_names!A96, "' , name: '",remedies_names!B96, "' }, " )</f>
        <v xml:space="preserve">{ number: 'R095' , name: 'Carbo Vegetabilis' }, </v>
      </c>
    </row>
    <row r="97" spans="1:1">
      <c r="A97" t="str">
        <f>CONCATENATE("{ number: '", remedies_names!A97, "' , name: '",remedies_names!B97, "' }, " )</f>
        <v xml:space="preserve">{ number: 'R096' , name: 'Carbolicum Acidum' }, </v>
      </c>
    </row>
    <row r="98" spans="1:1">
      <c r="A98" t="str">
        <f>CONCATENATE("{ number: '", remedies_names!A98, "' , name: '",remedies_names!B98, "' }, " )</f>
        <v xml:space="preserve">{ number: 'R097' , name: 'Carboneum Sulfuratum' }, </v>
      </c>
    </row>
    <row r="99" spans="1:1">
      <c r="A99" t="str">
        <f>CONCATENATE("{ number: '", remedies_names!A99, "' , name: '",remedies_names!B99, "' }, " )</f>
        <v xml:space="preserve">{ number: 'R098' , name: 'Carcinosinum' }, </v>
      </c>
    </row>
    <row r="100" spans="1:1">
      <c r="A100" t="str">
        <f>CONCATENATE("{ number: '", remedies_names!A100, "' , name: '",remedies_names!B100, "' }, " )</f>
        <v xml:space="preserve">{ number: 'R099' , name: 'Carduus Marianus' }, </v>
      </c>
    </row>
    <row r="101" spans="1:1">
      <c r="A101" t="str">
        <f>CONCATENATE("{ number: '", remedies_names!A101, "' , name: '",remedies_names!B101, "' }, " )</f>
        <v xml:space="preserve">{ number: 'R100' , name: 'Castor Equi' }, </v>
      </c>
    </row>
    <row r="102" spans="1:1">
      <c r="A102" t="str">
        <f>CONCATENATE("{ number: '", remedies_names!A102, "' , name: '",remedies_names!B102, "' }, " )</f>
        <v xml:space="preserve">{ number: 'R101' , name: 'Castoreum' }, </v>
      </c>
    </row>
    <row r="103" spans="1:1">
      <c r="A103" t="str">
        <f>CONCATENATE("{ number: '", remedies_names!A103, "' , name: '",remedies_names!B103, "' }, " )</f>
        <v xml:space="preserve">{ number: 'R102' , name: 'Caulophyllum' }, </v>
      </c>
    </row>
    <row r="104" spans="1:1">
      <c r="A104" t="str">
        <f>CONCATENATE("{ number: '", remedies_names!A104, "' , name: '",remedies_names!B104, "' }, " )</f>
        <v xml:space="preserve">{ number: 'R103' , name: 'Causticum' }, </v>
      </c>
    </row>
    <row r="105" spans="1:1">
      <c r="A105" t="str">
        <f>CONCATENATE("{ number: '", remedies_names!A105, "' , name: '",remedies_names!B105, "' }, " )</f>
        <v xml:space="preserve">{ number: 'R104' , name: 'Cedron' }, </v>
      </c>
    </row>
    <row r="106" spans="1:1">
      <c r="A106" t="str">
        <f>CONCATENATE("{ number: '", remedies_names!A106, "' , name: '",remedies_names!B106, "' }, " )</f>
        <v xml:space="preserve">{ number: 'R105' , name: 'Chamomilla Vulgaris' }, </v>
      </c>
    </row>
    <row r="107" spans="1:1">
      <c r="A107" t="str">
        <f>CONCATENATE("{ number: '", remedies_names!A107, "' , name: '",remedies_names!B107, "' }, " )</f>
        <v xml:space="preserve">{ number: 'R106' , name: 'Chelidonium Majus' }, </v>
      </c>
    </row>
    <row r="108" spans="1:1">
      <c r="A108" t="str">
        <f>CONCATENATE("{ number: '", remedies_names!A108, "' , name: '",remedies_names!B108, "' }, " )</f>
        <v xml:space="preserve">{ number: 'R107' , name: 'Chenopodii Glauci A.' }, </v>
      </c>
    </row>
    <row r="109" spans="1:1">
      <c r="A109" t="str">
        <f>CONCATENATE("{ number: '", remedies_names!A109, "' , name: '",remedies_names!B109, "' }, " )</f>
        <v xml:space="preserve">{ number: 'R108' , name: 'Chenopodium Anthelm.' }, </v>
      </c>
    </row>
    <row r="110" spans="1:1">
      <c r="A110" t="str">
        <f>CONCATENATE("{ number: '", remedies_names!A110, "' , name: '",remedies_names!B110, "' }, " )</f>
        <v xml:space="preserve">{ number: 'R109' , name: 'Chimaphila Umbellata' }, </v>
      </c>
    </row>
    <row r="111" spans="1:1">
      <c r="A111" t="str">
        <f>CONCATENATE("{ number: '", remedies_names!A111, "' , name: '",remedies_names!B111, "' }, " )</f>
        <v xml:space="preserve">{ number: 'R110' , name: 'China (/China Rubra)' }, </v>
      </c>
    </row>
    <row r="112" spans="1:1">
      <c r="A112" t="str">
        <f>CONCATENATE("{ number: '", remedies_names!A112, "' , name: '",remedies_names!B112, "' }, " )</f>
        <v xml:space="preserve">{ number: 'R111' , name: 'Chininum Arsenicosum' }, </v>
      </c>
    </row>
    <row r="113" spans="1:1">
      <c r="A113" t="str">
        <f>CONCATENATE("{ number: '", remedies_names!A113, "' , name: '",remedies_names!B113, "' }, " )</f>
        <v xml:space="preserve">{ number: 'R112' , name: 'Chininum Sulfuricum' }, </v>
      </c>
    </row>
    <row r="114" spans="1:1">
      <c r="A114" t="str">
        <f>CONCATENATE("{ number: '", remedies_names!A114, "' , name: '",remedies_names!B114, "' }, " )</f>
        <v xml:space="preserve">{ number: 'R113' , name: 'Chloralum (Chloral)' }, </v>
      </c>
    </row>
    <row r="115" spans="1:1">
      <c r="A115" t="str">
        <f>CONCATENATE("{ number: '", remedies_names!A115, "' , name: '",remedies_names!B115, "' }, " )</f>
        <v xml:space="preserve">{ number: 'R114' , name: 'Chloramphenicolum' }, </v>
      </c>
    </row>
    <row r="116" spans="1:1">
      <c r="A116" t="str">
        <f>CONCATENATE("{ number: '", remedies_names!A116, "' , name: '",remedies_names!B116, "' }, " )</f>
        <v xml:space="preserve">{ number: 'R115' , name: 'Chloroformium' }, </v>
      </c>
    </row>
    <row r="117" spans="1:1">
      <c r="A117" t="str">
        <f>CONCATENATE("{ number: '", remedies_names!A117, "' , name: '",remedies_names!B117, "' }, " )</f>
        <v xml:space="preserve">{ number: 'R116' , name: 'Chlorpromazine' }, </v>
      </c>
    </row>
    <row r="118" spans="1:1">
      <c r="A118" t="str">
        <f>CONCATENATE("{ number: '", remedies_names!A118, "' , name: '",remedies_names!B118, "' }, " )</f>
        <v xml:space="preserve">{ number: 'R117' , name: 'Chlorum (Chlore)' }, </v>
      </c>
    </row>
    <row r="119" spans="1:1">
      <c r="A119" t="str">
        <f>CONCATENATE("{ number: '", remedies_names!A119, "' , name: '",remedies_names!B119, "' }, " )</f>
        <v xml:space="preserve">{ number: 'R118' , name: 'Chromicum Acidum' }, </v>
      </c>
    </row>
    <row r="120" spans="1:1">
      <c r="A120" t="str">
        <f>CONCATENATE("{ number: '", remedies_names!A120, "' , name: '",remedies_names!B120, "' }, " )</f>
        <v xml:space="preserve">{ number: 'R119' , name: 'Cicuta Virosa' }, </v>
      </c>
    </row>
    <row r="121" spans="1:1">
      <c r="A121" t="str">
        <f>CONCATENATE("{ number: '", remedies_names!A121, "' , name: '",remedies_names!B121, "' }, " )</f>
        <v xml:space="preserve">{ number: 'R120' , name: 'Cimex Lectularius' }, </v>
      </c>
    </row>
    <row r="122" spans="1:1">
      <c r="A122" t="str">
        <f>CONCATENATE("{ number: '", remedies_names!A122, "' , name: '",remedies_names!B122, "' }, " )</f>
        <v xml:space="preserve">{ number: 'R121' , name: 'Cina' }, </v>
      </c>
    </row>
    <row r="123" spans="1:1">
      <c r="A123" t="str">
        <f>CONCATENATE("{ number: '", remedies_names!A123, "' , name: '",remedies_names!B123, "' }, " )</f>
        <v xml:space="preserve">{ number: 'R122' , name: 'Cinnabaris' }, </v>
      </c>
    </row>
    <row r="124" spans="1:1">
      <c r="A124" t="str">
        <f>CONCATENATE("{ number: '", remedies_names!A124, "' , name: '",remedies_names!B124, "' }, " )</f>
        <v xml:space="preserve">{ number: 'R123' , name: 'Cinnamomum Zeylanic.' }, </v>
      </c>
    </row>
    <row r="125" spans="1:1">
      <c r="A125" t="str">
        <f>CONCATENATE("{ number: '", remedies_names!A125, "' , name: '",remedies_names!B125, "' }, " )</f>
        <v xml:space="preserve">{ number: 'R124' , name: 'Cistus Canadensis' }, </v>
      </c>
    </row>
    <row r="126" spans="1:1">
      <c r="A126" t="str">
        <f>CONCATENATE("{ number: '", remedies_names!A126, "' , name: '",remedies_names!B126, "' }, " )</f>
        <v xml:space="preserve">{ number: 'R125' , name: 'Citrus Limonum' }, </v>
      </c>
    </row>
    <row r="127" spans="1:1">
      <c r="A127" t="str">
        <f>CONCATENATE("{ number: '", remedies_names!A127, "' , name: '",remedies_names!B127, "' }, " )</f>
        <v xml:space="preserve">{ number: 'R126' , name: 'Clematis Erecta' }, </v>
      </c>
    </row>
    <row r="128" spans="1:1">
      <c r="A128" t="str">
        <f>CONCATENATE("{ number: '", remedies_names!A128, "' , name: '",remedies_names!B128, "' }, " )</f>
        <v xml:space="preserve">{ number: 'R127' , name: 'Cobaltum Metallicum' }, </v>
      </c>
    </row>
    <row r="129" spans="1:1">
      <c r="A129" t="str">
        <f>CONCATENATE("{ number: '", remedies_names!A129, "' , name: '",remedies_names!B129, "' }, " )</f>
        <v xml:space="preserve">{ number: 'R128' , name: 'Cobaltum Nitricum' }, </v>
      </c>
    </row>
    <row r="130" spans="1:1">
      <c r="A130" t="str">
        <f>CONCATENATE("{ number: '", remedies_names!A130, "' , name: '",remedies_names!B130, "' }, " )</f>
        <v xml:space="preserve">{ number: 'R129' , name: 'Coca (Erythroxylon)' }, </v>
      </c>
    </row>
    <row r="131" spans="1:1">
      <c r="A131" t="str">
        <f>CONCATENATE("{ number: '", remedies_names!A131, "' , name: '",remedies_names!B131, "' }, " )</f>
        <v xml:space="preserve">{ number: 'R130' , name: 'Coccinella Septemp.' }, </v>
      </c>
    </row>
    <row r="132" spans="1:1">
      <c r="A132" t="str">
        <f>CONCATENATE("{ number: '", remedies_names!A132, "' , name: '",remedies_names!B132, "' }, " )</f>
        <v xml:space="preserve">{ number: 'R131' , name: 'Cocculus Indicus' }, </v>
      </c>
    </row>
    <row r="133" spans="1:1">
      <c r="A133" t="str">
        <f>CONCATENATE("{ number: '", remedies_names!A133, "' , name: '",remedies_names!B133, "' }, " )</f>
        <v xml:space="preserve">{ number: 'R132' , name: 'Coccus Cacti' }, </v>
      </c>
    </row>
    <row r="134" spans="1:1">
      <c r="A134" t="str">
        <f>CONCATENATE("{ number: '", remedies_names!A134, "' , name: '",remedies_names!B134, "' }, " )</f>
        <v xml:space="preserve">{ number: 'R133' , name: 'Cochlearia Armoracia' }, </v>
      </c>
    </row>
    <row r="135" spans="1:1">
      <c r="A135" t="str">
        <f>CONCATENATE("{ number: '", remedies_names!A135, "' , name: '",remedies_names!B135, "' }, " )</f>
        <v xml:space="preserve">{ number: 'R134' , name: 'Coffea Cruda' }, </v>
      </c>
    </row>
    <row r="136" spans="1:1">
      <c r="A136" t="str">
        <f>CONCATENATE("{ number: '", remedies_names!A136, "' , name: '",remedies_names!B136, "' }, " )</f>
        <v xml:space="preserve">{ number: 'R135' , name: 'Coffea Tosta' }, </v>
      </c>
    </row>
    <row r="137" spans="1:1">
      <c r="A137" t="str">
        <f>CONCATENATE("{ number: '", remedies_names!A137, "' , name: '",remedies_names!B137, "' }, " )</f>
        <v xml:space="preserve">{ number: 'R136' , name: 'Colchicum Autumnale' }, </v>
      </c>
    </row>
    <row r="138" spans="1:1">
      <c r="A138" t="str">
        <f>CONCATENATE("{ number: '", remedies_names!A138, "' , name: '",remedies_names!B138, "' }, " )</f>
        <v xml:space="preserve">{ number: 'R137' , name: 'Colibacillinum' }, </v>
      </c>
    </row>
    <row r="139" spans="1:1">
      <c r="A139" t="str">
        <f>CONCATENATE("{ number: '", remedies_names!A139, "' , name: '",remedies_names!B139, "' }, " )</f>
        <v xml:space="preserve">{ number: 'R138' , name: 'Collinsonia Canaden.' }, </v>
      </c>
    </row>
    <row r="140" spans="1:1">
      <c r="A140" t="str">
        <f>CONCATENATE("{ number: '", remedies_names!A140, "' , name: '",remedies_names!B140, "' }, " )</f>
        <v xml:space="preserve">{ number: 'R139' , name: 'Colocynthis' }, </v>
      </c>
    </row>
    <row r="141" spans="1:1">
      <c r="A141" t="str">
        <f>CONCATENATE("{ number: '", remedies_names!A141, "' , name: '",remedies_names!B141, "' }, " )</f>
        <v xml:space="preserve">{ number: 'R140' , name: 'Comocladia Dentata' }, </v>
      </c>
    </row>
    <row r="142" spans="1:1">
      <c r="A142" t="str">
        <f>CONCATENATE("{ number: '", remedies_names!A142, "' , name: '",remedies_names!B142, "' }, " )</f>
        <v xml:space="preserve">{ number: 'R141' , name: 'Condurango' }, </v>
      </c>
    </row>
    <row r="143" spans="1:1">
      <c r="A143" t="str">
        <f>CONCATENATE("{ number: '", remedies_names!A143, "' , name: '",remedies_names!B143, "' }, " )</f>
        <v xml:space="preserve">{ number: 'R142' , name: 'Conium Maculatum' }, </v>
      </c>
    </row>
    <row r="144" spans="1:1">
      <c r="A144" t="str">
        <f>CONCATENATE("{ number: '", remedies_names!A144, "' , name: '",remedies_names!B144, "' }, " )</f>
        <v xml:space="preserve">{ number: 'R143' , name: 'Copaiva Officinalis' }, </v>
      </c>
    </row>
    <row r="145" spans="1:1">
      <c r="A145" t="str">
        <f>CONCATENATE("{ number: '", remedies_names!A145, "' , name: '",remedies_names!B145, "' }, " )</f>
        <v xml:space="preserve">{ number: 'R144' , name: 'Corallium Rubrum' }, </v>
      </c>
    </row>
    <row r="146" spans="1:1">
      <c r="A146" t="str">
        <f>CONCATENATE("{ number: '", remedies_names!A146, "' , name: '",remedies_names!B146, "' }, " )</f>
        <v xml:space="preserve">{ number: 'R145' , name: 'Cornus(Circin./Flor)' }, </v>
      </c>
    </row>
    <row r="147" spans="1:1">
      <c r="A147" t="str">
        <f>CONCATENATE("{ number: '", remedies_names!A147, "' , name: '",remedies_names!B147, "' }, " )</f>
        <v xml:space="preserve">{ number: 'R146' , name: 'Cortisone' }, </v>
      </c>
    </row>
    <row r="148" spans="1:1">
      <c r="A148" t="str">
        <f>CONCATENATE("{ number: '", remedies_names!A148, "' , name: '",remedies_names!B148, "' }, " )</f>
        <v xml:space="preserve">{ number: 'R147' , name: 'Cresolum' }, </v>
      </c>
    </row>
    <row r="149" spans="1:1">
      <c r="A149" t="str">
        <f>CONCATENATE("{ number: '", remedies_names!A149, "' , name: '",remedies_names!B149, "' }, " )</f>
        <v xml:space="preserve">{ number: 'R148' , name: 'Crocus Sativus' }, </v>
      </c>
    </row>
    <row r="150" spans="1:1">
      <c r="A150" t="str">
        <f>CONCATENATE("{ number: '", remedies_names!A150, "' , name: '",remedies_names!B150, "' }, " )</f>
        <v xml:space="preserve">{ number: 'R149' , name: 'Crotalus Horridus' }, </v>
      </c>
    </row>
    <row r="151" spans="1:1">
      <c r="A151" t="str">
        <f>CONCATENATE("{ number: '", remedies_names!A151, "' , name: '",remedies_names!B151, "' }, " )</f>
        <v xml:space="preserve">{ number: 'R150' , name: 'Croton Tiglium' }, </v>
      </c>
    </row>
    <row r="152" spans="1:1">
      <c r="A152" t="str">
        <f>CONCATENATE("{ number: '", remedies_names!A152, "' , name: '",remedies_names!B152, "' }, " )</f>
        <v xml:space="preserve">{ number: 'R151' , name: 'Cubeba Officinalis' }, </v>
      </c>
    </row>
    <row r="153" spans="1:1">
      <c r="A153" t="str">
        <f>CONCATENATE("{ number: '", remedies_names!A153, "' , name: '",remedies_names!B153, "' }, " )</f>
        <v xml:space="preserve">{ number: 'R152' , name: 'Cuprum Aceticum' }, </v>
      </c>
    </row>
    <row r="154" spans="1:1">
      <c r="A154" t="str">
        <f>CONCATENATE("{ number: '", remedies_names!A154, "' , name: '",remedies_names!B154, "' }, " )</f>
        <v xml:space="preserve">{ number: 'R153' , name: 'Cuprum Arsenicosum' }, </v>
      </c>
    </row>
    <row r="155" spans="1:1">
      <c r="A155" t="str">
        <f>CONCATENATE("{ number: '", remedies_names!A155, "' , name: '",remedies_names!B155, "' }, " )</f>
        <v xml:space="preserve">{ number: 'R154' , name: 'Cuprum Metallicum' }, </v>
      </c>
    </row>
    <row r="156" spans="1:1">
      <c r="A156" t="str">
        <f>CONCATENATE("{ number: '", remedies_names!A156, "' , name: '",remedies_names!B156, "' }, " )</f>
        <v xml:space="preserve">{ number: 'R155' , name: 'Cuprum Sulfuricum' }, </v>
      </c>
    </row>
    <row r="157" spans="1:1">
      <c r="A157" t="str">
        <f>CONCATENATE("{ number: '", remedies_names!A157, "' , name: '",remedies_names!B157, "' }, " )</f>
        <v xml:space="preserve">{ number: 'R156' , name: 'Curare' }, </v>
      </c>
    </row>
    <row r="158" spans="1:1">
      <c r="A158" t="str">
        <f>CONCATENATE("{ number: '", remedies_names!A158, "' , name: '",remedies_names!B158, "' }, " )</f>
        <v xml:space="preserve">{ number: 'R157' , name: 'Cyclamen Europaeum' }, </v>
      </c>
    </row>
    <row r="159" spans="1:1">
      <c r="A159" t="str">
        <f>CONCATENATE("{ number: '", remedies_names!A159, "' , name: '",remedies_names!B159, "' }, " )</f>
        <v xml:space="preserve">{ number: 'R158' , name: 'Daphne Indica' }, </v>
      </c>
    </row>
    <row r="160" spans="1:1">
      <c r="A160" t="str">
        <f>CONCATENATE("{ number: '", remedies_names!A160, "' , name: '",remedies_names!B160, "' }, " )</f>
        <v xml:space="preserve">{ number: 'R159' , name: 'Digitalis Purpurea' }, </v>
      </c>
    </row>
    <row r="161" spans="1:1">
      <c r="A161" t="str">
        <f>CONCATENATE("{ number: '", remedies_names!A161, "' , name: '",remedies_names!B161, "' }, " )</f>
        <v xml:space="preserve">{ number: 'R160' , name: 'Dioscorea Villosa' }, </v>
      </c>
    </row>
    <row r="162" spans="1:1">
      <c r="A162" t="str">
        <f>CONCATENATE("{ number: '", remedies_names!A162, "' , name: '",remedies_names!B162, "' }, " )</f>
        <v xml:space="preserve">{ number: 'R161' , name: 'Diphterotoxinum' }, </v>
      </c>
    </row>
    <row r="163" spans="1:1">
      <c r="A163" t="str">
        <f>CONCATENATE("{ number: '", remedies_names!A163, "' , name: '",remedies_names!B163, "' }, " )</f>
        <v xml:space="preserve">{ number: 'R162' , name: 'Dolichos Pruriens' }, </v>
      </c>
    </row>
    <row r="164" spans="1:1">
      <c r="A164" t="str">
        <f>CONCATENATE("{ number: '", remedies_names!A164, "' , name: '",remedies_names!B164, "' }, " )</f>
        <v xml:space="preserve">{ number: 'R163' , name: 'Doryphora Decemline.' }, </v>
      </c>
    </row>
    <row r="165" spans="1:1">
      <c r="A165" t="str">
        <f>CONCATENATE("{ number: '", remedies_names!A165, "' , name: '",remedies_names!B165, "' }, " )</f>
        <v xml:space="preserve">{ number: 'R164' , name: 'Drosera Rotundifolia' }, </v>
      </c>
    </row>
    <row r="166" spans="1:1">
      <c r="A166" t="str">
        <f>CONCATENATE("{ number: '", remedies_names!A166, "' , name: '",remedies_names!B166, "' }, " )</f>
        <v xml:space="preserve">{ number: 'R165' , name: 'Dulcamara' }, </v>
      </c>
    </row>
    <row r="167" spans="1:1">
      <c r="A167" t="str">
        <f>CONCATENATE("{ number: '", remedies_names!A167, "' , name: '",remedies_names!B167, "' }, " )</f>
        <v xml:space="preserve">{ number: 'R166' , name: 'Eberthinum' }, </v>
      </c>
    </row>
    <row r="168" spans="1:1">
      <c r="A168" t="str">
        <f>CONCATENATE("{ number: '", remedies_names!A168, "' , name: '",remedies_names!B168, "' }, " )</f>
        <v xml:space="preserve">{ number: 'R167' , name: 'Elaps Corallinus' }, </v>
      </c>
    </row>
    <row r="169" spans="1:1">
      <c r="A169" t="str">
        <f>CONCATENATE("{ number: '", remedies_names!A169, "' , name: '",remedies_names!B169, "' }, " )</f>
        <v xml:space="preserve">{ number: 'R168' , name: 'Elaterium' }, </v>
      </c>
    </row>
    <row r="170" spans="1:1">
      <c r="A170" t="str">
        <f>CONCATENATE("{ number: '", remedies_names!A170, "' , name: '",remedies_names!B170, "' }, " )</f>
        <v xml:space="preserve">{ number: 'R169' , name: 'Erigeron Canadensis' }, </v>
      </c>
    </row>
    <row r="171" spans="1:1">
      <c r="A171" t="str">
        <f>CONCATENATE("{ number: '", remedies_names!A171, "' , name: '",remedies_names!B171, "' }, " )</f>
        <v xml:space="preserve">{ number: 'R170' , name: 'Eryngium Aquaticum' }, </v>
      </c>
    </row>
    <row r="172" spans="1:1">
      <c r="A172" t="str">
        <f>CONCATENATE("{ number: '", remedies_names!A172, "' , name: '",remedies_names!B172, "' }, " )</f>
        <v xml:space="preserve">{ number: 'R171' , name: 'Eucalyptus Globulus' }, </v>
      </c>
    </row>
    <row r="173" spans="1:1">
      <c r="A173" t="str">
        <f>CONCATENATE("{ number: '", remedies_names!A173, "' , name: '",remedies_names!B173, "' }, " )</f>
        <v xml:space="preserve">{ number: 'R172' , name: 'Eugenia Jambosa' }, </v>
      </c>
    </row>
    <row r="174" spans="1:1">
      <c r="A174" t="str">
        <f>CONCATENATE("{ number: '", remedies_names!A174, "' , name: '",remedies_names!B174, "' }, " )</f>
        <v xml:space="preserve">{ number: 'R173' , name: 'Eupatorium Perfolia.' }, </v>
      </c>
    </row>
    <row r="175" spans="1:1">
      <c r="A175" t="str">
        <f>CONCATENATE("{ number: '", remedies_names!A175, "' , name: '",remedies_names!B175, "' }, " )</f>
        <v xml:space="preserve">{ number: 'R174' , name: 'Eupatorium Purpureum' }, </v>
      </c>
    </row>
    <row r="176" spans="1:1">
      <c r="A176" t="str">
        <f>CONCATENATE("{ number: '", remedies_names!A176, "' , name: '",remedies_names!B176, "' }, " )</f>
        <v xml:space="preserve">{ number: 'R175' , name: 'Euphorbia Resinifera' }, </v>
      </c>
    </row>
    <row r="177" spans="1:1">
      <c r="A177" t="str">
        <f>CONCATENATE("{ number: '", remedies_names!A177, "' , name: '",remedies_names!B177, "' }, " )</f>
        <v xml:space="preserve">{ number: 'R176' , name: 'Euphrasia Officinal.' }, </v>
      </c>
    </row>
    <row r="178" spans="1:1">
      <c r="A178" t="str">
        <f>CONCATENATE("{ number: '", remedies_names!A178, "' , name: '",remedies_names!B178, "' }, " )</f>
        <v xml:space="preserve">{ number: 'R177' , name: 'Ferrum Iodatum' }, </v>
      </c>
    </row>
    <row r="179" spans="1:1">
      <c r="A179" t="str">
        <f>CONCATENATE("{ number: '", remedies_names!A179, "' , name: '",remedies_names!B179, "' }, " )</f>
        <v xml:space="preserve">{ number: 'R178' , name: 'Ferrum Metallicum' }, </v>
      </c>
    </row>
    <row r="180" spans="1:1">
      <c r="A180" t="str">
        <f>CONCATENATE("{ number: '", remedies_names!A180, "' , name: '",remedies_names!B180, "' }, " )</f>
        <v xml:space="preserve">{ number: 'R179' , name: 'Ferrum Muriaticum' }, </v>
      </c>
    </row>
    <row r="181" spans="1:1">
      <c r="A181" t="str">
        <f>CONCATENATE("{ number: '", remedies_names!A181, "' , name: '",remedies_names!B181, "' }, " )</f>
        <v xml:space="preserve">{ number: 'R180' , name: 'Ferrum Phosphoricum' }, </v>
      </c>
    </row>
    <row r="182" spans="1:1">
      <c r="A182" t="str">
        <f>CONCATENATE("{ number: '", remedies_names!A182, "' , name: '",remedies_names!B182, "' }, " )</f>
        <v xml:space="preserve">{ number: 'R181' , name: 'Ferrum Sulfuricum' }, </v>
      </c>
    </row>
    <row r="183" spans="1:1">
      <c r="A183" t="str">
        <f>CONCATENATE("{ number: '", remedies_names!A183, "' , name: '",remedies_names!B183, "' }, " )</f>
        <v xml:space="preserve">{ number: 'R182' , name: 'Fluoricum Acidum' }, </v>
      </c>
    </row>
    <row r="184" spans="1:1">
      <c r="A184" t="str">
        <f>CONCATENATE("{ number: '", remedies_names!A184, "' , name: '",remedies_names!B184, "' }, " )</f>
        <v xml:space="preserve">{ number: 'R183' , name: 'Formica Rufa' }, </v>
      </c>
    </row>
    <row r="185" spans="1:1">
      <c r="A185" t="str">
        <f>CONCATENATE("{ number: '", remedies_names!A185, "' , name: '",remedies_names!B185, "' }, " )</f>
        <v xml:space="preserve">{ number: 'R184' , name: 'Gambogia' }, </v>
      </c>
    </row>
    <row r="186" spans="1:1">
      <c r="A186" t="str">
        <f>CONCATENATE("{ number: '", remedies_names!A186, "' , name: '",remedies_names!B186, "' }, " )</f>
        <v xml:space="preserve">{ number: 'R185' , name: 'Gelsemium Sempervir.' }, </v>
      </c>
    </row>
    <row r="187" spans="1:1">
      <c r="A187" t="str">
        <f>CONCATENATE("{ number: '", remedies_names!A187, "' , name: '",remedies_names!B187, "' }, " )</f>
        <v xml:space="preserve">{ number: 'R186' , name: 'Glonoinum (Trinitr.)' }, </v>
      </c>
    </row>
    <row r="188" spans="1:1">
      <c r="A188" t="str">
        <f>CONCATENATE("{ number: '", remedies_names!A188, "' , name: '",remedies_names!B188, "' }, " )</f>
        <v xml:space="preserve">{ number: 'R187' , name: 'Gossypium Herbaceum' }, </v>
      </c>
    </row>
    <row r="189" spans="1:1">
      <c r="A189" t="str">
        <f>CONCATENATE("{ number: '", remedies_names!A189, "' , name: '",remedies_names!B189, "' }, " )</f>
        <v xml:space="preserve">{ number: 'R188' , name: 'Graphites' }, </v>
      </c>
    </row>
    <row r="190" spans="1:1">
      <c r="A190" t="str">
        <f>CONCATENATE("{ number: '", remedies_names!A190, "' , name: '",remedies_names!B190, "' }, " )</f>
        <v xml:space="preserve">{ number: 'R189' , name: 'Gratiola Officinalis' }, </v>
      </c>
    </row>
    <row r="191" spans="1:1">
      <c r="A191" t="str">
        <f>CONCATENATE("{ number: '", remedies_names!A191, "' , name: '",remedies_names!B191, "' }, " )</f>
        <v xml:space="preserve">{ number: 'R190' , name: 'Guaiacum' }, </v>
      </c>
    </row>
    <row r="192" spans="1:1">
      <c r="A192" t="str">
        <f>CONCATENATE("{ number: '", remedies_names!A192, "' , name: '",remedies_names!B192, "' }, " )</f>
        <v xml:space="preserve">{ number: 'R191' , name: 'Guarea Trichiloides' }, </v>
      </c>
    </row>
    <row r="193" spans="1:1">
      <c r="A193" t="str">
        <f>CONCATENATE("{ number: '", remedies_names!A193, "' , name: '",remedies_names!B193, "' }, " )</f>
        <v xml:space="preserve">{ number: 'R192' , name: 'Gymnocladus Canaden.' }, </v>
      </c>
    </row>
    <row r="194" spans="1:1">
      <c r="A194" t="str">
        <f>CONCATENATE("{ number: '", remedies_names!A194, "' , name: '",remedies_names!B194, "' }, " )</f>
        <v xml:space="preserve">{ number: 'R193' , name: 'Haloperidol' }, </v>
      </c>
    </row>
    <row r="195" spans="1:1">
      <c r="A195" t="str">
        <f>CONCATENATE("{ number: '", remedies_names!A195, "' , name: '",remedies_names!B195, "' }, " )</f>
        <v xml:space="preserve">{ number: 'R194' , name: 'Hamamelis Virginica' }, </v>
      </c>
    </row>
    <row r="196" spans="1:1">
      <c r="A196" t="str">
        <f>CONCATENATE("{ number: '", remedies_names!A196, "' , name: '",remedies_names!B196, "' }, " )</f>
        <v xml:space="preserve">{ number: 'R195' , name: 'Hedera Helix(Lierre)' }, </v>
      </c>
    </row>
    <row r="197" spans="1:1">
      <c r="A197" t="str">
        <f>CONCATENATE("{ number: '", remedies_names!A197, "' , name: '",remedies_names!B197, "' }, " )</f>
        <v xml:space="preserve">{ number: 'R196' , name: 'Hekla Lava' }, </v>
      </c>
    </row>
    <row r="198" spans="1:1">
      <c r="A198" t="str">
        <f>CONCATENATE("{ number: '", remedies_names!A198, "' , name: '",remedies_names!B198, "' }, " )</f>
        <v xml:space="preserve">{ number: 'R197' , name: 'Helleborus Niger' }, </v>
      </c>
    </row>
    <row r="199" spans="1:1">
      <c r="A199" t="str">
        <f>CONCATENATE("{ number: '", remedies_names!A199, "' , name: '",remedies_names!B199, "' }, " )</f>
        <v xml:space="preserve">{ number: 'R198' , name: 'Helonias Dioica' }, </v>
      </c>
    </row>
    <row r="200" spans="1:1">
      <c r="A200" t="str">
        <f>CONCATENATE("{ number: '", remedies_names!A200, "' , name: '",remedies_names!B200, "' }, " )</f>
        <v xml:space="preserve">{ number: 'R199' , name: 'Hepar Sulfuris' }, </v>
      </c>
    </row>
    <row r="201" spans="1:1">
      <c r="A201" t="str">
        <f>CONCATENATE("{ number: '", remedies_names!A201, "' , name: '",remedies_names!B201, "' }, " )</f>
        <v xml:space="preserve">{ number: 'R200' , name: 'Hippomanes' }, </v>
      </c>
    </row>
    <row r="202" spans="1:1">
      <c r="A202" t="str">
        <f>CONCATENATE("{ number: '", remedies_names!A202, "' , name: '",remedies_names!B202, "' }, " )</f>
        <v xml:space="preserve">{ number: 'R201' , name: 'Histaminum Muriatic.' }, </v>
      </c>
    </row>
    <row r="203" spans="1:1">
      <c r="A203" t="str">
        <f>CONCATENATE("{ number: '", remedies_names!A203, "' , name: '",remedies_names!B203, "' }, " )</f>
        <v xml:space="preserve">{ number: 'R202' , name: 'Hydrastis Canadensis' }, </v>
      </c>
    </row>
    <row r="204" spans="1:1">
      <c r="A204" t="str">
        <f>CONCATENATE("{ number: '", remedies_names!A204, "' , name: '",remedies_names!B204, "' }, " )</f>
        <v xml:space="preserve">{ number: 'R203' , name: 'Hydrocotyle Asiatica' }, </v>
      </c>
    </row>
    <row r="205" spans="1:1">
      <c r="A205" t="str">
        <f>CONCATENATE("{ number: '", remedies_names!A205, "' , name: '",remedies_names!B205, "' }, " )</f>
        <v xml:space="preserve">{ number: 'R204' , name: 'Hydrocyanicum Acidum' }, </v>
      </c>
    </row>
    <row r="206" spans="1:1">
      <c r="A206" t="str">
        <f>CONCATENATE("{ number: '", remedies_names!A206, "' , name: '",remedies_names!B206, "' }, " )</f>
        <v xml:space="preserve">{ number: 'R205' , name: 'Hydrophobinum(Lyss.)' }, </v>
      </c>
    </row>
    <row r="207" spans="1:1">
      <c r="A207" t="str">
        <f>CONCATENATE("{ number: '", remedies_names!A207, "' , name: '",remedies_names!B207, "' }, " )</f>
        <v xml:space="preserve">{ number: 'R206' , name: 'Hyosciamus Niger' }, </v>
      </c>
    </row>
    <row r="208" spans="1:1">
      <c r="A208" t="str">
        <f>CONCATENATE("{ number: '", remedies_names!A208, "' , name: '",remedies_names!B208, "' }, " )</f>
        <v xml:space="preserve">{ number: 'R207' , name: 'Hypericum Perforatum' }, </v>
      </c>
    </row>
    <row r="209" spans="1:1">
      <c r="A209" t="str">
        <f>CONCATENATE("{ number: '", remedies_names!A209, "' , name: '",remedies_names!B209, "' }, " )</f>
        <v xml:space="preserve">{ number: 'R208' , name: 'Iberis Amara' }, </v>
      </c>
    </row>
    <row r="210" spans="1:1">
      <c r="A210" t="str">
        <f>CONCATENATE("{ number: '", remedies_names!A210, "' , name: '",remedies_names!B210, "' }, " )</f>
        <v xml:space="preserve">{ number: 'R209' , name: 'Ignatia Amara' }, </v>
      </c>
    </row>
    <row r="211" spans="1:1">
      <c r="A211" t="str">
        <f>CONCATENATE("{ number: '", remedies_names!A211, "' , name: '",remedies_names!B211, "' }, " )</f>
        <v xml:space="preserve">{ number: 'R210' , name: 'Indigo' }, </v>
      </c>
    </row>
    <row r="212" spans="1:1">
      <c r="A212" t="str">
        <f>CONCATENATE("{ number: '", remedies_names!A212, "' , name: '",remedies_names!B212, "' }, " )</f>
        <v xml:space="preserve">{ number: 'R211' , name: 'Indium Metallicum' }, </v>
      </c>
    </row>
    <row r="213" spans="1:1">
      <c r="A213" t="str">
        <f>CONCATENATE("{ number: '", remedies_names!A213, "' , name: '",remedies_names!B213, "' }, " )</f>
        <v xml:space="preserve">{ number: 'R212' , name: 'Influenzinum' }, </v>
      </c>
    </row>
    <row r="214" spans="1:1">
      <c r="A214" t="str">
        <f>CONCATENATE("{ number: '", remedies_names!A214, "' , name: '",remedies_names!B214, "' }, " )</f>
        <v xml:space="preserve">{ number: 'R213' , name: 'Inula Helenium' }, </v>
      </c>
    </row>
    <row r="215" spans="1:1">
      <c r="A215" t="str">
        <f>CONCATENATE("{ number: '", remedies_names!A215, "' , name: '",remedies_names!B215, "' }, " )</f>
        <v xml:space="preserve">{ number: 'R214' , name: 'Iodoformium' }, </v>
      </c>
    </row>
    <row r="216" spans="1:1">
      <c r="A216" t="str">
        <f>CONCATENATE("{ number: '", remedies_names!A216, "' , name: '",remedies_names!B216, "' }, " )</f>
        <v xml:space="preserve">{ number: 'R215' , name: 'Iodum' }, </v>
      </c>
    </row>
    <row r="217" spans="1:1">
      <c r="A217" t="str">
        <f>CONCATENATE("{ number: '", remedies_names!A217, "' , name: '",remedies_names!B217, "' }, " )</f>
        <v xml:space="preserve">{ number: 'R216' , name: 'Ipeca' }, </v>
      </c>
    </row>
    <row r="218" spans="1:1">
      <c r="A218" t="str">
        <f>CONCATENATE("{ number: '", remedies_names!A218, "' , name: '",remedies_names!B218, "' }, " )</f>
        <v xml:space="preserve">{ number: 'R217' , name: 'Iris Versicolor' }, </v>
      </c>
    </row>
    <row r="219" spans="1:1">
      <c r="A219" t="str">
        <f>CONCATENATE("{ number: '", remedies_names!A219, "' , name: '",remedies_names!B219, "' }, " )</f>
        <v xml:space="preserve">{ number: 'R218' , name: 'Jaborandi' }, </v>
      </c>
    </row>
    <row r="220" spans="1:1">
      <c r="A220" t="str">
        <f>CONCATENATE("{ number: '", remedies_names!A220, "' , name: '",remedies_names!B220, "' }, " )</f>
        <v xml:space="preserve">{ number: 'R219' , name: 'Jacaranda Caroba' }, </v>
      </c>
    </row>
    <row r="221" spans="1:1">
      <c r="A221" t="str">
        <f>CONCATENATE("{ number: '", remedies_names!A221, "' , name: '",remedies_names!B221, "' }, " )</f>
        <v xml:space="preserve">{ number: 'R220' , name: 'Jatropha Curcas' }, </v>
      </c>
    </row>
    <row r="222" spans="1:1">
      <c r="A222" t="str">
        <f>CONCATENATE("{ number: '", remedies_names!A222, "' , name: '",remedies_names!B222, "' }, " )</f>
        <v xml:space="preserve">{ number: 'R221' , name: 'Juglans (Cin./Regia)' }, </v>
      </c>
    </row>
    <row r="223" spans="1:1">
      <c r="A223" t="str">
        <f>CONCATENATE("{ number: '", remedies_names!A223, "' , name: '",remedies_names!B223, "' }, " )</f>
        <v xml:space="preserve">{ number: 'R222' , name: 'Kalium Arsenicosum' }, </v>
      </c>
    </row>
    <row r="224" spans="1:1">
      <c r="A224" t="str">
        <f>CONCATENATE("{ number: '", remedies_names!A224, "' , name: '",remedies_names!B224, "' }, " )</f>
        <v xml:space="preserve">{ number: 'R223' , name: 'Kalium Bichromicum' }, </v>
      </c>
    </row>
    <row r="225" spans="1:1">
      <c r="A225" t="str">
        <f>CONCATENATE("{ number: '", remedies_names!A225, "' , name: '",remedies_names!B225, "' }, " )</f>
        <v xml:space="preserve">{ number: 'R224' , name: 'Kalium Bromatum' }, </v>
      </c>
    </row>
    <row r="226" spans="1:1">
      <c r="A226" t="str">
        <f>CONCATENATE("{ number: '", remedies_names!A226, "' , name: '",remedies_names!B226, "' }, " )</f>
        <v xml:space="preserve">{ number: 'R225' , name: 'Kalium Carbonicum' }, </v>
      </c>
    </row>
    <row r="227" spans="1:1">
      <c r="A227" t="str">
        <f>CONCATENATE("{ number: '", remedies_names!A227, "' , name: '",remedies_names!B227, "' }, " )</f>
        <v xml:space="preserve">{ number: 'R226' , name: 'Kalium Chloricum' }, </v>
      </c>
    </row>
    <row r="228" spans="1:1">
      <c r="A228" t="str">
        <f>CONCATENATE("{ number: '", remedies_names!A228, "' , name: '",remedies_names!B228, "' }, " )</f>
        <v xml:space="preserve">{ number: 'R227' , name: 'Kalium Iodatum' }, </v>
      </c>
    </row>
    <row r="229" spans="1:1">
      <c r="A229" t="str">
        <f>CONCATENATE("{ number: '", remedies_names!A229, "' , name: '",remedies_names!B229, "' }, " )</f>
        <v xml:space="preserve">{ number: 'R228' , name: 'Kalium Muriaticum' }, </v>
      </c>
    </row>
    <row r="230" spans="1:1">
      <c r="A230" t="str">
        <f>CONCATENATE("{ number: '", remedies_names!A230, "' , name: '",remedies_names!B230, "' }, " )</f>
        <v xml:space="preserve">{ number: 'R229' , name: 'Kalium Nitricum' }, </v>
      </c>
    </row>
    <row r="231" spans="1:1">
      <c r="A231" t="str">
        <f>CONCATENATE("{ number: '", remedies_names!A231, "' , name: '",remedies_names!B231, "' }, " )</f>
        <v xml:space="preserve">{ number: 'R230' , name: 'Kalium Phosphoricum' }, </v>
      </c>
    </row>
    <row r="232" spans="1:1">
      <c r="A232" t="str">
        <f>CONCATENATE("{ number: '", remedies_names!A232, "' , name: '",remedies_names!B232, "' }, " )</f>
        <v xml:space="preserve">{ number: 'R231' , name: 'Kalium Sulfuricum' }, </v>
      </c>
    </row>
    <row r="233" spans="1:1">
      <c r="A233" t="str">
        <f>CONCATENATE("{ number: '", remedies_names!A233, "' , name: '",remedies_names!B233, "' }, " )</f>
        <v xml:space="preserve">{ number: 'R232' , name: 'Kalmia Latifolia' }, </v>
      </c>
    </row>
    <row r="234" spans="1:1">
      <c r="A234" t="str">
        <f>CONCATENATE("{ number: '", remedies_names!A234, "' , name: '",remedies_names!B234, "' }, " )</f>
        <v xml:space="preserve">{ number: 'R233' , name: 'Kreosotum' }, </v>
      </c>
    </row>
    <row r="235" spans="1:1">
      <c r="A235" t="str">
        <f>CONCATENATE("{ number: '", remedies_names!A235, "' , name: '",remedies_names!B235, "' }, " )</f>
        <v xml:space="preserve">{ number: 'R234' , name: 'Lac Caninum' }, </v>
      </c>
    </row>
    <row r="236" spans="1:1">
      <c r="A236" t="str">
        <f>CONCATENATE("{ number: '", remedies_names!A236, "' , name: '",remedies_names!B236, "' }, " )</f>
        <v xml:space="preserve">{ number: 'R235' , name: 'Lac Defloratum' }, </v>
      </c>
    </row>
    <row r="237" spans="1:1">
      <c r="A237" t="str">
        <f>CONCATENATE("{ number: '", remedies_names!A237, "' , name: '",remedies_names!B237, "' }, " )</f>
        <v xml:space="preserve">{ number: 'R236' , name: 'Lachesis Mutus' }, </v>
      </c>
    </row>
    <row r="238" spans="1:1">
      <c r="A238" t="str">
        <f>CONCATENATE("{ number: '", remedies_names!A238, "' , name: '",remedies_names!B238, "' }, " )</f>
        <v xml:space="preserve">{ number: 'R237' , name: 'Lachnanthes Tinctor.' }, </v>
      </c>
    </row>
    <row r="239" spans="1:1">
      <c r="A239" t="str">
        <f>CONCATENATE("{ number: '", remedies_names!A239, "' , name: '",remedies_names!B239, "' }, " )</f>
        <v xml:space="preserve">{ number: 'R238' , name: 'Lacticum Acidum' }, </v>
      </c>
    </row>
    <row r="240" spans="1:1">
      <c r="A240" t="str">
        <f>CONCATENATE("{ number: '", remedies_names!A240, "' , name: '",remedies_names!B240, "' }, " )</f>
        <v xml:space="preserve">{ number: 'R239' , name: 'Lactuca Virosa' }, </v>
      </c>
    </row>
    <row r="241" spans="1:1">
      <c r="A241" t="str">
        <f>CONCATENATE("{ number: '", remedies_names!A241, "' , name: '",remedies_names!B241, "' }, " )</f>
        <v xml:space="preserve">{ number: 'R240' , name: 'Laurocerasus' }, </v>
      </c>
    </row>
    <row r="242" spans="1:1">
      <c r="A242" t="str">
        <f>CONCATENATE("{ number: '", remedies_names!A242, "' , name: '",remedies_names!B242, "' }, " )</f>
        <v xml:space="preserve">{ number: 'R241' , name: 'Ledum Palustre' }, </v>
      </c>
    </row>
    <row r="243" spans="1:1">
      <c r="A243" t="str">
        <f>CONCATENATE("{ number: '", remedies_names!A243, "' , name: '",remedies_names!B243, "' }, " )</f>
        <v xml:space="preserve">{ number: 'R242' , name: 'Leptandra Virginica' }, </v>
      </c>
    </row>
    <row r="244" spans="1:1">
      <c r="A244" t="str">
        <f>CONCATENATE("{ number: '", remedies_names!A244, "' , name: '",remedies_names!B244, "' }, " )</f>
        <v xml:space="preserve">{ number: 'R243' , name: 'Levomepromazine' }, </v>
      </c>
    </row>
    <row r="245" spans="1:1">
      <c r="A245" t="str">
        <f>CONCATENATE("{ number: '", remedies_names!A245, "' , name: '",remedies_names!B245, "' }, " )</f>
        <v xml:space="preserve">{ number: 'R244' , name: 'Lilium Tigrinum' }, </v>
      </c>
    </row>
    <row r="246" spans="1:1">
      <c r="A246" t="str">
        <f>CONCATENATE("{ number: '", remedies_names!A246, "' , name: '",remedies_names!B246, "' }, " )</f>
        <v xml:space="preserve">{ number: 'R245' , name: 'Lithium Carbonicum' }, </v>
      </c>
    </row>
    <row r="247" spans="1:1">
      <c r="A247" t="str">
        <f>CONCATENATE("{ number: '", remedies_names!A247, "' , name: '",remedies_names!B247, "' }, " )</f>
        <v xml:space="preserve">{ number: 'R246' , name: 'Lobelia Inflata' }, </v>
      </c>
    </row>
    <row r="248" spans="1:1">
      <c r="A248" t="str">
        <f>CONCATENATE("{ number: '", remedies_names!A248, "' , name: '",remedies_names!B248, "' }, " )</f>
        <v xml:space="preserve">{ number: 'R247' , name: 'Luesinum(Syphilinum)' }, </v>
      </c>
    </row>
    <row r="249" spans="1:1">
      <c r="A249" t="str">
        <f>CONCATENATE("{ number: '", remedies_names!A249, "' , name: '",remedies_names!B249, "' }, " )</f>
        <v xml:space="preserve">{ number: 'R248' , name: 'Lycopodium Clavatum' }, </v>
      </c>
    </row>
    <row r="250" spans="1:1">
      <c r="A250" t="str">
        <f>CONCATENATE("{ number: '", remedies_names!A250, "' , name: '",remedies_names!B250, "' }, " )</f>
        <v xml:space="preserve">{ number: 'R249' , name: 'Lycopus Virginicus' }, </v>
      </c>
    </row>
    <row r="251" spans="1:1">
      <c r="A251" t="str">
        <f>CONCATENATE("{ number: '", remedies_names!A251, "' , name: '",remedies_names!B251, "' }, " )</f>
        <v xml:space="preserve">{ number: 'R250' , name: 'Magnesia Carbonica' }, </v>
      </c>
    </row>
    <row r="252" spans="1:1">
      <c r="A252" t="str">
        <f>CONCATENATE("{ number: '", remedies_names!A252, "' , name: '",remedies_names!B252, "' }, " )</f>
        <v xml:space="preserve">{ number: 'R251' , name: 'Magnesia Muriatica' }, </v>
      </c>
    </row>
    <row r="253" spans="1:1">
      <c r="A253" t="str">
        <f>CONCATENATE("{ number: '", remedies_names!A253, "' , name: '",remedies_names!B253, "' }, " )</f>
        <v xml:space="preserve">{ number: 'R252' , name: 'Magnesia Phosphorica' }, </v>
      </c>
    </row>
    <row r="254" spans="1:1">
      <c r="A254" t="str">
        <f>CONCATENATE("{ number: '", remedies_names!A254, "' , name: '",remedies_names!B254, "' }, " )</f>
        <v xml:space="preserve">{ number: 'R253' , name: 'Magnesia Sulfurica' }, </v>
      </c>
    </row>
    <row r="255" spans="1:1">
      <c r="A255" t="str">
        <f>CONCATENATE("{ number: '", remedies_names!A255, "' , name: '",remedies_names!B255, "' }, " )</f>
        <v xml:space="preserve">{ number: 'R254' , name: 'Mancinella' }, </v>
      </c>
    </row>
    <row r="256" spans="1:1">
      <c r="A256" t="str">
        <f>CONCATENATE("{ number: '", remedies_names!A256, "' , name: '",remedies_names!B256, "' }, " )</f>
        <v xml:space="preserve">{ number: 'R255' , name: 'Mandragora Officina.' }, </v>
      </c>
    </row>
    <row r="257" spans="1:1">
      <c r="A257" t="str">
        <f>CONCATENATE("{ number: '", remedies_names!A257, "' , name: '",remedies_names!B257, "' }, " )</f>
        <v xml:space="preserve">{ number: 'R256' , name: 'Manganum Aceticum' }, </v>
      </c>
    </row>
    <row r="258" spans="1:1">
      <c r="A258" t="str">
        <f>CONCATENATE("{ number: '", remedies_names!A258, "' , name: '",remedies_names!B258, "' }, " )</f>
        <v xml:space="preserve">{ number: 'R257' , name: 'Manganum Metallicum' }, </v>
      </c>
    </row>
    <row r="259" spans="1:1">
      <c r="A259" t="str">
        <f>CONCATENATE("{ number: '", remedies_names!A259, "' , name: '",remedies_names!B259, "' }, " )</f>
        <v xml:space="preserve">{ number: 'R258' , name: 'Medorrhinum' }, </v>
      </c>
    </row>
    <row r="260" spans="1:1">
      <c r="A260" t="str">
        <f>CONCATENATE("{ number: '", remedies_names!A260, "' , name: '",remedies_names!B260, "' }, " )</f>
        <v xml:space="preserve">{ number: 'R259' , name: 'Melilotus Officinal.' }, </v>
      </c>
    </row>
    <row r="261" spans="1:1">
      <c r="A261" t="str">
        <f>CONCATENATE("{ number: '", remedies_names!A261, "' , name: '",remedies_names!B261, "' }, " )</f>
        <v xml:space="preserve">{ number: 'R260' , name: 'Menyanthes Trifolia.' }, </v>
      </c>
    </row>
    <row r="262" spans="1:1">
      <c r="A262" t="str">
        <f>CONCATENATE("{ number: '", remedies_names!A262, "' , name: '",remedies_names!B262, "' }, " )</f>
        <v xml:space="preserve">{ number: 'R261' , name: 'Mephitis Putorius' }, </v>
      </c>
    </row>
    <row r="263" spans="1:1">
      <c r="A263" t="str">
        <f>CONCATENATE("{ number: '", remedies_names!A263, "' , name: '",remedies_names!B263, "' }, " )</f>
        <v xml:space="preserve">{ number: 'R262' , name: 'Mercurialis Perennis' }, </v>
      </c>
    </row>
    <row r="264" spans="1:1">
      <c r="A264" t="str">
        <f>CONCATENATE("{ number: '", remedies_names!A264, "' , name: '",remedies_names!B264, "' }, " )</f>
        <v xml:space="preserve">{ number: 'R263' , name: 'Mercurius Bi-Iodatus' }, </v>
      </c>
    </row>
    <row r="265" spans="1:1">
      <c r="A265" t="str">
        <f>CONCATENATE("{ number: '", remedies_names!A265, "' , name: '",remedies_names!B265, "' }, " )</f>
        <v xml:space="preserve">{ number: 'R264' , name: 'Mercurius Corrosivus' }, </v>
      </c>
    </row>
    <row r="266" spans="1:1">
      <c r="A266" t="str">
        <f>CONCATENATE("{ number: '", remedies_names!A266, "' , name: '",remedies_names!B266, "' }, " )</f>
        <v xml:space="preserve">{ number: 'R265' , name: 'Mercurius Cyanatus' }, </v>
      </c>
    </row>
    <row r="267" spans="1:1">
      <c r="A267" t="str">
        <f>CONCATENATE("{ number: '", remedies_names!A267, "' , name: '",remedies_names!B267, "' }, " )</f>
        <v xml:space="preserve">{ number: 'R266' , name: 'Mercurius Proto-Iod.' }, </v>
      </c>
    </row>
    <row r="268" spans="1:1">
      <c r="A268" t="str">
        <f>CONCATENATE("{ number: '", remedies_names!A268, "' , name: '",remedies_names!B268, "' }, " )</f>
        <v xml:space="preserve">{ number: 'R267' , name: 'Mercurius Sulfuricus' }, </v>
      </c>
    </row>
    <row r="269" spans="1:1">
      <c r="A269" t="str">
        <f>CONCATENATE("{ number: '", remedies_names!A269, "' , name: '",remedies_names!B269, "' }, " )</f>
        <v xml:space="preserve">{ number: 'R268' , name: 'Mercurius(Solub/Viv)' }, </v>
      </c>
    </row>
    <row r="270" spans="1:1">
      <c r="A270" t="str">
        <f>CONCATENATE("{ number: '", remedies_names!A270, "' , name: '",remedies_names!B270, "' }, " )</f>
        <v xml:space="preserve">{ number: 'R269' , name: 'Methysergide' }, </v>
      </c>
    </row>
    <row r="271" spans="1:1">
      <c r="A271" t="str">
        <f>CONCATENATE("{ number: '", remedies_names!A271, "' , name: '",remedies_names!B271, "' }, " )</f>
        <v xml:space="preserve">{ number: 'R270' , name: 'Mezereum' }, </v>
      </c>
    </row>
    <row r="272" spans="1:1">
      <c r="A272" t="str">
        <f>CONCATENATE("{ number: '", remedies_names!A272, "' , name: '",remedies_names!B272, "' }, " )</f>
        <v xml:space="preserve">{ number: 'R271' , name: 'Moschus' }, </v>
      </c>
    </row>
    <row r="273" spans="1:1">
      <c r="A273" t="str">
        <f>CONCATENATE("{ number: '", remedies_names!A273, "' , name: '",remedies_names!B273, "' }, " )</f>
        <v xml:space="preserve">{ number: 'R272' , name: 'Murex Purpurea' }, </v>
      </c>
    </row>
    <row r="274" spans="1:1">
      <c r="A274" t="str">
        <f>CONCATENATE("{ number: '", remedies_names!A274, "' , name: '",remedies_names!B274, "' }, " )</f>
        <v xml:space="preserve">{ number: 'R273' , name: 'Muriaticum Acidum' }, </v>
      </c>
    </row>
    <row r="275" spans="1:1">
      <c r="A275" t="str">
        <f>CONCATENATE("{ number: '", remedies_names!A275, "' , name: '",remedies_names!B275, "' }, " )</f>
        <v xml:space="preserve">{ number: 'R274' , name: 'Myrica Cerifera' }, </v>
      </c>
    </row>
    <row r="276" spans="1:1">
      <c r="A276" t="str">
        <f>CONCATENATE("{ number: '", remedies_names!A276, "' , name: '",remedies_names!B276, "' }, " )</f>
        <v xml:space="preserve">{ number: 'R275' , name: 'Naja Tripudians' }, </v>
      </c>
    </row>
    <row r="277" spans="1:1">
      <c r="A277" t="str">
        <f>CONCATENATE("{ number: '", remedies_names!A277, "' , name: '",remedies_names!B277, "' }, " )</f>
        <v xml:space="preserve">{ number: 'R276' , name: 'Naloxone (Narcan)' }, </v>
      </c>
    </row>
    <row r="278" spans="1:1">
      <c r="A278" t="str">
        <f>CONCATENATE("{ number: '", remedies_names!A278, "' , name: '",remedies_names!B278, "' }, " )</f>
        <v xml:space="preserve">{ number: 'R277' , name: 'Natrum Arsenicicum' }, </v>
      </c>
    </row>
    <row r="279" spans="1:1">
      <c r="A279" t="str">
        <f>CONCATENATE("{ number: '", remedies_names!A279, "' , name: '",remedies_names!B279, "' }, " )</f>
        <v xml:space="preserve">{ number: 'R278' , name: 'Natrum Carbonicum' }, </v>
      </c>
    </row>
    <row r="280" spans="1:1">
      <c r="A280" t="str">
        <f>CONCATENATE("{ number: '", remedies_names!A280, "' , name: '",remedies_names!B280, "' }, " )</f>
        <v xml:space="preserve">{ number: 'R279' , name: 'Natrum Muriaticum' }, </v>
      </c>
    </row>
    <row r="281" spans="1:1">
      <c r="A281" t="str">
        <f>CONCATENATE("{ number: '", remedies_names!A281, "' , name: '",remedies_names!B281, "' }, " )</f>
        <v xml:space="preserve">{ number: 'R280' , name: 'Natrum Phosphoricum' }, </v>
      </c>
    </row>
    <row r="282" spans="1:1">
      <c r="A282" t="str">
        <f>CONCATENATE("{ number: '", remedies_names!A282, "' , name: '",remedies_names!B282, "' }, " )</f>
        <v xml:space="preserve">{ number: 'R281' , name: 'Natrum Sulfuricum' }, </v>
      </c>
    </row>
    <row r="283" spans="1:1">
      <c r="A283" t="str">
        <f>CONCATENATE("{ number: '", remedies_names!A283, "' , name: '",remedies_names!B283, "' }, " )</f>
        <v xml:space="preserve">{ number: 'R282' , name: 'Nepenthes' }, </v>
      </c>
    </row>
    <row r="284" spans="1:1">
      <c r="A284" t="str">
        <f>CONCATENATE("{ number: '", remedies_names!A284, "' , name: '",remedies_names!B284, "' }, " )</f>
        <v xml:space="preserve">{ number: 'R283' , name: 'Nerium Oleander' }, </v>
      </c>
    </row>
    <row r="285" spans="1:1">
      <c r="A285" t="str">
        <f>CONCATENATE("{ number: '", remedies_names!A285, "' , name: '",remedies_names!B285, "' }, " )</f>
        <v xml:space="preserve">{ number: 'R284' , name: 'Niccolum Metallicum' }, </v>
      </c>
    </row>
    <row r="286" spans="1:1">
      <c r="A286" t="str">
        <f>CONCATENATE("{ number: '", remedies_names!A286, "' , name: '",remedies_names!B286, "' }, " )</f>
        <v xml:space="preserve">{ number: 'R285' , name: 'Nitri Spiritus Dulc.' }, </v>
      </c>
    </row>
    <row r="287" spans="1:1">
      <c r="A287" t="str">
        <f>CONCATENATE("{ number: '", remedies_names!A287, "' , name: '",remedies_names!B287, "' }, " )</f>
        <v xml:space="preserve">{ number: 'R286' , name: 'Nitricum Acidum' }, </v>
      </c>
    </row>
    <row r="288" spans="1:1">
      <c r="A288" t="str">
        <f>CONCATENATE("{ number: '", remedies_names!A288, "' , name: '",remedies_names!B288, "' }, " )</f>
        <v xml:space="preserve">{ number: 'R287' , name: 'Nux Moschata' }, </v>
      </c>
    </row>
    <row r="289" spans="1:1">
      <c r="A289" t="str">
        <f>CONCATENATE("{ number: '", remedies_names!A289, "' , name: '",remedies_names!B289, "' }, " )</f>
        <v xml:space="preserve">{ number: 'R288' , name: 'Nux Vomica' }, </v>
      </c>
    </row>
    <row r="290" spans="1:1">
      <c r="A290" t="str">
        <f>CONCATENATE("{ number: '", remedies_names!A290, "' , name: '",remedies_names!B290, "' }, " )</f>
        <v xml:space="preserve">{ number: 'R289' , name: 'Oenanthe Crocata' }, </v>
      </c>
    </row>
    <row r="291" spans="1:1">
      <c r="A291" t="str">
        <f>CONCATENATE("{ number: '", remedies_names!A291, "' , name: '",remedies_names!B291, "' }, " )</f>
        <v xml:space="preserve">{ number: 'R290' , name: 'Oleum Animale' }, </v>
      </c>
    </row>
    <row r="292" spans="1:1">
      <c r="A292" t="str">
        <f>CONCATENATE("{ number: '", remedies_names!A292, "' , name: '",remedies_names!B292, "' }, " )</f>
        <v xml:space="preserve">{ number: 'R291' , name: 'Oleum Jecoris Aselli' }, </v>
      </c>
    </row>
    <row r="293" spans="1:1">
      <c r="A293" t="str">
        <f>CONCATENATE("{ number: '", remedies_names!A293, "' , name: '",remedies_names!B293, "' }, " )</f>
        <v xml:space="preserve">{ number: 'R292' , name: 'Onosmodium Virginia.' }, </v>
      </c>
    </row>
    <row r="294" spans="1:1">
      <c r="A294" t="str">
        <f>CONCATENATE("{ number: '", remedies_names!A294, "' , name: '",remedies_names!B294, "' }, " )</f>
        <v xml:space="preserve">{ number: 'R293' , name: 'Opium' }, </v>
      </c>
    </row>
    <row r="295" spans="1:1">
      <c r="A295" t="str">
        <f>CONCATENATE("{ number: '", remedies_names!A295, "' , name: '",remedies_names!B295, "' }, " )</f>
        <v xml:space="preserve">{ number: 'R294' , name: 'Oscillococcinum' }, </v>
      </c>
    </row>
    <row r="296" spans="1:1">
      <c r="A296" t="str">
        <f>CONCATENATE("{ number: '", remedies_names!A296, "' , name: '",remedies_names!B296, "' }, " )</f>
        <v xml:space="preserve">{ number: 'R295' , name: 'Osmium Metallicum' }, </v>
      </c>
    </row>
    <row r="297" spans="1:1">
      <c r="A297" t="str">
        <f>CONCATENATE("{ number: '", remedies_names!A297, "' , name: '",remedies_names!B297, "' }, " )</f>
        <v xml:space="preserve">{ number: 'R296' , name: 'Oxalicum Acidum' }, </v>
      </c>
    </row>
    <row r="298" spans="1:1">
      <c r="A298" t="str">
        <f>CONCATENATE("{ number: '", remedies_names!A298, "' , name: '",remedies_names!B298, "' }, " )</f>
        <v xml:space="preserve">{ number: 'R297' , name: 'Paeonia Officinalis' }, </v>
      </c>
    </row>
    <row r="299" spans="1:1">
      <c r="A299" t="str">
        <f>CONCATENATE("{ number: '", remedies_names!A299, "' , name: '",remedies_names!B299, "' }, " )</f>
        <v xml:space="preserve">{ number: 'R298' , name: 'Palladium Metallicum' }, </v>
      </c>
    </row>
    <row r="300" spans="1:1">
      <c r="A300" t="str">
        <f>CONCATENATE("{ number: '", remedies_names!A300, "' , name: '",remedies_names!B300, "' }, " )</f>
        <v xml:space="preserve">{ number: 'R299' , name: 'Paratyphoidinum B' }, </v>
      </c>
    </row>
    <row r="301" spans="1:1">
      <c r="A301" t="str">
        <f>CONCATENATE("{ number: '", remedies_names!A301, "' , name: '",remedies_names!B301, "' }, " )</f>
        <v xml:space="preserve">{ number: 'R300' , name: 'Pareira Brava' }, </v>
      </c>
    </row>
    <row r="302" spans="1:1">
      <c r="A302" t="str">
        <f>CONCATENATE("{ number: '", remedies_names!A302, "' , name: '",remedies_names!B302, "' }, " )</f>
        <v xml:space="preserve">{ number: 'R301' , name: 'Paris Quadrifolia' }, </v>
      </c>
    </row>
    <row r="303" spans="1:1">
      <c r="A303" t="str">
        <f>CONCATENATE("{ number: '", remedies_names!A303, "' , name: '",remedies_names!B303, "' }, " )</f>
        <v xml:space="preserve">{ number: 'R302' , name: 'Perhexiline(Maleate)' }, </v>
      </c>
    </row>
    <row r="304" spans="1:1">
      <c r="A304" t="str">
        <f>CONCATENATE("{ number: '", remedies_names!A304, "' , name: '",remedies_names!B304, "' }, " )</f>
        <v xml:space="preserve">{ number: 'R303' , name: 'Petroleum' }, </v>
      </c>
    </row>
    <row r="305" spans="1:1">
      <c r="A305" t="str">
        <f>CONCATENATE("{ number: '", remedies_names!A305, "' , name: '",remedies_names!B305, "' }, " )</f>
        <v xml:space="preserve">{ number: 'R304' , name: 'Petroselinum Sativum' }, </v>
      </c>
    </row>
    <row r="306" spans="1:1">
      <c r="A306" t="str">
        <f>CONCATENATE("{ number: '", remedies_names!A306, "' , name: '",remedies_names!B306, "' }, " )</f>
        <v xml:space="preserve">{ number: 'R305' , name: 'Phellandrium Aquati.' }, </v>
      </c>
    </row>
    <row r="307" spans="1:1">
      <c r="A307" t="str">
        <f>CONCATENATE("{ number: '", remedies_names!A307, "' , name: '",remedies_names!B307, "' }, " )</f>
        <v xml:space="preserve">{ number: 'R306' , name: 'Phenobarbital' }, </v>
      </c>
    </row>
    <row r="308" spans="1:1">
      <c r="A308" t="str">
        <f>CONCATENATE("{ number: '", remedies_names!A308, "' , name: '",remedies_names!B308, "' }, " )</f>
        <v xml:space="preserve">{ number: 'R307' , name: 'Phosphoricum Acidum' }, </v>
      </c>
    </row>
    <row r="309" spans="1:1">
      <c r="A309" t="str">
        <f>CONCATENATE("{ number: '", remedies_names!A309, "' , name: '",remedies_names!B309, "' }, " )</f>
        <v xml:space="preserve">{ number: 'R308' , name: 'Phosphorus' }, </v>
      </c>
    </row>
    <row r="310" spans="1:1">
      <c r="A310" t="str">
        <f>CONCATENATE("{ number: '", remedies_names!A310, "' , name: '",remedies_names!B310, "' }, " )</f>
        <v xml:space="preserve">{ number: 'R309' , name: 'Physostigma Venenos.' }, </v>
      </c>
    </row>
    <row r="311" spans="1:1">
      <c r="A311" t="str">
        <f>CONCATENATE("{ number: '", remedies_names!A311, "' , name: '",remedies_names!B311, "' }, " )</f>
        <v xml:space="preserve">{ number: 'R310' , name: 'Phytolacca Decandra' }, </v>
      </c>
    </row>
    <row r="312" spans="1:1">
      <c r="A312" t="str">
        <f>CONCATENATE("{ number: '", remedies_names!A312, "' , name: '",remedies_names!B312, "' }, " )</f>
        <v xml:space="preserve">{ number: 'R311' , name: 'Picricum Acidum' }, </v>
      </c>
    </row>
    <row r="313" spans="1:1">
      <c r="A313" t="str">
        <f>CONCATENATE("{ number: '", remedies_names!A313, "' , name: '",remedies_names!B313, "' }, " )</f>
        <v xml:space="preserve">{ number: 'R312' , name: 'Plantago Major' }, </v>
      </c>
    </row>
    <row r="314" spans="1:1">
      <c r="A314" t="str">
        <f>CONCATENATE("{ number: '", remedies_names!A314, "' , name: '",remedies_names!B314, "' }, " )</f>
        <v xml:space="preserve">{ number: 'R313' , name: 'Platina' }, </v>
      </c>
    </row>
    <row r="315" spans="1:1">
      <c r="A315" t="str">
        <f>CONCATENATE("{ number: '", remedies_names!A315, "' , name: '",remedies_names!B315, "' }, " )</f>
        <v xml:space="preserve">{ number: 'R314' , name: 'Plumbum Metallicum' }, </v>
      </c>
    </row>
    <row r="316" spans="1:1">
      <c r="A316" t="str">
        <f>CONCATENATE("{ number: '", remedies_names!A316, "' , name: '",remedies_names!B316, "' }, " )</f>
        <v xml:space="preserve">{ number: 'R315' , name: 'Podophyllum Peltatum' }, </v>
      </c>
    </row>
    <row r="317" spans="1:1">
      <c r="A317" t="str">
        <f>CONCATENATE("{ number: '", remedies_names!A317, "' , name: '",remedies_names!B317, "' }, " )</f>
        <v xml:space="preserve">{ number: 'R316' , name: 'Polygonum Hydropiper' }, </v>
      </c>
    </row>
    <row r="318" spans="1:1">
      <c r="A318" t="str">
        <f>CONCATENATE("{ number: '", remedies_names!A318, "' , name: '",remedies_names!B318, "' }, " )</f>
        <v xml:space="preserve">{ number: 'R317' , name: 'Proteus Vulgaris' }, </v>
      </c>
    </row>
    <row r="319" spans="1:1">
      <c r="A319" t="str">
        <f>CONCATENATE("{ number: '", remedies_names!A319, "' , name: '",remedies_names!B319, "' }, " )</f>
        <v xml:space="preserve">{ number: 'R318' , name: 'Prunus Spinosa' }, </v>
      </c>
    </row>
    <row r="320" spans="1:1">
      <c r="A320" t="str">
        <f>CONCATENATE("{ number: '", remedies_names!A320, "' , name: '",remedies_names!B320, "' }, " )</f>
        <v xml:space="preserve">{ number: 'R319' , name: 'Psorinum' }, </v>
      </c>
    </row>
    <row r="321" spans="1:1">
      <c r="A321" t="str">
        <f>CONCATENATE("{ number: '", remedies_names!A321, "' , name: '",remedies_names!B321, "' }, " )</f>
        <v xml:space="preserve">{ number: 'R320' , name: 'Ptelea Trifoliata' }, </v>
      </c>
    </row>
    <row r="322" spans="1:1">
      <c r="A322" t="str">
        <f>CONCATENATE("{ number: '", remedies_names!A322, "' , name: '",remedies_names!B322, "' }, " )</f>
        <v xml:space="preserve">{ number: 'R321' , name: 'Pulsatilla Nigricans' }, </v>
      </c>
    </row>
    <row r="323" spans="1:1">
      <c r="A323" t="str">
        <f>CONCATENATE("{ number: '", remedies_names!A323, "' , name: '",remedies_names!B323, "' }, " )</f>
        <v xml:space="preserve">{ number: 'R322' , name: 'Pyrogenium' }, </v>
      </c>
    </row>
    <row r="324" spans="1:1">
      <c r="A324" t="str">
        <f>CONCATENATE("{ number: '", remedies_names!A324, "' , name: '",remedies_names!B324, "' }, " )</f>
        <v xml:space="preserve">{ number: 'R323' , name: 'Radium Bromatum' }, </v>
      </c>
    </row>
    <row r="325" spans="1:1">
      <c r="A325" t="str">
        <f>CONCATENATE("{ number: '", remedies_names!A325, "' , name: '",remedies_names!B325, "' }, " )</f>
        <v xml:space="preserve">{ number: 'R324' , name: 'Rana Bufo' }, </v>
      </c>
    </row>
    <row r="326" spans="1:1">
      <c r="A326" t="str">
        <f>CONCATENATE("{ number: '", remedies_names!A326, "' , name: '",remedies_names!B326, "' }, " )</f>
        <v xml:space="preserve">{ number: 'R325' , name: 'Ranunculus Bulbosus' }, </v>
      </c>
    </row>
    <row r="327" spans="1:1">
      <c r="A327" t="str">
        <f>CONCATENATE("{ number: '", remedies_names!A327, "' , name: '",remedies_names!B327, "' }, " )</f>
        <v xml:space="preserve">{ number: 'R326' , name: 'Ranunculus Scelerat.' }, </v>
      </c>
    </row>
    <row r="328" spans="1:1">
      <c r="A328" t="str">
        <f>CONCATENATE("{ number: '", remedies_names!A328, "' , name: '",remedies_names!B328, "' }, " )</f>
        <v xml:space="preserve">{ number: 'R327' , name: 'Raphanus Sativ. Nig.' }, </v>
      </c>
    </row>
    <row r="329" spans="1:1">
      <c r="A329" t="str">
        <f>CONCATENATE("{ number: '", remedies_names!A329, "' , name: '",remedies_names!B329, "' }, " )</f>
        <v xml:space="preserve">{ number: 'R328' , name: 'Ratanhia' }, </v>
      </c>
    </row>
    <row r="330" spans="1:1">
      <c r="A330" t="str">
        <f>CONCATENATE("{ number: '", remedies_names!A330, "' , name: '",remedies_names!B330, "' }, " )</f>
        <v xml:space="preserve">{ number: 'R329' , name: 'Rauwolfia Serpentina' }, </v>
      </c>
    </row>
    <row r="331" spans="1:1">
      <c r="A331" t="str">
        <f>CONCATENATE("{ number: '", remedies_names!A331, "' , name: '",remedies_names!B331, "' }, " )</f>
        <v xml:space="preserve">{ number: 'R330' , name: 'Rheum Officinale' }, </v>
      </c>
    </row>
    <row r="332" spans="1:1">
      <c r="A332" t="str">
        <f>CONCATENATE("{ number: '", remedies_names!A332, "' , name: '",remedies_names!B332, "' }, " )</f>
        <v xml:space="preserve">{ number: 'R331' , name: 'Rhododendron Chrys.' }, </v>
      </c>
    </row>
    <row r="333" spans="1:1">
      <c r="A333" t="str">
        <f>CONCATENATE("{ number: '", remedies_names!A333, "' , name: '",remedies_names!B333, "' }, " )</f>
        <v xml:space="preserve">{ number: 'R332' , name: 'Rhus Toxicodendron' }, </v>
      </c>
    </row>
    <row r="334" spans="1:1">
      <c r="A334" t="str">
        <f>CONCATENATE("{ number: '", remedies_names!A334, "' , name: '",remedies_names!B334, "' }, " )</f>
        <v xml:space="preserve">{ number: 'R333' , name: 'Rhus Vernix' }, </v>
      </c>
    </row>
    <row r="335" spans="1:1">
      <c r="A335" t="str">
        <f>CONCATENATE("{ number: '", remedies_names!A335, "' , name: '",remedies_names!B335, "' }, " )</f>
        <v xml:space="preserve">{ number: 'R334' , name: 'Robinia Pseudo-Acac.' }, </v>
      </c>
    </row>
    <row r="336" spans="1:1">
      <c r="A336" t="str">
        <f>CONCATENATE("{ number: '", remedies_names!A336, "' , name: '",remedies_names!B336, "' }, " )</f>
        <v xml:space="preserve">{ number: 'R335' , name: 'Rumex Crispus' }, </v>
      </c>
    </row>
    <row r="337" spans="1:1">
      <c r="A337" t="str">
        <f>CONCATENATE("{ number: '", remedies_names!A337, "' , name: '",remedies_names!B337, "' }, " )</f>
        <v xml:space="preserve">{ number: 'R336' , name: 'Ruta Graveolens' }, </v>
      </c>
    </row>
    <row r="338" spans="1:1">
      <c r="A338" t="str">
        <f>CONCATENATE("{ number: '", remedies_names!A338, "' , name: '",remedies_names!B338, "' }, " )</f>
        <v xml:space="preserve">{ number: 'R337' , name: 'Sabadilla Officinar.' }, </v>
      </c>
    </row>
    <row r="339" spans="1:1">
      <c r="A339" t="str">
        <f>CONCATENATE("{ number: '", remedies_names!A339, "' , name: '",remedies_names!B339, "' }, " )</f>
        <v xml:space="preserve">{ number: 'R338' , name: 'Sabina' }, </v>
      </c>
    </row>
    <row r="340" spans="1:1">
      <c r="A340" t="str">
        <f>CONCATENATE("{ number: '", remedies_names!A340, "' , name: '",remedies_names!B340, "' }, " )</f>
        <v xml:space="preserve">{ number: 'R339' , name: 'Salicylicum Acidum' }, </v>
      </c>
    </row>
    <row r="341" spans="1:1">
      <c r="A341" t="str">
        <f>CONCATENATE("{ number: '", remedies_names!A341, "' , name: '",remedies_names!B341, "' }, " )</f>
        <v xml:space="preserve">{ number: 'R340' , name: 'Sambucus Nigra' }, </v>
      </c>
    </row>
    <row r="342" spans="1:1">
      <c r="A342" t="str">
        <f>CONCATENATE("{ number: '", remedies_names!A342, "' , name: '",remedies_names!B342, "' }, " )</f>
        <v xml:space="preserve">{ number: 'R341' , name: 'Sanguinaria Canaden.' }, </v>
      </c>
    </row>
    <row r="343" spans="1:1">
      <c r="A343" t="str">
        <f>CONCATENATE("{ number: '", remedies_names!A343, "' , name: '",remedies_names!B343, "' }, " )</f>
        <v xml:space="preserve">{ number: 'R342' , name: 'Sarsaparilla' }, </v>
      </c>
    </row>
    <row r="344" spans="1:1">
      <c r="A344" t="str">
        <f>CONCATENATE("{ number: '", remedies_names!A344, "' , name: '",remedies_names!B344, "' }, " )</f>
        <v xml:space="preserve">{ number: 'R343' , name: 'Scilla Maritima' }, </v>
      </c>
    </row>
    <row r="345" spans="1:1">
      <c r="A345" t="str">
        <f>CONCATENATE("{ number: '", remedies_names!A345, "' , name: '",remedies_names!B345, "' }, " )</f>
        <v xml:space="preserve">{ number: 'R344' , name: 'Secale Cornutum' }, </v>
      </c>
    </row>
    <row r="346" spans="1:1">
      <c r="A346" t="str">
        <f>CONCATENATE("{ number: '", remedies_names!A346, "' , name: '",remedies_names!B346, "' }, " )</f>
        <v xml:space="preserve">{ number: 'R345' , name: 'Selenium Metallicum' }, </v>
      </c>
    </row>
    <row r="347" spans="1:1">
      <c r="A347" t="str">
        <f>CONCATENATE("{ number: '", remedies_names!A347, "' , name: '",remedies_names!B347, "' }, " )</f>
        <v xml:space="preserve">{ number: 'R346' , name: 'Senecio Aureus' }, </v>
      </c>
    </row>
    <row r="348" spans="1:1">
      <c r="A348" t="str">
        <f>CONCATENATE("{ number: '", remedies_names!A348, "' , name: '",remedies_names!B348, "' }, " )</f>
        <v xml:space="preserve">{ number: 'R347' , name: 'Senega' }, </v>
      </c>
    </row>
    <row r="349" spans="1:1">
      <c r="A349" t="str">
        <f>CONCATENATE("{ number: '", remedies_names!A349, "' , name: '",remedies_names!B349, "' }, " )</f>
        <v xml:space="preserve">{ number: 'R348' , name: 'Sepia Officinalis' }, </v>
      </c>
    </row>
    <row r="350" spans="1:1">
      <c r="A350" t="str">
        <f>CONCATENATE("{ number: '", remedies_names!A350, "' , name: '",remedies_names!B350, "' }, " )</f>
        <v xml:space="preserve">{ number: 'R349' , name: 'Serum Anticolibacil.' }, </v>
      </c>
    </row>
    <row r="351" spans="1:1">
      <c r="A351" t="str">
        <f>CONCATENATE("{ number: '", remedies_names!A351, "' , name: '",remedies_names!B351, "' }, " )</f>
        <v xml:space="preserve">{ number: 'R350' , name: 'Silicea' }, </v>
      </c>
    </row>
    <row r="352" spans="1:1">
      <c r="A352" t="str">
        <f>CONCATENATE("{ number: '", remedies_names!A352, "' , name: '",remedies_names!B352, "' }, " )</f>
        <v xml:space="preserve">{ number: 'R351' , name: 'Sinapis Alba' }, </v>
      </c>
    </row>
    <row r="353" spans="1:1">
      <c r="A353" t="str">
        <f>CONCATENATE("{ number: '", remedies_names!A353, "' , name: '",remedies_names!B353, "' }, " )</f>
        <v xml:space="preserve">{ number: 'R352' , name: 'Spigelia Anthelmia' }, </v>
      </c>
    </row>
    <row r="354" spans="1:1">
      <c r="A354" t="str">
        <f>CONCATENATE("{ number: '", remedies_names!A354, "' , name: '",remedies_names!B354, "' }, " )</f>
        <v xml:space="preserve">{ number: 'R353' , name: 'Spongia Tosta' }, </v>
      </c>
    </row>
    <row r="355" spans="1:1">
      <c r="A355" t="str">
        <f>CONCATENATE("{ number: '", remedies_names!A355, "' , name: '",remedies_names!B355, "' }, " )</f>
        <v xml:space="preserve">{ number: 'R354' , name: 'Stannum Metallicum' }, </v>
      </c>
    </row>
    <row r="356" spans="1:1">
      <c r="A356" t="str">
        <f>CONCATENATE("{ number: '", remedies_names!A356, "' , name: '",remedies_names!B356, "' }, " )</f>
        <v xml:space="preserve">{ number: 'R355' , name: 'Staphylococcinum' }, </v>
      </c>
    </row>
    <row r="357" spans="1:1">
      <c r="A357" t="str">
        <f>CONCATENATE("{ number: '", remedies_names!A357, "' , name: '",remedies_names!B357, "' }, " )</f>
        <v xml:space="preserve">{ number: 'R356' , name: 'Staphysagria' }, </v>
      </c>
    </row>
    <row r="358" spans="1:1">
      <c r="A358" t="str">
        <f>CONCATENATE("{ number: '", remedies_names!A358, "' , name: '",remedies_names!B358, "' }, " )</f>
        <v xml:space="preserve">{ number: 'R357' , name: 'Sticta Pulmonaria' }, </v>
      </c>
    </row>
    <row r="359" spans="1:1">
      <c r="A359" t="str">
        <f>CONCATENATE("{ number: '", remedies_names!A359, "' , name: '",remedies_names!B359, "' }, " )</f>
        <v xml:space="preserve">{ number: 'R358' , name: 'Stillingia Sylvatica' }, </v>
      </c>
    </row>
    <row r="360" spans="1:1">
      <c r="A360" t="str">
        <f>CONCATENATE("{ number: '", remedies_names!A360, "' , name: '",remedies_names!B360, "' }, " )</f>
        <v xml:space="preserve">{ number: 'R359' , name: 'Stramonium' }, </v>
      </c>
    </row>
    <row r="361" spans="1:1">
      <c r="A361" t="str">
        <f>CONCATENATE("{ number: '", remedies_names!A361, "' , name: '",remedies_names!B361, "' }, " )</f>
        <v xml:space="preserve">{ number: 'R360' , name: 'Streptococcinum' }, </v>
      </c>
    </row>
    <row r="362" spans="1:1">
      <c r="A362" t="str">
        <f>CONCATENATE("{ number: '", remedies_names!A362, "' , name: '",remedies_names!B362, "' }, " )</f>
        <v xml:space="preserve">{ number: 'R361' , name: 'Strontium Carbonicum' }, </v>
      </c>
    </row>
    <row r="363" spans="1:1">
      <c r="A363" t="str">
        <f>CONCATENATE("{ number: '", remedies_names!A363, "' , name: '",remedies_names!B363, "' }, " )</f>
        <v xml:space="preserve">{ number: 'R362' , name: 'Sulfur' }, </v>
      </c>
    </row>
    <row r="364" spans="1:1">
      <c r="A364" t="str">
        <f>CONCATENATE("{ number: '", remedies_names!A364, "' , name: '",remedies_names!B364, "' }, " )</f>
        <v xml:space="preserve">{ number: 'R363' , name: 'Sulfur Iodatum' }, </v>
      </c>
    </row>
    <row r="365" spans="1:1">
      <c r="A365" t="str">
        <f>CONCATENATE("{ number: '", remedies_names!A365, "' , name: '",remedies_names!B365, "' }, " )</f>
        <v xml:space="preserve">{ number: 'R364' , name: 'Sulfuricum Acidum' }, </v>
      </c>
    </row>
    <row r="366" spans="1:1">
      <c r="A366" t="str">
        <f>CONCATENATE("{ number: '", remedies_names!A366, "' , name: '",remedies_names!B366, "' }, " )</f>
        <v xml:space="preserve">{ number: 'R365' , name: 'Sumbul' }, </v>
      </c>
    </row>
    <row r="367" spans="1:1">
      <c r="A367" t="str">
        <f>CONCATENATE("{ number: '", remedies_names!A367, "' , name: '",remedies_names!B367, "' }, " )</f>
        <v xml:space="preserve">{ number: 'R366' , name: 'Tabacum' }, </v>
      </c>
    </row>
    <row r="368" spans="1:1">
      <c r="A368" t="str">
        <f>CONCATENATE("{ number: '", remedies_names!A368, "' , name: '",remedies_names!B368, "' }, " )</f>
        <v xml:space="preserve">{ number: 'R367' , name: 'Taraxacum Dens-Leon.' }, </v>
      </c>
    </row>
    <row r="369" spans="1:1">
      <c r="A369" t="str">
        <f>CONCATENATE("{ number: '", remedies_names!A369, "' , name: '",remedies_names!B369, "' }, " )</f>
        <v xml:space="preserve">{ number: 'R368' , name: 'Tarentula Hispanica' }, </v>
      </c>
    </row>
    <row r="370" spans="1:1">
      <c r="A370" t="str">
        <f>CONCATENATE("{ number: '", remedies_names!A370, "' , name: '",remedies_names!B370, "' }, " )</f>
        <v xml:space="preserve">{ number: 'R369' , name: 'Tellurium Metallicum' }, </v>
      </c>
    </row>
    <row r="371" spans="1:1">
      <c r="A371" t="str">
        <f>CONCATENATE("{ number: '", remedies_names!A371, "' , name: '",remedies_names!B371, "' }, " )</f>
        <v xml:space="preserve">{ number: 'R370' , name: 'Terebinthina' }, </v>
      </c>
    </row>
    <row r="372" spans="1:1">
      <c r="A372" t="str">
        <f>CONCATENATE("{ number: '", remedies_names!A372, "' , name: '",remedies_names!B372, "' }, " )</f>
        <v xml:space="preserve">{ number: 'R371' , name: 'Teucrium Marum' }, </v>
      </c>
    </row>
    <row r="373" spans="1:1">
      <c r="A373" t="str">
        <f>CONCATENATE("{ number: '", remedies_names!A373, "' , name: '",remedies_names!B373, "' }, " )</f>
        <v xml:space="preserve">{ number: 'R372' , name: 'Theridion Currassav.' }, </v>
      </c>
    </row>
    <row r="374" spans="1:1">
      <c r="A374" t="str">
        <f>CONCATENATE("{ number: '", remedies_names!A374, "' , name: '",remedies_names!B374, "' }, " )</f>
        <v xml:space="preserve">{ number: 'R373' , name: 'Thioproperazine' }, </v>
      </c>
    </row>
    <row r="375" spans="1:1">
      <c r="A375" t="str">
        <f>CONCATENATE("{ number: '", remedies_names!A375, "' , name: '",remedies_names!B375, "' }, " )</f>
        <v xml:space="preserve">{ number: 'R374' , name: 'Thuya Occidentalis' }, </v>
      </c>
    </row>
    <row r="376" spans="1:1">
      <c r="A376" t="str">
        <f>CONCATENATE("{ number: '", remedies_names!A376, "' , name: '",remedies_names!B376, "' }, " )</f>
        <v xml:space="preserve">{ number: 'R375' , name: 'Trombidium Mus. Dom.' }, </v>
      </c>
    </row>
    <row r="377" spans="1:1">
      <c r="A377" t="str">
        <f>CONCATENATE("{ number: '", remedies_names!A377, "' , name: '",remedies_names!B377, "' }, " )</f>
        <v xml:space="preserve">{ number: 'R376' , name: 'Tuberculinum Cr.(Tk)' }, </v>
      </c>
    </row>
    <row r="378" spans="1:1">
      <c r="A378" t="str">
        <f>CONCATENATE("{ number: '", remedies_names!A378, "' , name: '",remedies_names!B378, "' }, " )</f>
        <v xml:space="preserve">{ number: 'R377' , name: 'Tuberculinum Residu.' }, </v>
      </c>
    </row>
    <row r="379" spans="1:1">
      <c r="A379" t="str">
        <f>CONCATENATE("{ number: '", remedies_names!A379, "' , name: '",remedies_names!B379, "' }, " )</f>
        <v xml:space="preserve">{ number: 'R378' , name: 'Uranium Nitricum' }, </v>
      </c>
    </row>
    <row r="380" spans="1:1">
      <c r="A380" t="str">
        <f>CONCATENATE("{ number: '", remedies_names!A380, "' , name: '",remedies_names!B380, "' }, " )</f>
        <v xml:space="preserve">{ number: 'R379' , name: 'Urtica Urens' }, </v>
      </c>
    </row>
    <row r="381" spans="1:1">
      <c r="A381" t="str">
        <f>CONCATENATE("{ number: '", remedies_names!A381, "' , name: '",remedies_names!B381, "' }, " )</f>
        <v xml:space="preserve">{ number: 'R380' , name: 'Ustilago Maidis' }, </v>
      </c>
    </row>
    <row r="382" spans="1:1">
      <c r="A382" t="str">
        <f>CONCATENATE("{ number: '", remedies_names!A382, "' , name: '",remedies_names!B382, "' }, " )</f>
        <v xml:space="preserve">{ number: 'R381' , name: 'V.A.B. (B.C.G.)' }, </v>
      </c>
    </row>
    <row r="383" spans="1:1">
      <c r="A383" t="str">
        <f>CONCATENATE("{ number: '", remedies_names!A383, "' , name: '",remedies_names!B383, "' }, " )</f>
        <v xml:space="preserve">{ number: 'R382' , name: 'Vaccinotoxinum' }, </v>
      </c>
    </row>
    <row r="384" spans="1:1">
      <c r="A384" t="str">
        <f>CONCATENATE("{ number: '", remedies_names!A384, "' , name: '",remedies_names!B384, "' }, " )</f>
        <v xml:space="preserve">{ number: 'R383' , name: 'Valeriana Officinal.' }, </v>
      </c>
    </row>
    <row r="385" spans="1:1">
      <c r="A385" t="str">
        <f>CONCATENATE("{ number: '", remedies_names!A385, "' , name: '",remedies_names!B385, "' }, " )</f>
        <v xml:space="preserve">{ number: 'R384' , name: 'Variolinum' }, </v>
      </c>
    </row>
    <row r="386" spans="1:1">
      <c r="A386" t="str">
        <f>CONCATENATE("{ number: '", remedies_names!A386, "' , name: '",remedies_names!B386, "' }, " )</f>
        <v xml:space="preserve">{ number: 'R385' , name: 'Veratrum Album' }, </v>
      </c>
    </row>
    <row r="387" spans="1:1">
      <c r="A387" t="str">
        <f>CONCATENATE("{ number: '", remedies_names!A387, "' , name: '",remedies_names!B387, "' }, " )</f>
        <v xml:space="preserve">{ number: 'R386' , name: 'Veratrum Viride' }, </v>
      </c>
    </row>
    <row r="388" spans="1:1">
      <c r="A388" t="str">
        <f>CONCATENATE("{ number: '", remedies_names!A388, "' , name: '",remedies_names!B388, "' }, " )</f>
        <v xml:space="preserve">{ number: 'R387' , name: 'Verbascum Thapsus' }, </v>
      </c>
    </row>
    <row r="389" spans="1:1">
      <c r="A389" t="str">
        <f>CONCATENATE("{ number: '", remedies_names!A389, "' , name: '",remedies_names!B389, "' }, " )</f>
        <v xml:space="preserve">{ number: 'R388' , name: 'Vespa Crabro(Frelon)' }, </v>
      </c>
    </row>
    <row r="390" spans="1:1">
      <c r="A390" t="str">
        <f>CONCATENATE("{ number: '", remedies_names!A390, "' , name: '",remedies_names!B390, "' }, " )</f>
        <v xml:space="preserve">{ number: 'R389' , name: 'Viburnum(Opul./Prun)' }, </v>
      </c>
    </row>
    <row r="391" spans="1:1">
      <c r="A391" t="str">
        <f>CONCATENATE("{ number: '", remedies_names!A391, "' , name: '",remedies_names!B391, "' }, " )</f>
        <v xml:space="preserve">{ number: 'R390' , name: 'Vinca Minor' }, </v>
      </c>
    </row>
    <row r="392" spans="1:1">
      <c r="A392" t="str">
        <f>CONCATENATE("{ number: '", remedies_names!A392, "' , name: '",remedies_names!B392, "' }, " )</f>
        <v xml:space="preserve">{ number: 'R391' , name: 'Viola Odorata' }, </v>
      </c>
    </row>
    <row r="393" spans="1:1">
      <c r="A393" t="str">
        <f>CONCATENATE("{ number: '", remedies_names!A393, "' , name: '",remedies_names!B393, "' }, " )</f>
        <v xml:space="preserve">{ number: 'R392' , name: 'Viola Tricolor' }, </v>
      </c>
    </row>
    <row r="394" spans="1:1">
      <c r="A394" t="str">
        <f>CONCATENATE("{ number: '", remedies_names!A394, "' , name: '",remedies_names!B394, "' }, " )</f>
        <v xml:space="preserve">{ number: 'R393' , name: 'Vipera (Redii/Torva)' }, </v>
      </c>
    </row>
    <row r="395" spans="1:1">
      <c r="A395" t="str">
        <f>CONCATENATE("{ number: '", remedies_names!A395, "' , name: '",remedies_names!B395, "' }, " )</f>
        <v xml:space="preserve">{ number: 'R394' , name: 'Viscum Album' }, </v>
      </c>
    </row>
    <row r="396" spans="1:1">
      <c r="A396" t="str">
        <f>CONCATENATE("{ number: '", remedies_names!A396, "' , name: '",remedies_names!B396, "' }, " )</f>
        <v xml:space="preserve">{ number: 'R395' , name: 'Xanthoxylum  Fraxin.' }, </v>
      </c>
    </row>
    <row r="397" spans="1:1">
      <c r="A397" t="str">
        <f>CONCATENATE("{ number: '", remedies_names!A397, "' , name: '",remedies_names!B397, "' }, " )</f>
        <v xml:space="preserve">{ number: 'R396' , name: 'Zincum Metallicum' }, </v>
      </c>
    </row>
    <row r="398" spans="1:1">
      <c r="A398" t="str">
        <f>CONCATENATE("{ number: '", remedies_names!A398, "' , name: '",remedies_names!B398, "' }, " )</f>
        <v xml:space="preserve">{ number: 'R397' , name: 'Zingiber Officinale' }, </v>
      </c>
    </row>
    <row r="399" spans="1:1">
      <c r="A399" t="str">
        <f>CONCATENATE("{ number: '", remedies_names!A399, "' , name: '",remedies_names!B399, "' }, " )</f>
        <v xml:space="preserve">{ number: 'R398' , name: 'Zizia Aurea' }, </v>
      </c>
    </row>
    <row r="400" spans="1:1">
      <c r="A400" t="s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403"/>
  <sheetViews>
    <sheetView topLeftCell="A373" workbookViewId="0">
      <selection activeCell="A400" sqref="A1:A400"/>
    </sheetView>
  </sheetViews>
  <sheetFormatPr defaultRowHeight="12.75"/>
  <cols>
    <col min="1" max="1" width="77.140625" customWidth="1"/>
  </cols>
  <sheetData>
    <row r="1" spans="1:3">
      <c r="A1" t="s">
        <v>803</v>
      </c>
      <c r="C1" t="s">
        <v>802</v>
      </c>
    </row>
    <row r="2" spans="1:3">
      <c r="A2" s="13" t="str">
        <f>jsRow(remedy_factors!A2:AL2, TRUE )</f>
        <v xml:space="preserve">[ -0.2154 , 0.3527 , -0.1886 , 0.1467 , 0.0454 , -0.1215 , -0.2863 , 0.1327 , 0.0407 , 0.005 , -0.0362 , 0.1499 , 0.0799 , 0.2348 , 0.0189 , 0.1722 , 0.177 , -0.0799 , 0.0904 , -0.0285 , -0.0884 , 0.0517 , -0.0461 , -0.1706 , 0.0166 , 0.061 , 0.1572 , 0.0618 , -0.2536 , -0.1542 , 0.1141 , 0.1184 , -0.0957 , 0.286 , -0.0738 , -0.0533 , -0.3841 , -0.2365 ]  , </v>
      </c>
    </row>
    <row r="3" spans="1:3">
      <c r="A3" s="13" t="str">
        <f>jsRow(remedy_factors!A3:AL3, TRUE )</f>
        <v xml:space="preserve">[ 0.0185 , 0.3912 , 0.0138 , 0.0824 , -0.0275 , 0.0821 , 0.0906 , 0.1705 , -0.1791 , -0.1022 , -0.0391 , -0.1741 , -0.0863 , 0.0077 , -0.028 , 0.1186 , -0.0596 , 0.1623 , 0.3352 , -0.0949 , -0.1444 , 0.1401 , -0.07 , 0.1118 , -0.1532 , 0.1106 , 0.3352 , 0.2009 , 0.0359 , -0.0149 , -0.1313 , -0.0673 , -0.2876 , 0.0211 , -0.3205 , -0.1975 , -0.2281 , -0.0201 ]  , </v>
      </c>
    </row>
    <row r="4" spans="1:3">
      <c r="A4" s="13" t="str">
        <f>jsRow(remedy_factors!A4:AL4, TRUE )</f>
        <v xml:space="preserve">[ 0.3373 , 0.046 , 0.1291 , -0.0027 , 0.3744 , -0.1477 , 0.2895 , -0.0339 , 0.214 , 0.02 , -0.1094 , -0.219 , 0.0472 , 0.028 , -0.0616 , -0.3098 , 0.0734 , 0.1011 , -0.0657 , -0.2137 , -0.0504 , 0.036 , -0.0849 , 0.2137 , 0.0369 , 0.1418 , 0.0389 , -0.1969 , 0.1595 , -0.1167 , 0.0596 , -0.0914 , 0.0186 , -0.0825 , -0.0855 , -0.2933 , 0.0722 , -0.2659 ]  , </v>
      </c>
    </row>
    <row r="5" spans="1:3">
      <c r="A5" s="13" t="str">
        <f>jsRow(remedy_factors!A5:AL5, TRUE )</f>
        <v xml:space="preserve">[ -0.123 , -0.2504 , 0.0621 , 0.2396 , 0.313 , -0.1808 , 0.1601 , 0.1532 , -0.0426 , -0.1873 , -0.2266 , -0.3135 , 0.0043 , 0.0816 , 0.001 , 0.0051 , 0.0113 , 0.105 , -0.0715 , 0.0592 , 0.0436 , 0.0048 , 0.3268 , -0.0067 , -0.065 , 0.2642 , -0.0501 , -0.1281 , 0.1873 , -0.3034 , -0.2468 , -0.0046 , 0.0154 , -0.1358 , 0.0359 , 0.1782 , 0.1505 , -0.0624 ]  , </v>
      </c>
    </row>
    <row r="6" spans="1:3">
      <c r="A6" s="13" t="str">
        <f>jsRow(remedy_factors!A6:AL6, TRUE )</f>
        <v xml:space="preserve">[ 0.1561 , -0.1416 , 0.1443 , 0.1591 , 0.0589 , -0.0196 , -0.1372 , -0.1323 , -0.0608 , 0.0344 , -0.0625 , -0.1828 , -0.0139 , -0.1236 , -0.1462 , 0.2458 , -0.4043 , -0.0117 , 0.1921 , -0.0824 , 0.2035 , 0.2783 , 0.0409 , -0.0336 , 0.1432 , -0.081 , -0.0693 , -0.1091 , 0.221 , -0.0221 , -0.2412 , 0.0641 , -0.2013 , -0.0216 , 0.2406 , 0.114 , 0.2592 , -0.2575 ]  , </v>
      </c>
    </row>
    <row r="7" spans="1:3">
      <c r="A7" s="13" t="str">
        <f>jsRow(remedy_factors!A7:AL7, TRUE )</f>
        <v xml:space="preserve">[ -0.2045 , -0.3811 , -0.0683 , -0.2056 , -0.1588 , -0.0339 , -0.1194 , 0.1731 , 0.1478 , 0.1901 , -0.018 , -0.2099 , 0.1333 , 0.0667 , 0.31 , -0.2883 , 0.0403 , 0.0351 , 0.0811 , -0.1839 , -0.1326 , 0.145 , 0.1704 , -0.0948 , -0.2526 , 0.032 , -0.0865 , 0.2682 , -0.1036 , 0.0398 , 0.0658 , 0.1849 , 0.036 , -0.0235 , 0.1529 , 0.1636 , 0.1546 , -0.0276 ]  , </v>
      </c>
    </row>
    <row r="8" spans="1:3">
      <c r="A8" s="13" t="str">
        <f>jsRow(remedy_factors!A8:AL8, TRUE )</f>
        <v xml:space="preserve">[ -0.4131 , 0.123 , 0.0713 , -0.1617 , -0.3705 , 0.0835 , -0.0257 , -0.2472 , 0.0899 , 0.2979 , -0.0291 , 0.1655 , -0.0074 , 0.2626 , -0.1008 , 0.0339 , 0.0341 , 0.1626 , -0.0639 , 0.114 , 0.0419 , -0.3927 , -0.1111 , 0.0834 , -0.1196 , 0.0761 , -0.0983 , -0.0856 , -0.041 , 0.1628 , 0.123 , 0.104 , 0.0928 , 0.2107 , -0.0831 , -0.01 , 0.0196 , 0.0054 ]  , </v>
      </c>
    </row>
    <row r="9" spans="1:3">
      <c r="A9" s="13" t="str">
        <f>jsRow(remedy_factors!A9:AL9, TRUE )</f>
        <v xml:space="preserve">[ 0.4409 , -0.3245 , 0.2165 , -0.0551 , 0.1428 , -0.1535 , -0.2047 , -0.1563 , 0.0444 , 0.2952 , 0.0135 , -0.0506 , -0.0489 , -0.0872 , 0.0517 , -0.1001 , -0.1783 , 0.2379 , -0.0135 , -0.0084 , 0.0798 , 0.2137 , 0.0388 , 0.1687 , 0.2671 , -0.1479 , -0.0129 , -0.0821 , 0.0202 , -0.135 , 0.0073 , -0.0163 , -0.0624 , -0.311 , -0.0416 , 0.0455 , -0.1569 , 0.0832 ]  , </v>
      </c>
    </row>
    <row r="10" spans="1:3">
      <c r="A10" s="13" t="str">
        <f>jsRow(remedy_factors!A10:AL10, TRUE )</f>
        <v xml:space="preserve">[ 0.3687 , -0.0878 , 0.2056 , 0.2491 , -0.1737 , 0.0003 , -0.3047 , 0.1653 , 0.0158 , 0.0334 , -0.0579 , 0.2166 , 0.2396 , -0.0945 , -0.305 , -0.0173 , 0.0645 , -0.2941 , 0.0541 , 0.0703 , -0.0084 , 0.1063 , -0.1581 , 0 , 0.0671 , 0.1184 , 0.0994 , 0.0688 , -0.2872 , -0.1077 , -0.1302 , 0.0838 , 0.0418 , -0.015 , 0.1374 , -0.2578 , -0.1273 , 0.0285 ]  , </v>
      </c>
    </row>
    <row r="11" spans="1:3">
      <c r="A11" s="13" t="str">
        <f>jsRow(remedy_factors!A11:AL11, TRUE )</f>
        <v xml:space="preserve">[ -0.1351 , 0.1879 , 0.0191 , 0.054 , 0.3467 , 0.0098 , 0.0946 , 0.2677 , -0.2529 , -0.0479 , -0.0362 , -0.0659 , -0.067 , 0.0814 , 0.0033 , -0.1291 , 0.4415 , 0.2119 , -0.1263 , -0.1557 , -0.0262 , 0.0616 , -0.3206 , -0.2462 , 0.1631 , -0.1347 , -0.1603 , 0.0759 , -0.0879 , 0.2336 , 0.008 , -0.0985 , 0.1189 , -0.1191 , -0.108 , -0.0471 , 0.0397 , -0.0514 ]  , </v>
      </c>
    </row>
    <row r="12" spans="1:3">
      <c r="A12" s="13" t="str">
        <f>jsRow(remedy_factors!A12:AL12, TRUE )</f>
        <v xml:space="preserve">[ -0.4342 , 0.2296 , -0.342 , 0.0073 , 0.0108 , -0.2204 , -0.0906 , 0.2567 , -0.0928 , 0.0824 , -0.0822 , 0.1894 , 0.2985 , -0.0065 , -0.1747 , 0.2763 , 0.0178 , -0.0018 , -0.0063 , -0.012 , -0.0614 , -0.0165 , -0.1865 , -0.0294 , -0.1298 , 0.0241 , 0.0382 , -0.0529 , 0.0384 , 0.3289 , 0.0775 , 0.1514 , -0.1788 , 0.069 , 0.1233 , 0.0441 , -0.0745 , -0.0704 ]  , </v>
      </c>
    </row>
    <row r="13" spans="1:3">
      <c r="A13" s="13" t="str">
        <f>jsRow(remedy_factors!A13:AL13, TRUE )</f>
        <v xml:space="preserve">[ -0.035 , 0.293 , -0.201 , 0.1776 , 0.2311 , 0.0904 , -0.173 , -0.0931 , 0.2021 , 0.0043 , 0.109 , 0.1846 , -0.0716 , 0.2182 , 0.0046 , 0.1022 , 0.0414 , -0.2876 , 0.1464 , -0.0347 , -0.1294 , 0.0942 , 0.2257 , -0.2171 , 0.0124 , -0.1232 , -0.1195 , 0.2726 , 0.0648 , -0.2502 , 0.0094 , 0.1138 , -0.2707 , -0.1044 , -0.0083 , -0.0514 , -0.2341 , -0.1859 ]  , </v>
      </c>
    </row>
    <row r="14" spans="1:3">
      <c r="A14" s="13" t="str">
        <f>jsRow(remedy_factors!A14:AL14, TRUE )</f>
        <v xml:space="preserve">[ 0.0175 , -0.3444 , -0.1817 , 0.0409 , 0.4594 , -0.0376 , -0.1567 , 0.2339 , -0.2758 , -0.1194 , -0.0839 , 0.0226 , -0.1511 , 0.3161 , 0.0613 , 0.2325 , 0.268 , -0.0425 , -0.0094 , 0.1737 , 0.0694 , -0.0468 , -0.1177 , 0.2185 , -0.0567 , -0.0347 , -0.1788 , 0.1148 , -0.0038 , -0.0669 , -0.1591 , -0.0032 , -0.0737 , -0.1325 , 0.0312 , 0.018 , 0.0067 , -0.0048 ]  , </v>
      </c>
    </row>
    <row r="15" spans="1:3">
      <c r="A15" s="13" t="str">
        <f>jsRow(remedy_factors!A15:AL15, TRUE )</f>
        <v xml:space="preserve">[ 0.2889 , -0.3774 , 0.1742 , -0.1934 , -0.1053 , 0.0516 , -0.3292 , 0.085 , -0.0516 , -0.0534 , -0.0416 , -0.0016 , 0.1126 , -0.2205 , -0.1355 , -0.0666 , 0.1374 , -0.0468 , -0.045 , -0.0116 , 0.0142 , 0.0695 , 0.1032 , -0.2492 , 0.2939 , -0.0545 , -0.065 , -0.2597 , 0.0024 , 0.0558 , 0.0934 , 0.3653 , -0.0768 , 0.0753 , 0.1887 , 0.065 , 0.0513 , 0.156 ]  , </v>
      </c>
    </row>
    <row r="16" spans="1:3">
      <c r="A16" s="13" t="str">
        <f>jsRow(remedy_factors!A16:AL16, TRUE )</f>
        <v xml:space="preserve">[ 0.2814 , 0.0887 , 0.1376 , -0.1092 , 0.0489 , -0.1081 , 0.1564 , -0.0177 , 0.0583 , -0.0322 , -0.0675 , -0.1798 , 0.032 , -0.111 , -0.05 , -0.3049 , 0.1271 , 0.0647 , -0.1432 , 0.2971 , 0.0545 , -0.0056 , -0.0032 , 0.1371 , 0.3284 , -0.1486 , -0.2478 , 0.0486 , -0.1277 , 0.1167 , 0.1688 , -0.0909 , -0.236 , 0.3256 , -0.0414 , -0.0293 , -0.089 , -0.3311 ]  , </v>
      </c>
    </row>
    <row r="17" spans="1:1">
      <c r="A17" s="13" t="str">
        <f>jsRow(remedy_factors!A17:AL17, TRUE )</f>
        <v xml:space="preserve">[ 0.2222 , 0.0741 , 0.2785 , 0.1524 , -0.0509 , -0.1453 , 0.0441 , 0.3107 , 0.0392 , -0.1096 , -0.3066 , -0.1004 , 0.1326 , -0.158 , -0.0677 , 0.0414 , 0.1797 , -0.0414 , -0.2879 , 0.2295 , -0.0533 , 0.0785 , -0.2344 , -0.3615 , 0.167 , 0.2241 , -0.0081 , -0.1299 , 0.0777 , -0.0276 , -0.0641 , -0.0173 , -0.013 , -0.1865 , 0.1965 , 0.0371 , -0.0216 , -0.0996 ]  , </v>
      </c>
    </row>
    <row r="18" spans="1:1">
      <c r="A18" s="13" t="str">
        <f>jsRow(remedy_factors!A18:AL18, TRUE )</f>
        <v xml:space="preserve">[ 0.3604 , -0.0215 , 0.1981 , -0.1668 , 0.3984 , -0.0996 , 0.2695 , -0.1135 , 0.1367 , -0.1479 , 0.0564 , 0.0898 , 0.2477 , 0.1827 , 0.1035 , -0.2784 , -0.2134 , -0.1024 , -0.1983 , -0.108 , -0.1699 , -0.0985 , -0.0271 , 0.0008 , -0.0446 , 0.1607 , -0.0932 , -0.1465 , 0.1241 , -0.1428 , -0.1219 , -0.0547 , 0.1688 , -0.0243 , 0.0536 , -0.101 , 0.0349 , -0.1113 ]  , </v>
      </c>
    </row>
    <row r="19" spans="1:1">
      <c r="A19" s="13" t="str">
        <f>jsRow(remedy_factors!A19:AL19, TRUE )</f>
        <v xml:space="preserve">[ 0.0466 , 0.2092 , -0.0858 , -0.1058 , -0.0186 , 0.1304 , 0.0701 , 0.0726 , 0.0367 , 0.0167 , 0.2061 , 0.1671 , 0.4027 , 0.2612 , 0.0547 , -0.1042 , 0.097 , 0.019 , -0.1339 , -0.1805 , -0.0054 , 0.0246 , 0.2125 , -0.0452 , -0.139 , 0.1865 , -0.493 , -0.1912 , -0.0452 , -0.222 , -0.1628 , 0.0309 , 0.084 , -0.1547 , -0.158 , -0.1011 , 0.0592 , -0.0355 ]  , </v>
      </c>
    </row>
    <row r="20" spans="1:1">
      <c r="A20" s="13" t="str">
        <f>jsRow(remedy_factors!A20:AL20, TRUE )</f>
        <v xml:space="preserve">[ -0.4385 , 0.5762 , -0.2137 , -0.1272 , -0.002 , 0.1007 , 0.0688 , 0.1054 , 0.1949 , -0.1766 , 0.1898 , -0.0568 , -0.1381 , 0.0245 , -0.0271 , 0.0016 , 0.0586 , -0.1852 , 0.118 , 0.0014 , 0.065 , -0.0985 , -0.0722 , -0.0223 , -0.1152 , 0.183 , 0.067 , -0.0879 , -0.1874 , -0.1082 , 0.1603 , 0.0401 , 0.0132 , -0.1212 , -0.0231 , -0.0379 , 0.1539 , 0.1186 ]  , </v>
      </c>
    </row>
    <row r="21" spans="1:1">
      <c r="A21" s="13" t="str">
        <f>jsRow(remedy_factors!A21:AL21, TRUE )</f>
        <v xml:space="preserve">[ 0.415 , -0.3443 , 0.0938 , -0.3877 , 0.3603 , -0.0699 , 0.0564 , -0.1506 , -0.0712 , -0.2158 , 0.2635 , 0.1085 , 0.0677 , -0.1081 , 0.1407 , -0.043 , -0.3252 , 0.1255 , 0.0443 , 0.0764 , 0.0056 , 0.023 , 0.0599 , -0.0629 , 0.0959 , -0.1341 , -0.0156 , 0.0247 , -0.0191 , -0.0764 , -0.0287 , -0.023 , -0.0577 , 0.066 , 0.1354 , 0.0716 , -0.1168 , 0.0317 ]  , </v>
      </c>
    </row>
    <row r="22" spans="1:1">
      <c r="A22" s="13" t="str">
        <f>jsRow(remedy_factors!A22:AL22, TRUE )</f>
        <v xml:space="preserve">[ 0.5156 , -0.3608 , 0.1517 , -0.3445 , 0.2792 , -0.1426 , -0.0719 , -0.1263 , 0.0363 , -0.1209 , 0.1946 , 0.0471 , 0.0526 , -0.0683 , -0.1868 , -0.1263 , -0.1372 , -0.0145 , 0.0363 , -0.0502 , 0.1058 , 0.2019 , 0.0671 , 0.1251 , 0.1094 , -0.188 , -0.0876 , 0.1148 , 0.032 , -0.0792 , 0.0175 , 0.0695 , 0.1287 , -0.1378 , -0.11 , 0.0206 , -0.0157 , 0.0677 ]  , </v>
      </c>
    </row>
    <row r="23" spans="1:1">
      <c r="A23" s="13" t="str">
        <f>jsRow(remedy_factors!A23:AL23, TRUE )</f>
        <v xml:space="preserve">[ 0.0641 , -0.2064 , 0.2062 , -0.1043 , 0.483 , 0.1138 , 0.2189 , -0.0847 , 0.1673 , -0.139 , 0.1083 , -0.0847 , -0.0101 , 0.0895 , -0.0728 , 0.2191 , 0.0352 , -0.1855 , 0.0736 , -0.145 , 0.0386 , -0.2414 , 0.0418 , 0.1027 , 0.0757 , 0.0363 , -0.1641 , 0.0013 , -0.1779 , -0.0199 , -0.0651 , -0.0431 , -0.3197 , -0.3107 , -0.013 , 0.1874 , -0.0437 , 0.1694 ]  , </v>
      </c>
    </row>
    <row r="24" spans="1:1">
      <c r="A24" s="13" t="str">
        <f>jsRow(remedy_factors!A24:AL24, TRUE )</f>
        <v xml:space="preserve">[ 0.381 , -0.0294 , 0.3341 , -0.2164 , -0.1465 , -0.3182 , 0.1005 , -0.2167 , -0.0763 , -0.0487 , 0.0512 , 0.1186 , 0.2275 , -0.0993 , -0.1355 , 0.0515 , -0.0227 , -0.1514 , 0.1143 , -0.0215 , -0.065 , -0.076 , -0.0135 , 0.0662 , 0.0276 , 0.2314 , 0.0046 , -0.072 , -0.1916 , -0.008 , -0.0331 , 0.0776 , -0.1634 , -0.0199 , 0.4482 , -0.1499 , -0.0037 , 0.0521 ]  , </v>
      </c>
    </row>
    <row r="25" spans="1:1">
      <c r="A25" s="13" t="str">
        <f>jsRow(remedy_factors!A25:AL25, TRUE )</f>
        <v xml:space="preserve">[ 0.3972 , -0.432 , -0.12 , -0.1812 , 0.1422 , -0.0218 , -0.1124 , 0.0398 , -0.138 , -0.1472 , 0.0235 , 0.211 , -0.1611 , 0.1325 , 0.1699 , -0.06 , 0.005 , -0.0071 , -0.0411 , 0.2101 , -0.0872 , 0.1439 , -0.1527 , 0.302 , 0.0784 , -0.1829 , -0.0466 , 0.1208 , -0.0478 , -0.2085 , -0.1812 , 0.1116 , 0.0206 , -0.1317 , 0.2257 , 0.0608 , 0.0491 , 0.0285 ]  , </v>
      </c>
    </row>
    <row r="26" spans="1:1">
      <c r="A26" s="13" t="str">
        <f>jsRow(remedy_factors!A26:AL26, TRUE )</f>
        <v xml:space="preserve">[ -0.1533 , -0.4042 , 0.3005 , -0.1929 , 0.0896 , 0.3607 , -0.2067 , 0.0588 , 0.3189 , 0.0181 , -0.2566 , -0.028 , 0.0627 , -0.1918 , 0.2453 , -0.0513 , -0.177 , 0.0329 , -0.0064 , -0.017 , 0.1865 , 0.1076 , -0.0966 , -0.0202 , 0.0287 , -0.2149 , -0.0619 , 0.1476 , -0.0506 , -0.1136 , 0.1306 , 0.1274 , 0.0138 , -0.0733 , -0.0432 , -0.0053 , 0.0927 , 0.0531 ]  , </v>
      </c>
    </row>
    <row r="27" spans="1:1">
      <c r="A27" s="13" t="str">
        <f>jsRow(remedy_factors!A27:AL27, TRUE )</f>
        <v xml:space="preserve">[ -0.1831 , 0.4978 , -0.3755 , 0.0216 , 0.0495 , -0.0875 , 0.0119 , 0.1874 , 0.0334 , 0.0689 , 0.0701 , 0.1168 , -0.0561 , 0.0502 , 0.0664 , 0.0829 , 0.0838 , 0.0215 , 0.1691 , -0.0225 , -0.0167 , -0.0811 , -0.2539 , 0.0192 , -0.1718 , 0.1846 , 0.1473 , -0.0733 , -0.0344 , -0.0701 , 0.2046 , 0.1157 , -0.2004 , 0.0254 , -0.4014 , -0.1668 , -0.0117 , -0.0186 ]  , </v>
      </c>
    </row>
    <row r="28" spans="1:1">
      <c r="A28" s="13" t="str">
        <f>jsRow(remedy_factors!A28:AL28, TRUE )</f>
        <v xml:space="preserve">[ 0.5748 , -0.2066 , -0.2906 , 0.1772 , 0.08 , 0.0461 , -0.0977 , -0.0044 , -0.1242 , 0.1733 , -0.1841 , -0.0064 , 0.238 , -0.3254 , 0.054 , -0.1649 , -0.242 , -0.0093 , 0.1615 , -0.0618 , 0.1065 , 0.0344 , -0.0275 , 0.0618 , 0.0589 , -0.1463 , -0.0486 , 0.0815 , -0.0098 , 0.1276 , 0.0663 , -0.1119 , -0.002 , -0.1222 , -0.0103 , 0.0177 , 0.1777 , -0.0358 ]  , </v>
      </c>
    </row>
    <row r="29" spans="1:1">
      <c r="A29" s="13" t="str">
        <f>jsRow(remedy_factors!A29:AL29, TRUE )</f>
        <v xml:space="preserve">[ 0.2585 , 0.006 , -0.369 , -0.0096 , 0.0109 , 0.2419 , 0.0801 , -0.0271 , -0.0453 , -0.0692 , -0.1618 , 0.1052 , -0.1704 , -0.0192 , 0.0404 , 0.041 , -0.2955 , 0.1301 , 0.1486 , 0.2141 , -0.0894 , 0.1344 , 0.1698 , -0.0867 , -0.0539 , -0.285 , -0.0414 , 0.0357 , 0.0556 , 0.0506 , 0.2469 , -0.1056 , -0.2558 , 0.232 , 0.0592 , -0.0999 , -0.2863 , 0.2002 ]  , </v>
      </c>
    </row>
    <row r="30" spans="1:1">
      <c r="A30" s="13" t="str">
        <f>jsRow(remedy_factors!A30:AL30, TRUE )</f>
        <v xml:space="preserve">[ -0.0815 , 0.0088 , 0.1886 , -0.0909 , -0.2834 , -0.3427 , 0.2265 , -0.1559 , -0.1914 , 0.0572 , -0.0973 , 0.2247 , 0.0165 , -0.3884 , -0.1004 , 0.2353 , -0.0249 , 0.1127 , -0.0137 , -0.052 , -0.1963 , 0.1808 , 0.1124 , -0.0671 , 0.2855 , 0.1348 , 0.0906 , 0.0706 , 0.2188 , -0.1004 , -0.0137 , -0.0021 , 0.1331 , -0.1563 , -0.0158 , -0.1229 , 0.1587 , 0.0386 ]  , </v>
      </c>
    </row>
    <row r="31" spans="1:1">
      <c r="A31" s="13" t="str">
        <f>jsRow(remedy_factors!A31:AL31, TRUE )</f>
        <v xml:space="preserve">[ 0.4366 , -0.3534 , -0.2825 , 0.2509 , 0.3556 , 0.1316 , 0.06 , 0.1 , -0.1974 , 0.0636 , -0.2472 , -0.0611 , 0.0484 , 0.0149 , -0.0796 , 0.0313 , -0.1283 , -0.1036 , 0.0211 , 0.0305 , 0.0694 , 0.0687 , -0.0389 , -0.0778 , -0.152 , -0.1131 , 0.0447 , -0.0382 , -0.0182 , 0.016 , -0.1222 , -0.1712 , 0.0524 , 0.0607 , -0.1636 , 0.212 , 0.2389 , 0.0396 ]  , </v>
      </c>
    </row>
    <row r="32" spans="1:1">
      <c r="A32" s="13" t="str">
        <f>jsRow(remedy_factors!A32:AL32, TRUE )</f>
        <v xml:space="preserve">[ 0.5403 , -0.225 , -0.0585 , 0.0705 , 0.1785 , -0.0501 , -0.0089 , 0.0856 , -0.2166 , 0.1248 , -0.1785 , 0.1472 , -0.0157 , -0.3591 , 0.106 , -0.2333 , -0.2114 , -0.0282 , 0.1853 , 0.0595 , 0.1096 , 0.0668 , -0.0047 , -0.0517 , 0.0355 , -0.2741 , -0.0506 , 0.0125 , 0.0151 , 0.0512 , 0.2234 , -0.153 , -0.0679 , -0.0177 , -0.0637 , 0.13 , 0.1107 , 0.0209 ]  , </v>
      </c>
    </row>
    <row r="33" spans="1:1">
      <c r="A33" s="13" t="str">
        <f>jsRow(remedy_factors!A33:AL33, TRUE )</f>
        <v xml:space="preserve">[ 0.2622 , 0.3918 , 0.1021 , -0.0688 , -0.13 , 0.0551 , 0.1289 , 0.209 , 0.036 , -0.0655 , 0.1146 , -0.1682 , -0.2764 , -0.3766 , 0.2976 , -0.0811 , 0.0776 , -0.1424 , 0.137 , 0.1079 , 0.0291 , -0.1102 , -0.1127 , -0.0844 , 0.0285 , 0.0709 , -0.0516 , -0.0349 , 0.1963 , 0.1797 , -0.2013 , -0.2223 , 0.0996 , -0.0077 , -0.1031 , -0.1797 , -0.021 , -0.0934 ]  , </v>
      </c>
    </row>
    <row r="34" spans="1:1">
      <c r="A34" s="13" t="str">
        <f>jsRow(remedy_factors!A34:AL34, TRUE )</f>
        <v xml:space="preserve">[ -0.0218 , -0.212 , 0.2047 , -0.04 , 0.4957 , 0.1305 , 0.2343 , 0.0985 , -0.2481 , -0.1436 , 0.1691 , -0.1456 , 0.0049 , -0.042 , -0.0233 , 0.0753 , 0.0736 , 0.1414 , -0.1167 , -0.034 , -0.1049 , -0.1276 , 0.092 , -0.3261 , 0.128 , -0.1527 , -0.1631 , 0.1556 , -0.0136 , 0.1049 , -0.1454 , -0.2592 , 0.102 , 0.0351 , -0.0313 , 0.0814 , -0.1451 , 0.1767 ]  , </v>
      </c>
    </row>
    <row r="35" spans="1:1">
      <c r="A35" s="13" t="str">
        <f>jsRow(remedy_factors!A35:AL35, TRUE )</f>
        <v xml:space="preserve">[ 0.0477 , -0.1717 , -0.1559 , 0.152 , -0.105 , 0.4338 , -0.1812 , 0.1262 , -0.2597 , 0.0575 , 0.2091 , -0.1573 , 0.0131 , -0.0801 , -0.0461 , -0.1694 , 0.2222 , -0.1223 , -0.1048 , -0.0076 , 0.0826 , 0.1473 , -0.2141 , 0.0497 , -0.0177 , 0.058 , 0.11 , -0.207 , -0.1902 , 0.3987 , -0.119 , 0.0896 , 0.1103 , -0.0156 , 0.1153 , 0.123 , -0.1473 , -0.0743 ]  , </v>
      </c>
    </row>
    <row r="36" spans="1:1">
      <c r="A36" s="13" t="str">
        <f>jsRow(remedy_factors!A36:AL36, TRUE )</f>
        <v xml:space="preserve">[ -0.0081 , -0.4924 , -0.0479 , 0.2391 , 0.3719 , -0.2266 , 0.1784 , 0.0653 , -0.0067 , 0.1166 , 0.0708 , -0.2347 , 0.0522 , 0.0049 , 0.3104 , -0.1668 , -0.0267 , 0.0252 , -0.0862 , 0.0026 , -0.0696 , 0.065 , 0.2057 , 0.0119 , -0.0891 , 0.2164 , -0.1967 , -0.0966 , 0.0937 , -0.1776 , -0.2043 , -0.0476 , 0.0209 , -0.0331 , 0.1285 , -0.0328 , 0.0711 , -0.0026 ]  , </v>
      </c>
    </row>
    <row r="37" spans="1:1">
      <c r="A37" s="13" t="str">
        <f>jsRow(remedy_factors!A37:AL37, TRUE )</f>
        <v xml:space="preserve">[ 0.1018 , -0.1199 , 0.2733 , -0.0679 , 0.0061 , -0.1854 , 0.0013 , -0.1881 , -0.049 , 0.39 , -0.0458 , -0.1465 , -0.0461 , 0.1944 , -0.1484 , 0.0743 , 0.2253 , 0.0471 , -0.1502 , -0.2437 , 0.0445 , -0.2387 , 0.1276 , 0.0621 , 0.0661 , -0.0764 , -0.2517 , -0.2834 , -0.1556 , 0.1878 , 0.1284 , 0.159 , -0.1215 , -0.0405 , -0.0104 , 0.1244 , 0.2706 , 0.0796 ]  , </v>
      </c>
    </row>
    <row r="38" spans="1:1">
      <c r="A38" s="13" t="str">
        <f>jsRow(remedy_factors!A38:AL38, TRUE )</f>
        <v xml:space="preserve">[ 0.0909 , 0.1102 , -0.0045 , -0.1789 , 0.0199 , 0.0627 , -0.1079 , -0.298 , 0.1643 , -0.1432 , 0.1715 , 0.2811 , -0.0487 , 0.4531 , -0.3916 , -0.1313 , 0.0374 , -0.1911 , -0.0306 , 0.0181 , -0.0354 , 0.3334 , -0.0199 , -0.0395 , -0.1304 , -0.1628 , 0.1257 , -0.0648 , 0.1477 , 0.0544 , -0.0196 , 0.0196 , 0.1073 , -0.0912 , -0.0193 , 0.0556 , 0.0606 , -0.1973 ]  , </v>
      </c>
    </row>
    <row r="39" spans="1:1">
      <c r="A39" s="13" t="str">
        <f>jsRow(remedy_factors!A39:AL39, TRUE )</f>
        <v xml:space="preserve">[ -0.1677 , 0.1853 , -0.1018 , -0.1755 , -0.195 , 0.1977 , 0.0646 , -0.0514 , 0.1896 , -0.2207 , 0.0584 , 0.2089 , 0.1474 , 0.1639 , -0.2258 , -0.1834 , 0.2348 , 0.1635 , 0.0712 , -0.0697 , 0.3284 , 0.3766 , -0.1549 , -0.0479 , -0.1404 , -0.0944 , 0.0161 , -0.169 , -0.1805 , -0.0853 , -0.1453 , 0.0576 , 0.0219 , -0.0754 , -0.126 , -0.0693 , 0.1756 , 0.0214 ]  , </v>
      </c>
    </row>
    <row r="40" spans="1:1">
      <c r="A40" s="13" t="str">
        <f>jsRow(remedy_factors!A40:AL40, TRUE )</f>
        <v xml:space="preserve">[ -0.2063 , 0.1129 , -0.0046 , 0.2559 , 0.2432 , 0.0887 , -0.2342 , -0.0675 , 0.0227 , 0.0409 , 0.0257 , -0.2524 , -0.1393 , 0.0924 , -0.1197 , 0.2794 , -0.1052 , -0.1188 , 0.2834 , -0.2394 , 0.0923 , -0.0585 , 0.0102 , -0.1908 , -0.0655 , 0.0732 , 0.0137 , -0.0164 , -0.0152 , -0.0624 , -0.2474 , -0.1917 , 0.0016 , 0.186 , 0.0921 , 0.1557 , 0.397 , -0.1317 ]  , </v>
      </c>
    </row>
    <row r="41" spans="1:1">
      <c r="A41" s="13" t="str">
        <f>jsRow(remedy_factors!A41:AL41, TRUE )</f>
        <v xml:space="preserve">[ -0.0594 , -0.4133 , -0.1632 , 0.0803 , -0.1027 , 0.0654 , 0.6541 , 0.0058 , 0.0278 , 0.3522 , 0.2327 , -0.0851 , 0.0267 , 0.0955 , -0.0735 , 0.0674 , -0.1048 , -0.1226 , -0.0193 , 0.024 , -0.1431 , 0.0758 , -0.0397 , -0.0831 , 0.1669 , -0.0736 , -0.0712 , -0.083 , -0.0497 , 0.0091 , -0.0202 , -0.0557 , 0.1163 , -0.017 , -0.0596 , -0.0179 , -0.0286 , -0.1116 ]  , </v>
      </c>
    </row>
    <row r="42" spans="1:1">
      <c r="A42" s="13" t="str">
        <f>jsRow(remedy_factors!A42:AL42, TRUE )</f>
        <v xml:space="preserve">[ -0.3183 , -0.2445 , 0.1221 , 0.4004 , 0.3091 , -0.2287 , -0.2153 , 0.1169 , -0.1012 , 0.018 , 0.037 , 0.0805 , 0.0099 , 0.1554 , -0.1201 , 0.0496 , 0.0953 , 0.0426 , -0.0508 , -0.0509 , 0.0073 , -0.2362 , 0.0924 , 0.1575 , -0.0529 , -0.0989 , -0.1478 , -0.1428 , -0.2301 , 0.2868 , 0.1491 , 0.1409 , 0.1124 , 0.1106 , -0.0274 , -0.1749 , 0.0026 , -0.0523 ]  , </v>
      </c>
    </row>
    <row r="43" spans="1:1">
      <c r="A43" s="13" t="str">
        <f>jsRow(remedy_factors!A43:AL43, TRUE )</f>
        <v xml:space="preserve">[ 0.3051 , -0.441 , -0.0231 , -0.1439 , 0.3817 , -0.0401 , 0.2208 , 0.0885 , 0.2404 , 0.016 , -0.1333 , -0.1535 , 0.158 , 0.1279 , 0.0519 , -0.3176 , 0.0747 , -0.0035 , -0.1449 , 0.0337 , -0.142 , 0.1542 , 0.076 , -0.0987 , -0.159 , 0.1051 , 0.1343 , -0.1548 , 0.0718 , -0.0647 , -0.0022 , -0.0878 , 0.0558 , 0.0516 , -0.1442 , -0.1728 , 0.0423 , 0.0471 ]  , </v>
      </c>
    </row>
    <row r="44" spans="1:1">
      <c r="A44" s="13" t="str">
        <f>jsRow(remedy_factors!A44:AL44, TRUE )</f>
        <v xml:space="preserve">[ 0.2235 , -0.1142 , -0.0174 , 0.152 , -0.1483 , 0.0622 , 0.1451 , 0.0515 , 0.0274 , -0.0255 , -0.2597 , 0.091 , -0.1555 , 0.3544 , -0.1372 , -0.0404 , -0.1752 , -0.178 , -0.1049 , 0.0448 , 0.198 , -0.0715 , 0.0074 , -0.039 , -0.0269 , -0.1219 , 0.2117 , 0.0678 , -0.2421 , 0.1372 , -0.0037 , -0.0833 , -0.2836 , -0.3157 , 0.285 , 0.201 , 0.12 , 0.1725 ]  , </v>
      </c>
    </row>
    <row r="45" spans="1:1">
      <c r="A45" s="13" t="str">
        <f>jsRow(remedy_factors!A45:AL45, TRUE )</f>
        <v xml:space="preserve">[ -0.1178 , -0.4798 , 0.1913 , 0.2009 , 0.3929 , -0.2747 , -0.077 , -0.0397 , -0.1203 , -0.0383 , -0.1033 , 0.2374 , 0.2183 , -0.2168 , -0.1569 , -0.0891 , -0.1111 , 0.1324 , 0.0252 , 0.1494 , 0.1054 , 0.1114 , 0.1114 , -0.0146 , -0.0894 , -0.1987 , 0.0028 , 0.0202 , 0.1331 , -0.028 , 0.0185 , -0.1466 , 0.1703 , 0.0614 , 0.1072 , -0.0969 , -0.0149 , 0.0195 ]  , </v>
      </c>
    </row>
    <row r="46" spans="1:1">
      <c r="A46" s="13" t="str">
        <f>jsRow(remedy_factors!A46:AL46, TRUE )</f>
        <v xml:space="preserve">[ 0.3229 , -0.2641 , 0.0817 , -0.0076 , 0.2649 , -0.4435 , -0.0023 , -0.2794 , -0.1649 , 0.1374 , 0.0939 , 0.2557 , 0.0534 , -0.1206 , -0.0015 , 0.2779 , 0.0802 , 0.0588 , -0.0786 , -0.1565 , -0.0321 , 0.1588 , -0.0115 , 0.0885 , -0.1519 , 0.1687 , 0.1183 , -0.1198 , -0.1092 , -0.0137 , -0.0885 , -0.0305 , -0.0344 , 0.1947 , 0.0481 , -0.1939 , -0.0504 , -0.0489 ]  , </v>
      </c>
    </row>
    <row r="47" spans="1:1">
      <c r="A47" s="13" t="str">
        <f>jsRow(remedy_factors!A47:AL47, TRUE )</f>
        <v xml:space="preserve">[ -0.345 , 0.1124 , -0.2434 , -0.0368 , 0.1738 , -0.0258 , -0.0083 , -0.0349 , -0.1871 , 0.097 , 0.0099 , 0.0282 , -0.055 , 0.0182 , 0.0116 , -0.2398 , -0.1949 , 0.1232 , 0.1351 , -0.2671 , 0.177 , 0.1833 , -0.0385 , -0.1145 , 0.0449 , -0.1357 , 0.1287 , -0.047 , -0.0891 , -0.039 , -0.1808 , -0.0351 , 0.0699 , 0.1581 , 0.3914 , 0.3598 , 0.2013 , -0.1069 ]  , </v>
      </c>
    </row>
    <row r="48" spans="1:1">
      <c r="A48" s="13" t="str">
        <f>jsRow(remedy_factors!A48:AL48, TRUE )</f>
        <v xml:space="preserve">[ 0.2731 , -0.473 , -0.003 , -0.3918 , 0.1778 , -0.0545 , -0.2571 , -0.0812 , -0.0589 , -0.2844 , 0.2202 , 0.1737 , 0.1602 , 0.0234 , 0.0047 , 0.0176 , 0.1792 , -0.1641 , 0.0518 , 0.1357 , -0.0694 , 0.1247 , 0.1192 , 0.0672 , -0.0146 , -0.1809 , -0.0369 , 0.1649 , -0.1363 , -0.0523 , -0.0405 , 0.1154 , -0.0143 , -0.011 , 0.1448 , 0.0138 , 0.063 , 0.0944 ]  , </v>
      </c>
    </row>
    <row r="49" spans="1:1">
      <c r="A49" s="13" t="str">
        <f>jsRow(remedy_factors!A49:AL49, TRUE )</f>
        <v xml:space="preserve">[ 0.264 , -0.3333 , 0.0569 , -0.2184 , 0.3515 , -0.0306 , -0.0021 , -0.1352 , 0.0241 , -0.2281 , -0.0204 , 0.0521 , 0.058 , -0.1165 , -0.0687 , -0.0016 , -0.0848 , -0.2034 , 0.1175 , 0.1556 , 0.3107 , -0.0032 , 0.0021 , 0.0494 , 0.0617 , -0.0665 , 0.1851 , 0.0601 , -0.1057 , -0.0306 , 0.007 , -0.0204 , 0.3311 , -0.3225 , 0.1111 , -0.0011 , 0.0569 , -0.2732 ]  , </v>
      </c>
    </row>
    <row r="50" spans="1:1">
      <c r="A50" s="13" t="str">
        <f>jsRow(remedy_factors!A50:AL50, TRUE )</f>
        <v xml:space="preserve">[ 0.2135 , -0.5563 , -0.2767 , -0.1082 , 0.0962 , 0.0073 , 0.0278 , 0.1422 , -0.175 , -0.1189 , -0.0622 , 0.0972 , 0.0808 , 0.191 , -0.0784 , 0.0454 , 0.2358 , -0.3233 , 0.0354 , 0.1183 , -0.0217 , 0.1031 , -0.0273 , 0.2806 , 0.0517 , -0.0555 , 0.0227 , 0.1479 , -0.2451 , 0.0932 , -0.077 , -0.0073 , 0.1957 , 0.0249 , 0.0539 , -0.0373 , -0.0342 , -0.0622 ]  , </v>
      </c>
    </row>
    <row r="51" spans="1:1">
      <c r="A51" s="13" t="str">
        <f>jsRow(remedy_factors!A51:AL51, TRUE )</f>
        <v xml:space="preserve">[ 0.3558 , -0.2799 , -0.0129 , 0.133 , -0.0045 , 0.1409 , -0.1305 , -0.2491 , -0.0834 , -0.2064 , -0.2546 , 0.1801 , 0.0804 , 0.0794 , 0.0208 , -0.062 , -0.0089 , -0.0948 , 0.0357 , 0.1876 , 0.1245 , -0.0129 , 0.0675 , -0.1647 , 0.1573 , -0.1811 , 0.0243 , 0.0159 , -0.0566 , 0.0715 , 0.1905 , 0.0888 , -0.1697 , 0.0323 , 0.3702 , -0.0675 , -0.3687 , 0.0576 ]  , </v>
      </c>
    </row>
    <row r="52" spans="1:1">
      <c r="A52" s="13" t="str">
        <f>jsRow(remedy_factors!A52:AL52, TRUE )</f>
        <v xml:space="preserve">[ -0.0746 , -0.1545 , 0.1097 , -0.2416 , -0.2399 , 0.2314 , 0.1211 , -0.1368 , -0.055 , -0.0049 , -0.0809 , 0.2897 , 0.0291 , -0.3742 , -0.3133 , 0.1342 , -0.0229 , 0.0779 , 0.017 , -0.0196 , 0.2193 , -0.0537 , -0.0609 , 0.0321 , 0.0655 , -0.0088 , -0.0196 , 0.1486 , 0.0589 , -0.327 , 0.2442 , -0.1136 , 0.0409 , 0.22 , 0.1015 , -0.0517 , -0.0507 , 0.2583 ]  , </v>
      </c>
    </row>
    <row r="53" spans="1:1">
      <c r="A53" s="13" t="str">
        <f>jsRow(remedy_factors!A53:AL53, TRUE )</f>
        <v xml:space="preserve">[ -0.1787 , -0.0459 , -0.0248 , 0.0448 , -0.2038 , -0.214 , -0.039 , 0.3384 , 0.097 , -0.0522 , -0.0671 , 0.1079 , 0.2242 , -0.0258 , 0.0722 , 0.502 , -0.1583 , 0.0555 , -0.2469 , 0.0111 , -0.0536 , 0.1184 , -0.075 , -0.1485 , -0.197 , -0.1553 , -0.1112 , 0.0244 , 0.2627 , 0.0833 , -0.2237 , 0.0114 , 0.1337 , 0.2142 , 0.0826 , -0.0875 , 0.023 , -0.0956 ]  , </v>
      </c>
    </row>
    <row r="54" spans="1:1">
      <c r="A54" s="13" t="str">
        <f>jsRow(remedy_factors!A54:AL54, TRUE )</f>
        <v xml:space="preserve">[ 0.1054 , -0.4471 , 0.2967 , 0.1791 , 0.1349 , -0.2012 , -0.3543 , -0.2982 , -0.1898 , 0.0588 , 0.0364 , -0.1128 , 0.0146 , -0.063 , -0.0898 , 0.0239 , 0.0597 , 0.0645 , 0.0367 , 0.1481 , 0.0301 , -0.1866 , 0.1409 , 0.0487 , 0.1961 , 0.0293 , -0.014 , 0.0009 , 0.1272 , 0.006 , -0.1036 , 0.0454 , 0.2063 , 0.1794 , 0.1979 , -0.1466 , -0.1878 , 0.0358 ]  , </v>
      </c>
    </row>
    <row r="55" spans="1:1">
      <c r="A55" s="13" t="str">
        <f>jsRow(remedy_factors!A55:AL55, TRUE )</f>
        <v xml:space="preserve">[ 0.237 , -0.3363 , 0.288 , -0.0467 , 0.2113 , -0.1954 , -0.1575 , -0.1883 , 0.2445 , 0.0744 , -0.0364 , -0.0071 , 0.1772 , -0.1998 , -0.1507 , 0.1472 , 0.2006 , 0.1155 , -0.019 , 0.2318 , 0.0688 , -0.07 , 0.0095 , -0.1393 , 0.0538 , -0.0142 , 0.0051 , -0.0831 , -0.1139 , 0.0882 , 0.2041 , 0.0158 , -0.0447 , -0.129 , 0.0435 , 0.0732 , -0.1717 , -0.394 ]  , </v>
      </c>
    </row>
    <row r="56" spans="1:1">
      <c r="A56" s="13" t="str">
        <f>jsRow(remedy_factors!A56:AL56, TRUE )</f>
        <v xml:space="preserve">[ 0.2604 , -0.5182 , -0.1816 , -0.0919 , 0.1795 , -0.0849 , -0.0797 , 0.0516 , -0.3143 , -0.0722 , -0.0565 , 0.0341 , -0.0783 , -0.1068 , 0.0171 , -0.1598 , 0.0429 , 0.0039 , 0.0959 , 0.2924 , -0.0757 , -0.0626 , 0.0241 , 0.1379 , -0.0893 , 0.0394 , 0.1282 , 0.1471 , 0.1112 , -0.2145 , 0.0118 , 0.0643 , 0.2823 , -0.2149 , 0.1287 , 0.1567 , 0.102 , 0.0932 ]  , </v>
      </c>
    </row>
    <row r="57" spans="1:1">
      <c r="A57" s="13" t="str">
        <f>jsRow(remedy_factors!A57:AL57, TRUE )</f>
        <v xml:space="preserve">[ -0.2823 , -0.3929 , 0.007 , 0.282 , 0.2207 , 0.1373 , -0.2188 , -0.3413 , 0.4293 , 0.0313 , 0.0596 , 0.0607 , 0.0626 , -0.1487 , 0.0189 , -0.0907 , 0.1519 , 0.1635 , 0.0332 , -0.0229 , -0.0054 , 0.0845 , 0.0869 , 0.1311 , -0.0216 , -0.014 , -0.0054 , 0.1077 , -0.2823 , -0.0173 , -0.0167 , -0.1147 , 0.0294 , 0.0618 , 0.0059 , -0.0623 , -0.1668 , 0.0429 ]  , </v>
      </c>
    </row>
    <row r="58" spans="1:1">
      <c r="A58" s="13" t="str">
        <f>jsRow(remedy_factors!A58:AL58, TRUE )</f>
        <v xml:space="preserve">[ 0.36 , -0.4293 , -0.1728 , 0.1859 , 0.1056 , -0.2269 , -0.1547 , 0.1816 , -0.2043 , 0.0179 , -0.0968 , 0.1075 , -0.0048 , -0.2213 , 0.0864 , 0.208 , -0.1299 , -0.0381 , 0.0229 , -0.0192 , 0.0043 , -0.0152 , -0.0731 , 0.2283 , -0.0981 , -0.1781 , 0.0245 , 0.0237 , 0.0325 , 0.4341 , 0.0397 , 0.0563 , -0.024 , 0.0675 , -0.0536 , -0.0643 , 0.0917 , -0.0728 ]  , </v>
      </c>
    </row>
    <row r="59" spans="1:1">
      <c r="A59" s="13" t="str">
        <f>jsRow(remedy_factors!A59:AL59, TRUE )</f>
        <v xml:space="preserve">[ -0.1499 , 0.0716 , -0.0301 , -0.0961 , -0.3519 , 0.0577 , -0.1013 , 0.0398 , 0.0468 , -0.0968 , -0.3708 , 0.1321 , 0.029 , 0.0052 , 0.0849 , 0.2439 , -0.1006 , -0.0308 , 0.0968 , 0.0989 , -0.0999 , 0.1538 , 0.2656 , -0.073 , 0.1663 , 0.05 , -0.0772 , 0.1933 , 0.0958 , 0.2341 , 0.1796 , -0.1702 , -0.0175 , 0.1677 , -0.1985 , 0.0206 , -0.4242 , -0.05 ]  , </v>
      </c>
    </row>
    <row r="60" spans="1:1">
      <c r="A60" s="13" t="str">
        <f>jsRow(remedy_factors!A60:AL60, TRUE )</f>
        <v xml:space="preserve">[ -0.17 , -0.3468 , -0.0803 , -0.0223 , -0.042 , -0.1195 , -0.2587 , -0.1231 , -0.2063 , 0.2664 , -0.1089 , 0.2467 , -0.0026 , -0.0428 , -0.0238 , -0.0275 , -0.1052 , 0.2076 , 0.0682 , 0.0638 , 0.2789 , 0.1508 , -0.2644 , 0.071 , 0.4206 , 0.0433 , -0.0117 , -0.1285 , 0.0583 , -0.0614 , -0.035 , 0.0765 , -0.0941 , 0.0459 , 0.0658 , 0.0319 , -0.1107 , 0.2825 ]  , </v>
      </c>
    </row>
    <row r="61" spans="1:1">
      <c r="A61" s="13" t="str">
        <f>jsRow(remedy_factors!A61:AL61, TRUE )</f>
        <v xml:space="preserve">[ -0.5109 , -0.0838 , -0.1605 , 0.1967 , 0.0352 , 0.0279 , -0.149 , 0.0906 , -0.0376 , 0.1088 , 0.0115 , -0.0086 , 0.0611 , 0.2715 , 0.0545 , -0.0234 , 0.0115 , 0.025 , 0.2905 , -0.0212 , 0.0699 , -0.0629 , 0.0205 , 0.1262 , 0.3585 , 0.169 , -0.1399 , -0.1629 , 0.0503 , -0.2812 , -0.1728 , -0.2614 , 0.016 , 0.1503 , 0.0392 , 0.0119 , 0.0225 , -0.1476 ]  , </v>
      </c>
    </row>
    <row r="62" spans="1:1">
      <c r="A62" s="13" t="str">
        <f>jsRow(remedy_factors!A62:AL62, TRUE )</f>
        <v xml:space="preserve">[ -0.1405 , 0.178 , -0.2342 , -0.1406 , -0.3029 , 0.084 , -0.0539 , 0.0979 , 0.3788 , 0.1832 , 0.2277 , 0.0393 , -0.3413 , -0.229 , 0.0046 , 0.1962 , -0.0251 , -0.0016 , -0.0446 , -0.2182 , 0.0442 , 0.053 , -0.1459 , 0.1364 , -0.1362 , 0.2005 , -0.0412 , -0.2083 , 0.211 , -0.0789 , 0.0287 , 0.0395 , -0.0506 , 0.2123 , -0.0967 , 0.0072 , 0.1093 , 0.0622 ]  , </v>
      </c>
    </row>
    <row r="63" spans="1:1">
      <c r="A63" s="13" t="str">
        <f>jsRow(remedy_factors!A63:AL63, TRUE )</f>
        <v xml:space="preserve">[ 0.1078 , -0.0274 , -0.0531 , 0.1505 , -0.2802 , 0.0072 , -0.1078 , 0.1603 , 0.2043 , 0.0472 , 0.128 , 0.2769 , -0.5926 , 0.0176 , -0.0762 , -0.0225 , -0.1889 , -0.0648 , -0.03 , 0.0795 , -0.0114 , -0.1759 , 0.0225 , 0.1306 , 0.0948 , 0.0026 , -0.0228 , -0.3355 , 0.0974 , 0.2228 , -0.0134 , -0.1036 , 0.2082 , 0.0143 , 0.0489 , 0.1199 , 0.027 , -0.0508 ]  , </v>
      </c>
    </row>
    <row r="64" spans="1:1">
      <c r="A64" s="13" t="str">
        <f>jsRow(remedy_factors!A64:AL64, TRUE )</f>
        <v xml:space="preserve">[ -0.1793 , 0.0375 , -0.2304 , -0.0301 , -0.3774 , 0.2648 , -0.1465 , -0.1118 , 0.36 , 0.1202 , 0.205 , 0.0961 , -0.3051 , -0.1853 , -0.0747 , 0.0649 , 0.0356 , 0.0132 , -0.0509 , -0.2054 , 0.1054 , 0.0684 , -0.0892 , 0.1604 , 0.0592 , 0.2762 , 0.0797 , -0.1997 , 0.0427 , -0.0904 , 0.0936 , 0.0527 , 0.0085 , 0.2179 , 0.0009 , 0.116 , -0.1685 , -0.0279 ]  , </v>
      </c>
    </row>
    <row r="65" spans="1:1">
      <c r="A65" s="13" t="str">
        <f>jsRow(remedy_factors!A65:AL65, TRUE )</f>
        <v xml:space="preserve">[ 0.4238 , -0.3883 , 0.0263 , -0.3541 , 0.2835 , -0.1829 , -0.2073 , -0.1734 , 0.1174 , 0.1258 , 0.0322 , -0.0387 , 0.0538 , 0.0081 , -0.0185 , 0.1261 , -0.2605 , 0.0633 , 0.1359 , 0.0835 , 0.016 , -0.0266 , 0.0367 , -0.0978 , 0.1037 , 0.0605 , -0.012 , -0.0339 , 0.2199 , 0.0067 , -0.1527 , -0.0524 , 0.0527 , 0.1569 , 0.0801 , -0.1073 , 0.107 , -0.2219 ]  , </v>
      </c>
    </row>
    <row r="66" spans="1:1">
      <c r="A66" s="13" t="str">
        <f>jsRow(remedy_factors!A66:AL66, TRUE )</f>
        <v xml:space="preserve">[ -0.2472 , -0.1999 , -0.1519 , 0.2323 , 0.1848 , -0.1196 , -0.1951 , 0.3376 , -0.2117 , 0.0834 , -0.0532 , -0.0613 , -0.0904 , 0.3183 , -0.0769 , 0.2619 , 0.2952 , 0.055 , 0.1425 , 0.1115 , -0.0407 , -0.1066 , 0.0799 , 0.011 , -0.1465 , 0.1513 , -0.1739 , 0.0729 , -0.1767 , -0.2259 , 0.0843 , -0.0079 , -0.0379 , 0.1357 , -0.2043 , -0.0672 , 0.0341 , 0.0048 ]  , </v>
      </c>
    </row>
    <row r="67" spans="1:1">
      <c r="A67" s="13" t="str">
        <f>jsRow(remedy_factors!A67:AL67, TRUE )</f>
        <v xml:space="preserve">[ 0.066 , 0.0898 , -0.3539 , -0.1394 , 0.4613 , -0.0165 , -0.4187 , -0.102 , 0.0025 , 0.0921 , 0.0165 , 0.3422 , -0.0277 , 0.216 , 0.1314 , 0.067 , 0.1846 , -0.0116 , 0.053 , 0.1447 , -0.1647 , -0.1186 , 0.0782 , 0.024 , -0.0117 , 0.0219 , -0.1532 , 0.0949 , -0.069 , -0.203 , 0.0231 , 0.0365 , -0.1154 , -0.1702 , 0.0731 , 0.0253 , -0.0979 , -0.0671 ]  , </v>
      </c>
    </row>
    <row r="68" spans="1:1">
      <c r="A68" s="13" t="str">
        <f>jsRow(remedy_factors!A68:AL68, TRUE )</f>
        <v xml:space="preserve">[ 0.0399 , 0.0191 , -0.4712 , -0.1592 , 0.3214 , 0.113 , -0.1651 , -0.2144 , -0.0552 , 0.0268 , -0.0356 , 0.3155 , -0.1794 , 0.2346 , 0.1569 , -0.0834 , 0.0877 , 0.2016 , 0.1466 , 0.189 , -0.1634 , 0.0609 , 0.0342 , -0.0356 , -0.0379 , -0.1125 , -0.0421 , 0.0023 , 0.1654 , -0.1335 , 0.0549 , -0.0419 , -0.2315 , -0.0293 , 0.2377 , -0.1071 , -0.0051 , -0.1065 ]  , </v>
      </c>
    </row>
    <row r="69" spans="1:1">
      <c r="A69" s="13" t="str">
        <f>jsRow(remedy_factors!A69:AL69, TRUE )</f>
        <v xml:space="preserve">[ -0.336 , -0.4729 , -0.1778 , -0.0467 , -0.2052 , -0.0806 , -0.0399 , 0.1159 , -0.191 , 0.0521 , -0.0997 , 0.0786 , 0.0572 , 0.392 , 0.2691 , 0.0231 , -0.0775 , 0.0718 , 0.3244 , 0.0644 , -0.1029 , -0.0251 , -0.1132 , -0.0388 , 0.2026 , 0.053 , -0.1108 , 0.1567 , 0.1412 , -0.0067 , 0.0411 , -0.0519 , 0.0335 , -0.0351 , -0.0038 , -0.0542 , 0.0396 , 0.151 ]  , </v>
      </c>
    </row>
    <row r="70" spans="1:1">
      <c r="A70" s="13" t="str">
        <f>jsRow(remedy_factors!A70:AL70, TRUE )</f>
        <v xml:space="preserve">[ 0.2408 , -0.3549 , -0.0265 , 0.2712 , 0.0338 , -0.0195 , -0.2443 , -0.4742 , 0.0928 , -0.1189 , 0.2633 , -0.079 , 0.0729 , -0.0746 , 0.1367 , -0.0295 , -0.0187 , 0.2213 , -0.1306 , -0.2148 , -0.1354 , -0.0755 , -0.2039 , 0.1514 , 0.1918 , -0.013 , 0.0256 , 0.177 , -0.0187 , 0.0226 , 0.0447 , 0.0295 , 0.2104 , -0.0434 , 0.0499 , 0.0642 , -0.0221 , 0.0095 ]  , </v>
      </c>
    </row>
    <row r="71" spans="1:1">
      <c r="A71" s="13" t="str">
        <f>jsRow(remedy_factors!A71:AL71, TRUE )</f>
        <v xml:space="preserve">[ 0.2818 , -0.1425 , 0.1741 , 0.6138 , -0.093 , -0.1147 , -0.3394 , -0.232 , 0.006 , -0.0608 , 0.0733 , 0.0825 , 0.2352 , -0.0553 , -0.1844 , -0.1184 , -0.0723 , -0.1501 , 0.0293 , -0.0189 , -0.0429 , -0.0492 , -0.0903 , -0.0136 , -0.0291 , -0.0068 , 0.1302 , 0.1016 , 0.006 , 0.1126 , 0.0903 , 0.0715 , 0.1076 , -0.0325 , 0.1184 , -0.1611 , -0.0498 , -0.1713 ]  , </v>
      </c>
    </row>
    <row r="72" spans="1:1">
      <c r="A72" s="13" t="str">
        <f>jsRow(remedy_factors!A72:AL72, TRUE )</f>
        <v xml:space="preserve">[ -0.2522 , -0.398 , 0.1037 , 0.1407 , -0.0115 , -0.0939 , 0.106 , 0.045 , -0.2512 , 0.2785 , 0.1113 , -0.2603 , 0.0848 , 0.08 , -0.0213 , -0.168 , -0.0443 , 0.1388 , 0.1211 , 0.3603 , 0.0064 , 0.1878 , 0.1353 , -0.1664 , -0.259 , 0.0316 , 0.0419 , 0.0002 , -0.0939 , -0.1671 , 0.0679 , 0.0818 , 0.2126 , 0.0427 , -0.1137 , -0.0967 , -0.1101 , 0.1258 ]  , </v>
      </c>
    </row>
    <row r="73" spans="1:1">
      <c r="A73" s="13" t="str">
        <f>jsRow(remedy_factors!A73:AL73, TRUE )</f>
        <v xml:space="preserve">[ 0.1324 , 0.0322 , -0.0536 , 0.0317 , -0.2438 , 0.1681 , 0.2312 , -0.2445 , 0.0086 , -0.2385 , -0.2126 , -0.0303 , 0.1336 , 0.2986 , 0.2625 , -0.1597 , -0.0545 , 0.1643 , 0.0851 , -0.1583 , 0.2522 , 0.1518 , -0.0513 , -0.1494 , -0.1501 , -0.1657 , 0.1009 , -0.027 , -0.2063 , 0.0452 , 0.0916 , -0.2974 , 0.1981 , 0.1529 , 0.0219 , 0.0937 , -0.1133 , -0.1054 ]  , </v>
      </c>
    </row>
    <row r="74" spans="1:1">
      <c r="A74" s="13" t="str">
        <f>jsRow(remedy_factors!A74:AL74, TRUE )</f>
        <v xml:space="preserve">[ 0.2428 , 0.1273 , 0.1312 , 0.156 , 0.0349 , 0.0998 , 0.0837 , 0.0109 , -0.1722 , -0.0126 , -0.2192 , 0.1242 , 0.0745 , -0.0562 , -0.1543 , 0.0763 , 0.0562 , -0.1168 , 0.2022 , -0.0466 , 0.4323 , -0.0418 , -0.1822 , -0.0915 , 0.1817 , 0.0166 , -0.1194 , -0.2388 , -0.0209 , 0.1874 , -0.1015 , -0.0292 , -0.3373 , -0.3613 , -0.0235 , 0.1913 , -0.1024 , -0.0013 ]  , </v>
      </c>
    </row>
    <row r="75" spans="1:1">
      <c r="A75" s="13" t="str">
        <f>jsRow(remedy_factors!A75:AL75, TRUE )</f>
        <v xml:space="preserve">[ 0.0151 , -0.2341 , -0.1703 , 0.4017 , -0.0312 , -0.1461 , -0.118 , -0.5075 , -0.1509 , -0.2281 , 0.0953 , 0.1791 , 0.1851 , -0.1857 , 0.0242 , -0.1552 , 0.0408 , 0.1769 , -0.1349 , 0.0245 , -0.0305 , -0.0079 , -0.0674 , 0.1887 , 0.1313 , -0.0369 , 0.1437 , 0.0436 , 0.0693 , -0.0674 , 0.0348 , 0.2048 , 0.2017 , -0.0197 , 0.0417 , -0.0847 , 0.1028 , 0.0659 ]  , </v>
      </c>
    </row>
    <row r="76" spans="1:1">
      <c r="A76" s="13" t="str">
        <f>jsRow(remedy_factors!A76:AL76, TRUE )</f>
        <v xml:space="preserve">[ 0.0693 , -0.1538 , 0.2553 , -0.3517 , 0.1495 , 0.2482 , -0.0925 , -0.1374 , 0.0744 , -0.2867 , 0.0043 , 0.2138 , -0.1055 , 0.2618 , -0.0508 , 0.0686 , 0.3414 , -0.1507 , 0.0455 , 0.1369 , -0.1477 , -0.0397 , -0.0477 , -0.2515 , -0.048 , -0.1168 , -0.0643 , 0.0558 , 0.0286 , 0.2337 , 0.1518 , -0.1786 , 0.1573 , -0.1226 , -0.1048 , 0.0558 , 0.0121 , -0.1193 ]  , </v>
      </c>
    </row>
    <row r="77" spans="1:1">
      <c r="A77" s="13" t="str">
        <f>jsRow(remedy_factors!A77:AL77, TRUE )</f>
        <v xml:space="preserve">[ 0.0721 , 0.1082 , 0.2202 , 0.0341 , -0.443 , -0.0222 , -0.1281 , 0.1753 , -0.2232 , 0.1634 , 0.1304 , -0.2493 , 0.0533 , -0.0702 , -0.2773 , 0.1335 , 0.1715 , 0.097 , -0.0522 , 0.0928 , -0.2451 , -0.0426 , 0.0395 , 0.2271 , 0.0219 , 0.2313 , -0.0004 , -0.0157 , -0.1036 , -0.1596 , 0.2029 , 0.1193 , -0.0602 , -0.0326 , 0.2018 , -0.262 , -0.0775 , -0.0196 ]  , </v>
      </c>
    </row>
    <row r="78" spans="1:1">
      <c r="A78" s="13" t="str">
        <f>jsRow(remedy_factors!A78:AL78, TRUE )</f>
        <v xml:space="preserve">[ -0.1224 , -0.1409 , 0.221 , 0.0203 , -0.2573 , -0.168 , -0.0754 , 0.1597 , -0.0355 , 0.132 , 0.0792 , -0.1883 , -0.1468 , 0.0702 , 0.1785 , -0.1617 , 0.1389 , -0.0325 , 0.4264 , 0.2757 , -0.0524 , 0.168 , 0.1209 , -0.1851 , -0.0079 , 0.3485 , 0.0652 , -0.1447 , -0.0183 , -0.0863 , -0.134 , -0.0843 , 0.0631 , 0.0279 , -0.2823 , -0.0844 , -0.1231 , 0.0327 ]  , </v>
      </c>
    </row>
    <row r="79" spans="1:1">
      <c r="A79" s="13" t="str">
        <f>jsRow(remedy_factors!A79:AL79, TRUE )</f>
        <v xml:space="preserve">[ -0.4863 , -0.1358 , 0.3119 , 0.0605 , -0.144 , 0.2372 , -0.0831 , -0.341 , 0.4218 , 0.0788 , -0.0671 , 0.056 , -0.0242 , -0.0827 , 0.1949 , 0.0004 , -0.014 , -0.0482 , -0.0146 , 0.1169 , 0.0706 , -0.1293 , -0.1104 , -0.12 , -0.08 , 0.1469 , 0.1703 , 0.0644 , -0.1358 , 0.0031 , 0.0012 , -0.0587 , -0.0201 , -0.1391 , 0.1473 , 0.1194 , 0.0517 , -0.0252 ]  , </v>
      </c>
    </row>
    <row r="80" spans="1:1">
      <c r="A80" s="13" t="str">
        <f>jsRow(remedy_factors!A80:AL80, TRUE )</f>
        <v xml:space="preserve">[ -0.2199 , -0.3717 , 0.1417 , 0.1393 , 0.0069 , -0.2225 , -0.3283 , 0.1505 , 0.2438 , 0.1295 , -0.1106 , 0.3411 , 0.0122 , -0.3384 , 0.0348 , -0.151 , -0.1818 , 0.1066 , -0.1494 , 0.1584 , -0.0327 , 0.1473 , 0.0359 , 0.1021 , -0.1406 , -0.0431 , -0.0444 , 0.0566 , 0.1646 , 0.1183 , -0.0479 , -0.0603 , 0.0779 , 0.0274 , 0.0255 , 0.1417 , 0.1406 , -0.0558 ]  , </v>
      </c>
    </row>
    <row r="81" spans="1:1">
      <c r="A81" s="13" t="str">
        <f>jsRow(remedy_factors!A81:AL81, TRUE )</f>
        <v xml:space="preserve">[ 0.1574 , -0.2671 , -0.0745 , 0.157 , -0.0096 , -0.1992 , -0.2426 , -0.2552 , -0.0403 , -0.4391 , 0.3604 , -0.0418 , 0.127 , -0.162 , 0.0936 , -0.0752 , 0.1243 , 0.0035 , -0.1842 , -0.0165 , -0.0399 , 0.2241 , 0.0054 , 0.0606 , 0.1938 , -0.1148 , 0.1581 , -0.0211 , 0.0887 , 0.0414 , 0.2898 , 0.0154 , -0.0372 , -0.0817 , 0.1804 , -0.0445 , -0.02 , 0.0948 ]  , </v>
      </c>
    </row>
    <row r="82" spans="1:1">
      <c r="A82" s="13" t="str">
        <f>jsRow(remedy_factors!A82:AL82, TRUE )</f>
        <v xml:space="preserve">[ -0.159 , -0.0443 , -0.2404 , 0.1926 , 0.0654 , 0.0779 , 0.1947 , 0.0833 , 0.1204 , 0.0301 , 0.2107 , -0.0066 , 0.183 , 0.0958 , 0.0877 , 0.2134 , 0.0997 , -0.1608 , 0.1704 , 0.059 , -0.1422 , 0.1294 , 0.1492 , -0.1609 , 0.2191 , -0.3313 , 0.0221 , 0.0405 , -0.0689 , 0.0805 , -0.1145 , -0.0789 , -0.2225 , -0.1456 , 0.0854 , -0.1734 , -0.449 , -0.1158 ]  , </v>
      </c>
    </row>
    <row r="83" spans="1:1">
      <c r="A83" s="13" t="str">
        <f>jsRow(remedy_factors!A83:AL83, TRUE )</f>
        <v xml:space="preserve">[ -0.3847 , -0.3337 , 0.0184 , 0.1155 , 0.0875 , -0.102 , -0.0981 , -0.2459 , 0.1903 , 0.124 , 0.1074 , 0.1579 , 0.1338 , -0.087 , 0.0469 , -0.103 , 0.0111 , 0.1602 , -0.0254 , 0 , 0.1152 , 0.1696 , -0.2299 , 0.1483 , -0.0766 , 0.0963 , -0.0893 , -0.015 , 0.1116 , -0.0699 , -0.2936 , -0.3339 , 0.2534 , 0.0769 , 0.0668 , 0.2138 , -0.0155 , 0.1012 ]  , </v>
      </c>
    </row>
    <row r="84" spans="1:1">
      <c r="A84" s="13" t="str">
        <f>jsRow(remedy_factors!A84:AL84, TRUE )</f>
        <v xml:space="preserve">[ 0.0343 , 0.4181 , -0.0377 , -0.1522 , 0.218 , -0.0934 , -0.0025 , -0.2328 , -0.0855 , 0.0596 , -0.2505 , -0.1002 , -0.2215 , 0.217 , 0.0101 , 0.0778 , 0.0062 , 0.3907 , 0.2501 , -0.0364 , -0.05 , 0.0976 , -0.3471 , -0.0049 , -0.1015 , -0.1936 , 0.0618 , -0.0685 , -0.0049 , 0.2281 , -0.134 , -0.0406 , -0.0628 , -0.046 , 0.1076 , -0.0019 , 0.0914 , 0.0012 ]  , </v>
      </c>
    </row>
    <row r="85" spans="1:1">
      <c r="A85" s="13" t="str">
        <f>jsRow(remedy_factors!A85:AL85, TRUE )</f>
        <v xml:space="preserve">[ 0.4077 , 0.169 , -0.1083 , -0.1073 , -0.0214 , 0.1073 , -0.2062 , -0.128 , 0.2099 , 0.1883 , -0.033 , 0.0164 , -0.1625 , 0.1307 , -0.3933 , 0.1245 , 0.0398 , 0.1359 , 0.1456 , -0.194 , -0.0738 , 0.0417 , 0.0296 , 0.0035 , 0.1103 , 0.0644 , -0.0798 , -0.0932 , 0.0735 , -0.1404 , 0.235 , -0.0894 , 0.0475 , 0.0032 , 0.0634 , -0.2686 , 0.1004 , -0.3483 ]  , </v>
      </c>
    </row>
    <row r="86" spans="1:1">
      <c r="A86" s="13" t="str">
        <f>jsRow(remedy_factors!A86:AL86, TRUE )</f>
        <v xml:space="preserve">[ 0.4699 , -0.1181 , 0.0729 , -0.3283 , 0.1678 , 0.1976 , -0.0251 , 0.0899 , 0.1691 , -0.1662 , -0.2248 , 0.0021 , -0.1351 , 0.0674 , -0.1001 , -0.3769 , 0.0523 , 0.041 , -0.12 , -0.0659 , -0.2342 , 0.1045 , 0.0988 , 0.0659 , 0.1709 , -0.0084 , 0.0327 , -0.1976 , 0.1471 , -0.0695 , 0.1508 , 0.0321 , 0.1372 , -0.0551 , 0.1398 , -0.1735 , -0.0212 , 0.005 ]  , </v>
      </c>
    </row>
    <row r="87" spans="1:1">
      <c r="A87" s="13" t="str">
        <f>jsRow(remedy_factors!A87:AL87, TRUE )</f>
        <v xml:space="preserve">[ 0.0487 , 0.3616 , 0.0045 , -0.0542 , 0.0598 , -0.3179 , 0.1247 , -0.0162 , 0.2171 , -0.1293 , -0.1046 , -0.2857 , -0.1155 , -0.0011 , -0.0832 , -0.3295 , 0.0381 , 0.0221 , -0.1484 , 0.3062 , 0.0084 , 0.0693 , -0.0814 , 0.2025 , 0.1598 , -0.1063 , -0.1473 , 0.1547 , -0.0745 , 0.166 , 0.0092 , 0.0607 , -0.2403 , 0.3006 , -0.0195 , 0.0333 , 0.0395 , -0.1323 ]  , </v>
      </c>
    </row>
    <row r="88" spans="1:1">
      <c r="A88" s="13" t="str">
        <f>jsRow(remedy_factors!A88:AL88, TRUE )</f>
        <v xml:space="preserve">[ 0.6876 , -0.2754 , -0.1491 , -0.0101 , 0.1935 , 0.1076 , -0.0707 , 0.096 , -0.1404 , 0.0209 , -0.2353 , 0.0809 , -0.0556 , -0.1563 , 0.0267 , 0.0245 , -0.0877 , 0.1097 , -0.091 , -0.0061 , -0.0462 , 0.013 , 0.0953 , -0.1491 , -0.0339 , -0.2786 , 0.0368 , -0.096 , 0.1346 , -0.0184 , -0.0433 , -0.1097 , -0.0116 , 0.0195 , 0.0271 , 0.2418 , 0.0592 , 0.091 ]  , </v>
      </c>
    </row>
    <row r="89" spans="1:1">
      <c r="A89" s="13" t="str">
        <f>jsRow(remedy_factors!A89:AL89, TRUE )</f>
        <v xml:space="preserve">[ 0.3852 , -0.0846 , -0.0856 , 0.1333 , 0.1643 , 0.0077 , -0.1071 , -0.0384 , -0.0363 , 0.1638 , -0.0896 , -0.0615 , -0.1108 , 0.0019 , 0.0194 , 0.2023 , -0.3722 , 0.0753 , 0.2269 , -0.1641 , 0.1389 , 0.2137 , 0.0398 , -0.2065 , 0.0117 , 0.0538 , -0.184 , -0.1344 , 0.1291 , -0.0212 , -0.4156 , -0.1246 , -0.0758 , 0.1039 , 0.1254 , 0.0676 , 0.1903 , -0.1439 ]  , </v>
      </c>
    </row>
    <row r="90" spans="1:1">
      <c r="A90" s="13" t="str">
        <f>jsRow(remedy_factors!A90:AL90, TRUE )</f>
        <v xml:space="preserve">[ -0.3146 , -0.3512 , -0.1642 , 0.1964 , 0.3472 , 0.206 , 0.0693 , 0.1459 , -0.0454 , 0.0304 , -0.1585 , -0.15 , 0.1475 , 0.1062 , 0.0365 , -0.056 , 0.067 , 0.2492 , -0.0191 , 0.0628 , -0.2459 , -0.0615 , 0.2092 , -0.183 , 0.0894 , 0.021 , -0.0599 , -0.1233 , 0.1801 , -0.0216 , -0.0866 , 0.1491 , -0.1498 , 0.1267 , 0.1055 , -0.2667 , -0.108 , 0.0169 ]  , </v>
      </c>
    </row>
    <row r="91" spans="1:1">
      <c r="A91" s="13" t="str">
        <f>jsRow(remedy_factors!A91:AL91, TRUE )</f>
        <v xml:space="preserve">[ -0.4195 , 0.1288 , -0.3151 , 0.0331 , -0.3132 , 0.1594 , 0.0203 , 0.1237 , 0.0156 , -0.1949 , -0.0066 , 0.0782 , 0.1935 , 0.231 , 0.0417 , 0.1696 , -0.0878 , 0.3987 , 0.0446 , 0.125 , 0.0784 , -0.1551 , 0.0871 , 0.0592 , -0.0237 , -0.0018 , -0.2317 , -0.1348 , -0.0528 , -0.0119 , 0.222 , -0.0452 , 0.0078 , 0.0052 , -0.0487 , -0.1972 , -0.055 , 0.0741 ]  , </v>
      </c>
    </row>
    <row r="92" spans="1:1">
      <c r="A92" s="13" t="str">
        <f>jsRow(remedy_factors!A92:AL92, TRUE )</f>
        <v xml:space="preserve">[ -0.1151 , -0.0071 , -0.3207 , 0.2995 , -0.0865 , 0.1502 , -0.1668 , -0.2115 , 0.0885 , -0.4063 , 0.1288 , 0.1054 , 0.2905 , 0.0344 , 0.0951 , 0.1996 , -0.1206 , 0.3523 , -0.0284 , 0.206 , 0.0618 , -0.0503 , 0.109 , -0.1394 , 0.0371 , -0.114 , -0.2034 , -0.0311 , -0.0549 , -0.0346 , 0.1822 , -0.0611 , 0.0015 , -0.0922 , -0.0898 , -0.1143 , 0.0157 , 0.0959 ]  , </v>
      </c>
    </row>
    <row r="93" spans="1:1">
      <c r="A93" s="13" t="str">
        <f>jsRow(remedy_factors!A93:AL93, TRUE )</f>
        <v xml:space="preserve">[ 0.0665 , -0.2328 , -0.4224 , 0.526 , -0.2171 , 0.1957 , -0.0492 , -0.2396 , -0.0651 , -0.3747 , -0.0249 , -0.03 , 0.1534 , -0.0151 , 0.0758 , 0.0615 , 0.0077 , 0.0084 , 0.1751 , 0.1356 , -0.0159 , 0.0509 , -0.0741 , -0.0241 , -0.0095 , 0.0524 , 0.0639 , -0.0129 , 0.031 , 0.117 , 0.0358 , -0.0641 , -0.1332 , 0.1933 , -0.0604 , 0.0341 , 0.1208 , -0.0421 ]  , </v>
      </c>
    </row>
    <row r="94" spans="1:1">
      <c r="A94" s="13" t="str">
        <f>jsRow(remedy_factors!A94:AL94, TRUE )</f>
        <v xml:space="preserve">[ -0.0113 , -0.1596 , -0.2015 , 0.0436 , -0.3077 , -0.1111 , -0.0528 , 0.129 , -0.1411 , -0.1652 , 0.2615 , -0.095 , 0.0614 , -0.2693 , 0.2504 , 0.3543 , 0.0966 , 0.0109 , -0.2117 , 0.1641 , -0.2299 , 0.0984 , -0.0033 , 0.1106 , -0.1933 , 0.1818 , 0.1273 , -0.0516 , 0.1555 , -0.0202 , -0.2179 , 0.0233 , 0.0795 , 0.1699 , -0.0156 , 0.0717 , 0.2001 , -0.1335 ]  , </v>
      </c>
    </row>
    <row r="95" spans="1:1">
      <c r="A95" s="13" t="str">
        <f>jsRow(remedy_factors!A95:AL95, TRUE )</f>
        <v xml:space="preserve">[ 0.2169 , 0.0722 , 0.1517 , 0.0143 , 0.1517 , 0.1722 , 0.0207 , -0.2939 , -0.0527 , -0.1106 , -0.0455 , 0.0585 , -0.1456 , 0.2748 , -0.0388 , 0.1064 , -0.2653 , -0.2907 , -0.0245 , 0.1911 , 0.0344 , -0.0159 , 0.0374 , 0.0901 , 0.0314 , 0.1885 , 0.1123 , -0.0201 , -0.1483 , -0.1243 , 0.1179 , -0.4904 , 0.0819 , -0.1853 , -0.1066 , -0.0109 , 0.2412 , 0.001 ]  , </v>
      </c>
    </row>
    <row r="96" spans="1:1">
      <c r="A96" s="13" t="str">
        <f>jsRow(remedy_factors!A96:AL96, TRUE )</f>
        <v xml:space="preserve">[ 0.0146 , 0.0262 , 0.284 , 0.1359 , 0.2812 , 0.2338 , 0.1771 , 0.1485 , -0.1052 , -0.1598 , -0.2782 , -0.0218 , -0.0528 , -0.1206 , -0.169 , 0.212 , -0.1239 , 0.0167 , -0.0944 , 0.0689 , -0.2302 , 0.0447 , -0.0905 , -0.2713 , 0.1819 , 0.061 , -0.1853 , 0.2067 , -0.2947 , 0.0286 , 0.0261 , 0.0701 , -0.0972 , -0.0772 , -0.1862 , -0.0343 , 0.2672 , 0.1081 ]  , </v>
      </c>
    </row>
    <row r="97" spans="1:1">
      <c r="A97" s="13" t="str">
        <f>jsRow(remedy_factors!A97:AL97, TRUE )</f>
        <v xml:space="preserve">[ 0.1135 , -0.2232 , -0.1704 , 0.3528 , 0.1909 , -0.0195 , -0.0331 , 0.0855 , -0.0588 , -0.1058 , -0.3087 , 0.0892 , 0.1056 , -0.0611 , -0.0762 , 0.4201 , 0.0427 , -0.2038 , -0.1835 , 0.1097 , 0.0719 , -0.0211 , -0.0068 , -0.0422 , -0.0814 , -0.0594 , 0.0632 , -0.0656 , 0.0623 , 0.1733 , -0.3899 , -0.1507 , -0.023 , 0.2272 , 0.0996 , 0.1783 , -0.0251 , -0.0729 ]  , </v>
      </c>
    </row>
    <row r="98" spans="1:1">
      <c r="A98" s="13" t="str">
        <f>jsRow(remedy_factors!A98:AL98, TRUE )</f>
        <v xml:space="preserve">[ -0.2296 , 0.1209 , -0.066 , 0.1049 , 0.1652 , -0.0672 , -0.0182 , 0.1385 , -0.0616 , 0.126 , -0.2535 , 0.0832 , 0.3666 , 0.038 , -0.1988 , 0.305 , 0.0901 , -0.0038 , -0.1803 , -0.0264 , -0.0553 , -0.2218 , 0.1015 , -0.0732 , 0.07 , -0.054 , -0.1527 , -0.4225 , 0.1944 , 0.1859 , 0.1555 , 0.0499 , -0.1263 , 0.1944 , -0.0339 , -0.1775 , -0.0393 , -0.0314 ]  , </v>
      </c>
    </row>
    <row r="99" spans="1:1">
      <c r="A99" s="13" t="str">
        <f>jsRow(remedy_factors!A99:AL99, TRUE )</f>
        <v xml:space="preserve">[ -0.2485 , 0.2671 , 0.0139 , -0.1254 , -0.0943 , 0.0711 , 0.0935 , 0.1517 , 0.0749 , 0.0634 , 0.2109 , -0.2841 , -0.2465 , -0.0309 , -0.1486 , -0.043 , -0.0422 , 0.2393 , 0.103 , 0.0039 , 0.0384 , -0.0711 , 0.0757 , 0.0106 , 0.0247 , -0.095 , 0.0822 , 0.349 , -0.3732 , -0.1399 , -0.1769 , -0.0618 , -0.0209 , 0.0165 , 0.0482 , 0.2836 , 0.2035 , -0.214 ]  , </v>
      </c>
    </row>
    <row r="100" spans="1:1">
      <c r="A100" s="13" t="str">
        <f>jsRow(remedy_factors!A100:AL100, TRUE )</f>
        <v xml:space="preserve">[ 0.1813 , -0.1952 , 0.4831 , 0.3927 , -0.0402 , -0.331 , -0.2315 , 0.083 , -0.047 , -0.0523 , 0.075 , 0.2802 , 0.0836 , -0.1231 , -0.1031 , 0.039 , -0.3098 , -0.0594 , 0.0797 , 0.0653 , -0.0157 , 0.1196 , -0.0969 , -0.0009 , -0.0656 , -0.2173 , 0.021 , -0.1279 , 0.0077 , 0.0777 , -0.0035 , 0.0449 , 0.1028 , 0.0083 , 0.0824 , -0.1169 , -0.0224 , -0.0656 ]  , </v>
      </c>
    </row>
    <row r="101" spans="1:1">
      <c r="A101" s="13" t="str">
        <f>jsRow(remedy_factors!A101:AL101, TRUE )</f>
        <v xml:space="preserve">[ 0.2321 , -0.1704 , 0.0511 , 0.0178 , 0.0579 , -0.1632 , -0.1685 , -0.1257 , -0.1348 , 0.1117 , -0.2518 , 0.1685 , 0.1129 , -0.0761 , -0.1401 , 0.0492 , -0.2643 , 0.0776 , 0.0595 , 0.3086 , 0.0258 , 0.3408 , 0.1704 , -0.0322 , 0.1 , -0.1 , 0.0098 , 0.1106 , -0.0182 , -0.042 , 0.0644 , -0.3336 , 0.0477 , 0.1651 , 0.2083 , -0.1818 , -0.3151 , 0.0144 ]  , </v>
      </c>
    </row>
    <row r="102" spans="1:1">
      <c r="A102" s="13" t="str">
        <f>jsRow(remedy_factors!A102:AL102, TRUE )</f>
        <v xml:space="preserve">[ -0.2329 , 0.0898 , 0.2134 , 0.0815 , -0.2019 , -0.1428 , 0.3531 , -0.5736 , -0.3094 , -0.022 , -0.1446 , 0.1103 , -0.0588 , 0.0811 , 0.0793 , -0.0319 , 0.1028 , -0.0065 , 0.0022 , 0.0988 , 0.144 , -0.1691 , 0.1298 , 0.0084 , 0.0155 , 0.0477 , -0.0245 , -0.0969 , 0.1124 , 0.0071 , -0.1583 , 0.0994 , 0.031 , 0.1741 , 0.0588 , -0.0626 , -0.0102 , 0.1961 ]  , </v>
      </c>
    </row>
    <row r="103" spans="1:1">
      <c r="A103" s="13" t="str">
        <f>jsRow(remedy_factors!A103:AL103, TRUE )</f>
        <v xml:space="preserve">[ -0.0562 , 0.1454 , 0.2227 , 0.0047 , -0.2294 , -0.1064 , 0.2316 , -0.547 , -0.12 , 0.1091 , -0.124 , 0.2142 , -0.0291 , 0.4493 , -0.0497 , -0.1422 , 0.007 , -0.0825 , -0.1563 , -0.1414 , 0.0982 , -0.1245 , -0.0194 , 0.0112 , 0.0669 , 0.0154 , 0.0664 , -0.0502 , 0.0987 , 0.161 , -0.1948 , 0.0967 , 0.0718 , 0.1146 , -0.049 , 0.0564 , -0.0276 , 0.0129 ]  , </v>
      </c>
    </row>
    <row r="104" spans="1:1">
      <c r="A104" s="13" t="str">
        <f>jsRow(remedy_factors!A104:AL104, TRUE )</f>
        <v xml:space="preserve">[ -0.0182 , 0.4868 , -0.1942 , -0.1538 , 0.1684 , -0.2714 , -0.1065 , -0.0305 , 0.078 , 0.0516 , 0.3417 , 0.0231 , 0.3044 , -0.1347 , -0.0296 , -0.2675 , -0.1689 , -0.1943 , -0.1814 , -0.0682 , -0.007 , 0.0838 , -0.0285 , 0.2028 , -0.0998 , 0.1318 , -0.1069 , 0.0528 , 0.034 , -0.0871 , -0.0145 , -0.0906 , 0.1468 , -0.046 , -0.0512 , 0.1967 , 0.0147 , 0.0313 ]  , </v>
      </c>
    </row>
    <row r="105" spans="1:1">
      <c r="A105" s="13" t="str">
        <f>jsRow(remedy_factors!A105:AL105, TRUE )</f>
        <v xml:space="preserve">[ -0.1213 , -0.3258 , 0.1401 , -0.1258 , -0.1092 , -0.1213 , 0.0724 , -0.0967 , -0.1835 , 0.2842 , -0.1658 , 0.0739 , 0.1099 , 0.1614 , 0.1754 , -0.0791 , 0.0051 , -0.0158 , -0.0971 , 0.1493 , 0.2011 , -0.1758 , 0.1386 , 0.0548 , 0.4056 , -0.4023 , -0.0147 , -0.0728 , -0.0574 , -0.1552 , -0.078 , 0.1129 , 0.1169 , -0.0757 , -0.0732 , 0.1842 , 0.0485 , 0.1235 ]  , </v>
      </c>
    </row>
    <row r="106" spans="1:1">
      <c r="A106" s="13" t="str">
        <f>jsRow(remedy_factors!A106:AL106, TRUE )</f>
        <v xml:space="preserve">[ -0.1397 , -0.0619 , 0.0532 , -0.1095 , -0.471 , -0.2379 , 0.1229 , -0.0014 , -0.1612 , -0.1568 , -0.142 , -0.0601 , -0.1657 , -0.0879 , 0.1077 , 0.1703 , 0.22 , -0.0686 , 0.1686 , -0.1469 , -0.0693 , 0.1429 , 0.4713 , 0.0632 , 0.1048 , 0.2144 , 0.2487 , 0.0044 , 0.0521 , 0.0565 , 0.0306 , -0.0577 , -0.011 , 0.0151 , -0.1542 , 0.027 , -0.0538 , 0.083 ]  , </v>
      </c>
    </row>
    <row r="107" spans="1:1">
      <c r="A107" s="13" t="str">
        <f>jsRow(remedy_factors!A107:AL107, TRUE )</f>
        <v xml:space="preserve">[ 0.2296 , -0.2196 , 0.263 , 0.2471 , -0.0156 , -0.3337 , -0.0721 , 0.2971 , -0.0252 , 0.2303 , 0.3393 , 0.287 , -0.1202 , -0.0287 , -0.0691 , -0.1521 , -0.1325 , 0.0203 , 0.1776 , 0.0889 , 0.0163 , -0.1356 , -0.0191 , -0.049 , 0.0163 , -0.3017 , 0.1129 , -0.1652 , -0.0243 , -0.028 , 0.077 , -0.0175 , -0.0938 , -0.1265 , -0.0194 , -0.0586 , -0.1458 , -0.0413 ]  , </v>
      </c>
    </row>
    <row r="108" spans="1:1">
      <c r="A108" s="13" t="str">
        <f>jsRow(remedy_factors!A108:AL108, TRUE )</f>
        <v xml:space="preserve">[ 0.2968 , -0.3168 , 0.1944 , 0.0325 , -0.1633 , -0.2461 , -0.2363 , -0.1548 , -0.0356 , 0.1557 , -0.0516 , 0.1482 , -0.0587 , -0.206 , 0.1268 , 0.0565 , -0.0258 , 0.1166 , -0.093 , 0.1037 , 0.0454 , 0.1255 , 0.1068 , 0.0205 , 0.0561 , -0.4547 , -0.0165 , 0.04 , -0.0222 , -0.2047 , 0.1308 , 0.2741 , 0.15 , -0.0191 , -0.1041 , 0.2025 , -0.0307 , 0.0707 ]  , </v>
      </c>
    </row>
    <row r="109" spans="1:1">
      <c r="A109" s="13" t="str">
        <f>jsRow(remedy_factors!A109:AL109, TRUE )</f>
        <v xml:space="preserve">[ 0.0104 , -0.1381 , 0.2457 , 0.1599 , 0.1069 , -0.1561 , -0.2063 , 0.0937 , -0.0066 , 0.0708 , 0.1023 , 0.4076 , -0.169 , 0.036 , 0.2053 , -0.2368 , -0.3777 , 0.0162 , 0.0538 , 0.0487 , 0.1274 , 0.0655 , 0.031 , 0.2906 , 0.0459 , -0.3201 , -0.0655 , -0.1985 , -0.0376 , -0.0457 , 0.0173 , -0.0761 , -0.0162 , -0.2401 , 0.0244 , 0.1355 , -0.0688 , 0.0668 ]  , </v>
      </c>
    </row>
    <row r="110" spans="1:1">
      <c r="A110" s="13" t="str">
        <f>jsRow(remedy_factors!A110:AL110, TRUE )</f>
        <v xml:space="preserve">[ 0.4632 , -0.1993 , -0.2293 , 0.4027 , -0.0552 , 0.0947 , -0.217 , -0.3916 , 0.0342 , -0.2392 , 0.1243 , 0.0321 , 0.0346 , -0.0552 , 0.0556 , -0.0222 , -0.2042 , 0.17 , -0.0988 , -0.14 , -0.0774 , 0.0861 , 0.0214 , -0.0548 , 0.1507 , -0.0605 , -0.0305 , -0.0099 , 0.0597 , 0.0593 , 0.212 , -0.0626 , 0.0103 , 0.0255 , -0.049 , 0.0749 , 0.1523 , -0.0605 ]  , </v>
      </c>
    </row>
    <row r="111" spans="1:1">
      <c r="A111" s="13" t="str">
        <f>jsRow(remedy_factors!A111:AL111, TRUE )</f>
        <v xml:space="preserve">[ -0.1136 , 0.1088 , 0.5169 , 0.0386 , 0.1115 , -0.2292 , 0.2093 , 0.1595 , -0.1634 , 0.0039 , -0.0909 , -0.4376 , -0.0937 , 0.101 , 0.2219 , 0.1456 , 0.1131 , 0.1547 , 0.0165 , -0.0896 , -0.024 , 0.0665 , -0.1001 , -0.0642 , -0.04 , -0.1163 , -0.1387 , -0.1341 , 0.1801 , -0.1097 , -0.0427 , -0.0034 , -0.1044 , 0.0112 , -0.2489 , 0.1227 , -0.0103 , 0.0745 ]  , </v>
      </c>
    </row>
    <row r="112" spans="1:1">
      <c r="A112" s="13" t="str">
        <f>jsRow(remedy_factors!A112:AL112, TRUE )</f>
        <v xml:space="preserve">[ -0.0487 , -0.2798 , 0.2441 , -0.0561 , 0.4918 , -0.1794 , 0.3897 , -0.1095 , 0.0137 , 0.1366 , -0.1703 , -0.1758 , 0.1507 , 0.1931 , 0.1644 , 0.0377 , 0.0824 , 0.0659 , -0.2104 , -0.1307 , 0.0616 , -0.0216 , -0.0761 , 0.1036 , -0.0687 , -0.1091 , -0.148 , -0.2049 , -0.0259 , -0.0899 , 0.044 , 0.0977 , 0.0149 , 0.0451 , -0.1888 , -0.1201 , 0.0718 , 0.0051 ]  , </v>
      </c>
    </row>
    <row r="113" spans="1:1">
      <c r="A113" s="13" t="str">
        <f>jsRow(remedy_factors!A113:AL113, TRUE )</f>
        <v xml:space="preserve">[ 0.045 , -0.2528 , 0.2392 , -0.06 , 0.0703 , -0.3038 , -0.1453 , -0.1253 , -0.0535 , 0.3009 , -0.0796 , -0.1078 , 0.0953 , 0.1499 , 0.1664 , 0.0011 , -0.0757 , 0.0328 , -0.3127 , 0.1035 , 0.1228 , -0.0689 , 0.1078 , 0.1785 , 0.2153 , -0.3188 , 0.0154 , -0.1739 , 0.0225 , -0.1385 , -0.0753 , 0.1789 , 0.1321 , -0.1442 , -0.201 , 0.1464 , 0.1189 , 0.1999 ]  , </v>
      </c>
    </row>
    <row r="114" spans="1:1">
      <c r="A114" s="13" t="str">
        <f>jsRow(remedy_factors!A114:AL114, TRUE )</f>
        <v xml:space="preserve">[ -0.2859 , -0.2143 , -0.2881 , 0.0359 , 0.1488 , 0.1926 , 0.0715 , 0.3332 , -0.1667 , -0.0563 , -0.2746 , -0.0319 , 0.2226 , -0.1047 , -0.1767 , 0.1607 , -0.0336 , 0.0356 , 0.0713 , -0.2584 , 0.0359 , -0.1675 , 0.1777 , 0.1141 , 0.1809 , -0.1441 , -0.1682 , 0.0486 , -0.1134 , 0.2236 , 0.1996 , 0.0573 , 0.0915 , 0.176 , -0.0835 , 0.0419 , -0.0354 , -0.0072 ]  , </v>
      </c>
    </row>
    <row r="115" spans="1:1">
      <c r="A115" s="13" t="str">
        <f>jsRow(remedy_factors!A115:AL115, TRUE )</f>
        <v xml:space="preserve">[ -0.0171 , -0.1696 , 0.0856 , 0.2546 , 0.1449 , -0.0361 , 0.0911 , 0.3197 , -0.1656 , -0.0834 , -0.1632 , -0.1714 , 0.2714 , 0.0825 , -0.0685 , 0.0495 , 0.0547 , 0.0715 , -0.2766 , -0.0358 , 0.1048 , -0.3334 , 0.0434 , 0.1415 , -0.0804 , 0.1103 , -0.0144 , 0.1073 , 0.3108 , -0.246 , 0.0767 , -0.2885 , 0.0147 , -0.0874 , 0.1773 , -0.1241 , 0.0144 , -0.1632 ]  , </v>
      </c>
    </row>
    <row r="116" spans="1:1">
      <c r="A116" s="13" t="str">
        <f>jsRow(remedy_factors!A116:AL116, TRUE )</f>
        <v xml:space="preserve">[ 0.2576 , -0.4429 , 0.2921 , -0.1387 , 0.1219 , -0.196 , -0.0731 , 0.1596 , -0.0958 , -0.2034 , 0.2075 , 0.2535 , -0.1005 , -0.2507 , -0.0302 , -0.1795 , -0.21 , -0.0859 , 0.1689 , 0.0221 , 0.0706 , 0.0575 , 0.0597 , 0.1935 , 0.0389 , -0.2367 , -0.0952 , -0.0432 , -0.0379 , 0.0809 , 0.1521 , 0.172 , -0.0563 , -0.0311 , 0.0846 , -0.0389 , 0.0507 , 0.1026 ]  , </v>
      </c>
    </row>
    <row r="117" spans="1:1">
      <c r="A117" s="13" t="str">
        <f>jsRow(remedy_factors!A117:AL117, TRUE )</f>
        <v xml:space="preserve">[ -0.1574 , 0.2446 , -0.1997 , 0.4126 , 0.3777 , 0.0653 , -0.165 , 0.1556 , -0.0687 , -0.0395 , -0.0595 , 0.1594 , -0.0034 , 0.1793 , -0.1021 , 0.0859 , 0.1136 , -0.2984 , 0.2387 , -0.1925 , -0.0537 , -0.1771 , 0.1106 , -0.0363 , -0.0324 , 0.0709 , -0.0483 , 0.2015 , 0.0016 , -0.0705 , -0.1666 , -0.1038 , -0.0835 , 0.0336 , -0.157 , 0.0561 , -0.2083 , -0.0787 ]  , </v>
      </c>
    </row>
    <row r="118" spans="1:1">
      <c r="A118" s="13" t="str">
        <f>jsRow(remedy_factors!A118:AL118, TRUE )</f>
        <v xml:space="preserve">[ 0.2203 , -0.4352 , 0.0698 , -0.4805 , 0.2666 , 0.0909 , 0.0112 , 0.0089 , 0.0606 , -0.2026 , 0.0896 , 0.0569 , -0.031 , -0.1604 , -0.2469 , 0.0633 , 0.0984 , -0.0269 , 0.1662 , 0.031 , 0.1022 , -0.1682 , 0.0868 , -0.017 , 0.1761 , -0.1202 , -0.1311 , 0.0242 , -0.1131 , -0.0266 , 0.2673 , 0.1784 , -0.08 , -0.0541 , -0.0167 , 0.0831 , 0.1257 , 0.0344 ]  , </v>
      </c>
    </row>
    <row r="119" spans="1:1">
      <c r="A119" s="13" t="str">
        <f>jsRow(remedy_factors!A119:AL119, TRUE )</f>
        <v xml:space="preserve">[ 0.58 , -0.2687 , -0.1579 , -0.0227 , 0.2397 , 0.0767 , 0.0199 , 0.0261 , -0.1801 , 0.117 , -0.1988 , 0.1767 , -0.167 , -0.2255 , 0.0829 , -0.1647 , -0.3692 , -0.0375 , -0.0466 , -0.0028 , 0.0852 , 0.1897 , 0.1074 , 0.017 , 0.0784 , -0.1329 , -0.0545 , 0.0767 , 0.0006 , -0.0875 , 0.1375 , 0.0148 , 0.0773 , -0.0596 , 0.0193 , 0.0352 , -0.0426 , 0.0676 ]  , </v>
      </c>
    </row>
    <row r="120" spans="1:1">
      <c r="A120" s="13" t="str">
        <f>jsRow(remedy_factors!A120:AL120, TRUE )</f>
        <v xml:space="preserve">[ -0.2419 , 0.1605 , -0.3068 , -0.06 , 0.1648 , 0.1677 , 0.0004 , -0.0018 , -0.397 , 0.1807 , -0.0435 , 0.2474 , 0.1089 , -0.1911 , -0.0386 , 0.029 , -0.2483 , 0.2882 , 0.1938 , -0.082 , 0.0832 , 0.0755 , -0.1267 , 0.0394 , 0.0753 , -0.0665 , 0.0914 , 0.1422 , 0.1432 , -0.1046 , -0.1083 , -0.336 , -0.1495 , 0.08 , 0.083 , 0.072 , 0.0594 , 0.0165 ]  , </v>
      </c>
    </row>
    <row r="121" spans="1:1">
      <c r="A121" s="13" t="str">
        <f>jsRow(remedy_factors!A121:AL121, TRUE )</f>
        <v xml:space="preserve">[ 0.0184 , -0.0899 , 0.0983 , -0.0789 , -0.1941 , -0.3342 , 0.1027 , 0.1334 , -0.2184 , -0.0328 , -0.0371 , -0.0804 , 0.0548 , -0.0899 , 0.115 , 0.1163 , 0.0528 , -0.0563 , 0.2259 , -0.2361 , 0.0881 , -0.1813 , -0.0261 , 0.2471 , 0.157 , 0.2566 , 0.2443 , -0.1037 , 0.263 , -0.0166 , -0.1949 , 0.1649 , -0.094 , 0.1181 , -0.3014 , -0.2471 , 0.0133 , 0.1339 ]  , </v>
      </c>
    </row>
    <row r="122" spans="1:1">
      <c r="A122" s="13" t="str">
        <f>jsRow(remedy_factors!A122:AL122, TRUE )</f>
        <v xml:space="preserve">[ -0.1557 , 0.1808 , -0.0846 , -0.1908 , -0.1132 , -0.105 , 0.2015 , 0.0857 , -0.1227 , -0.1564 , -0.0925 , -0.1006 , -0.1218 , -0.2463 , 0.1057 , -0.1506 , 0.1301 , 0.0179 , 0.4341 , -0.1315 , 0.1576 , -0.0053 , 0.0467 , 0.1996 , 0.1771 , 0.0955 , 0.4222 , 0.1576 , -0.0072 , -0.0995 , -0.1304 , 0.059 , -0.0193 , -0.0502 , -0.118 , -0.1155 , 0.0844 , -0.2431 ]  , </v>
      </c>
    </row>
    <row r="123" spans="1:1">
      <c r="A123" s="13" t="str">
        <f>jsRow(remedy_factors!A123:AL123, TRUE )</f>
        <v xml:space="preserve">[ 0.6005 , -0.1458 , -0.1766 , -0.1715 , 0.0393 , 0.0043 , -0.2767 , 0.05 , 0.0201 , 0.1595 , -0.1112 , 0.0419 , -0.1005 , -0.1788 , -0.0958 , -0.0017 , -0.1031 , 0.0714 , 0.0376 , -0.0265 , 0.3678 , -0.0423 , 0.0115 , -0.0744 , 0.2369 , 0.0432 , -0.1553 , 0.1198 , -0.0616 , -0.0047 , -0.0351 , 0.0697 , 0.0701 , -0.2502 , -0.0261 , 0.0813 , -0.1373 , 0.1582 ]  , </v>
      </c>
    </row>
    <row r="124" spans="1:1">
      <c r="A124" s="13" t="str">
        <f>jsRow(remedy_factors!A124:AL124, TRUE )</f>
        <v xml:space="preserve">[ -0.1523 , 0.0375 , 0.4369 , 0.1519 , 0.0687 , 0.1252 , 0.1995 , -0.3566 , 0.0691 , -0.0791 , -0.2482 , -0.0297 , -0.1159 , 0.2496 , 0.0019 , 0.1074 , -0.0513 , -0.2103 , -0.0613 , 0.1635 , 0.2069 , 0.1189 , -0.0375 , -0.0732 , -0.1865 , -0.0141 , -0.0134 , -0.0554 , -0.1282 , 0.195 , 0.0134 , -0.0795 , -0.3158 , -0.224 , 0.0528 , 0.0409 , 0.1133 , 0.0769 ]  , </v>
      </c>
    </row>
    <row r="125" spans="1:1">
      <c r="A125" s="13" t="str">
        <f>jsRow(remedy_factors!A125:AL125, TRUE )</f>
        <v xml:space="preserve">[ 0.5484 , -0.2325 , -0.0253 , -0.3702 , 0.2108 , -0.2457 , 0.1246 , -0.039 , -0.0246 , 0.0714 , 0.0629 , -0.1143 , 0.0597 , 0.0063 , 0.2423 , 0.1272 , -0.0565 , 0.1487 , -0.0795 , -0.0275 , -0.1762 , 0.068 , 0.0663 , 0.0141 , -0.1509 , 0.0312 , -0.2325 , 0.0863 , 0.0422 , 0.1097 , 0.0175 , -0.1689 , -0.1618 , 0.1009 , 0.0819 , 0.089 , -0.0273 , -0.1791 ]  , </v>
      </c>
    </row>
    <row r="126" spans="1:1">
      <c r="A126" s="13" t="str">
        <f>jsRow(remedy_factors!A126:AL126, TRUE )</f>
        <v xml:space="preserve">[ 0.4384 , -0.1666 , -0.0102 , -0.0013 , 0.2838 , -0.0842 , 0.1697 , -0.0125 , 0.1145 , -0.0566 , -0.0838 , -0.0254 , -0.1341 , 0.0232 , -0.0673 , -0.4482 , -0.2241 , 0.1109 , -0.2112 , -0.0909 , -0.0076 , 0.2548 , 0.0526 , 0.1729 , 0.2121 , -0.1319 , 0.0334 , -0.11 , 0.0089 , -0.2245 , 0.0642 , 0.1083 , 0.1697 , -0.0766 , 0.0223 , -0.0976 , 0.1016 , -0.0748 ]  , </v>
      </c>
    </row>
    <row r="127" spans="1:1">
      <c r="A127" s="13" t="str">
        <f>jsRow(remedy_factors!A127:AL127, TRUE )</f>
        <v xml:space="preserve">[ 0.4215 , -0.0701 , -0.3496 , 0.1914 , -0.0834 , 0.2329 , -0.1866 , -0.2996 , -0.0392 , -0.0099 , 0.0827 , 0.0219 , 0.0027 , -0.1984 , 0.0045 , -0.1143 , -0.0383 , -0.062 , 0.0816 , -0.032 , -0.0674 , 0.1578 , 0.1021 , -0.1492 , 0.1334 , -0.28 , 0.0349 , 0.027 , 0.1413 , 0.0437 , 0.1925 , -0.1228 , 0.0512 , -0.0872 , -0.2317 , 0.0536 , 0.2211 , 0.22 ]  , </v>
      </c>
    </row>
    <row r="128" spans="1:1">
      <c r="A128" s="13" t="str">
        <f>jsRow(remedy_factors!A128:AL128, TRUE )</f>
        <v xml:space="preserve">[ 0.0235 , 0.1834 , -0.0248 , 0.0739 , -0.0652 , -0.0935 , -0.2883 , 0.0479 , 0.028 , 0.0186 , 0.0078 , 0.0515 , 0.2704 , 0.0453 , -0.3186 , 0.0466 , -0.013 , -0.0883 , 0.0222 , 0.1469 , -0.1518 , 0.1639 , 0.1375 , -0.1736 , 0.0889 , -0.2026 , 0.0111 , 0.2639 , 0.0788 , 0.0068 , 0.0896 , 0.1515 , -0.3824 , -0.1293 , 0.3456 , -0.2968 , -0.1375 , 0.0661 ]  , </v>
      </c>
    </row>
    <row r="129" spans="1:1">
      <c r="A129" s="13" t="str">
        <f>jsRow(remedy_factors!A129:AL129, TRUE )</f>
        <v xml:space="preserve">[ -0.0271 , 0.042 , -0.063 , 0.247 , 0.1017 , 0.0858 , -0.3545 , -0.1809 , 0.1188 , 0.0067 , -0.113 , 0.1129 , 0.1395 , 0.2936 , -0.1733 , -0.1265 , 0.1572 , -0.3565 , -0.026 , 0.0391 , 0.1487 , -0.0235 , 0.0515 , -0.1352 , 0.1493 , -0.12 , -0.1031 , 0.2441 , 0.178 , -0.1076 , 0.0737 , 0.1736 , -0.0516 , 0.0997 , -0.0428 , 0.0589 , -0.1286 , -0.3838 ]  , </v>
      </c>
    </row>
    <row r="130" spans="1:1">
      <c r="A130" s="13" t="str">
        <f>jsRow(remedy_factors!A130:AL130, TRUE )</f>
        <v xml:space="preserve">[ -0.3327 , 0.2677 , -0.0741 , -0.1307 , 0.2606 , 0.0833 , 0.1336 , 0.0183 , 0.2614 , -0.1383 , 0.2557 , 0.0506 , -0.1336 , 0.0993 , 0.0634 , 0.2926 , -0.0204 , -0.2148 , 0.0396 , 0.082 , -0.1121 , 0.2405 , -0.0215 , 0.0241 , -0.0141 , -0.1105 , 0.0904 , -0.0739 , -0.0893 , -0.154 , -0.0802 , -0.0802 , -0.2486 , -0.3133 , -0.1687 , -0.0097 , 0.1983 , 0.0684 ]  , </v>
      </c>
    </row>
    <row r="131" spans="1:1">
      <c r="A131" s="13" t="str">
        <f>jsRow(remedy_factors!A131:AL131, TRUE )</f>
        <v xml:space="preserve">[ 0.3253 , -0.2839 , -0.0158 , -0.0838 , -0.0215 , -0.1543 , -0.0097 , -0.0668 , -0.1175 , 0.0494 , -0.1073 , 0.0798 , -0.2098 , -0.1414 , 0.2045 , -0.1199 , -0.0531 , 0.0628 , -0.1397 , -0.0369 , 0.2066 , 0.2689 , 0.2491 , 0.0826 , 0.1195 , -0.3824 , -0.1041 , 0.1867 , -0.0575 , -0.2969 , 0.0697 , 0.0936 , 0.1138 , -0.0389 , -0.0563 , 0.2653 , 0.0235 , 0.1086 ]  , </v>
      </c>
    </row>
    <row r="132" spans="1:1">
      <c r="A132" s="13" t="str">
        <f>jsRow(remedy_factors!A132:AL132, TRUE )</f>
        <v xml:space="preserve">[ -0.3304 , 0.3518 , 0.0012 , -0.0281 , 0.1916 , -0.3708 , 0.1146 , -0.0116 , 0.02 , -0.0418 , 0.0507 , 0.0184 , 0.0872 , 0.0797 , 0.04 , 0.0315 , -0.0443 , -0.1531 , -0.2416 , -0.0248 , 0.136 , 0.0689 , -0.1404 , 0.0326 , -0.2122 , 0.1465 , 0.0611 , 0.086 , 0.067 , 0.0376 , 0.1528 , -0.0441 , 0.1656 , -0.4472 , -0.1099 , 0.1062 , -0.0939 , 0.2458 ]  , </v>
      </c>
    </row>
    <row r="133" spans="1:1">
      <c r="A133" s="13" t="str">
        <f>jsRow(remedy_factors!A133:AL133, TRUE )</f>
        <v xml:space="preserve">[ 0.3809 , -0.2895 , 0.2633 , -0.35 , -0.0409 , 0.0916 , -0.055 , -0.3115 , 0.1503 , -0.3543 , 0.1961 , 0.1234 , 0.1194 , -0.0849 , 0.047 , -0.1115 , -0.1228 , -0.0663 , -0.0428 , -0.0568 , 0.0962 , -0.201 , 0.1329 , -0.1106 , 0.0565 , 0.0391 , 0.0385 , 0.0443 , -0.0571 , 0.1512 , 0.0605 , 0.077 , -0.1545 , 0.0229 , 0.0415 , 0.2242 , -0.0195 , 0.0812 ]  , </v>
      </c>
    </row>
    <row r="134" spans="1:1">
      <c r="A134" s="13" t="str">
        <f>jsRow(remedy_factors!A134:AL134, TRUE )</f>
        <v xml:space="preserve">[ 0.2439 , -0.204 , 0.2874 , -0.1386 , 0.0013 , -0.243 , -0.1668 , -0.1126 , -0.1543 , 0.2399 , 0.096 , 0.152 , 0.0758 , -0.2919 , -0.1206 , -0.0852 , -0.1448 , -0.0507 , 0.022 , 0.1099 , 0.1655 , 0.1798 , -0.0103 , -0.0282 , 0.1305 , -0.1619 , -0.0291 , 0.1179 , -0.0816 , -0.2982 , 0.2067 , 0.3287 , 0.0404 , -0.0336 , 0.0004 , -0.1009 , -0.13 , 0.2004 ]  , </v>
      </c>
    </row>
    <row r="135" spans="1:1">
      <c r="A135" s="13" t="str">
        <f>jsRow(remedy_factors!A135:AL135, TRUE )</f>
        <v xml:space="preserve">[ -0.3525 , 0.1149 , -0.1252 , -0.2307 , -0.3935 , 0.0067 , 0.0927 , 0.1247 , 0.0269 , -0.0697 , -0.0505 , -0.1446 , -0.0285 , -0.0636 , 0.1284 , 0.1863 , -0.0617 , 0.0172 , -0.0728 , -0.1861 , -0.0109 , 0.0547 , 0.2044 , 0.084 , 0.0212 , -0.1159 , 0.0152 , 0.0088 , -0.1664 , 0.0005 , 0.3357 , -0.1776 , 0.138 , 0.1032 , 0.4493 , 0.1135 , -0.0244 , 0.0494 ]  , </v>
      </c>
    </row>
    <row r="136" spans="1:1">
      <c r="A136" s="13" t="str">
        <f>jsRow(remedy_factors!A136:AL136, TRUE )</f>
        <v xml:space="preserve">[ -0.3421 , 0.1663 , -0.1489 , -0.1825 , -0.3754 , 0.0687 , 0.143 , 0.1178 , 0.1103 , -0.0458 , 0.0596 , -0.2154 , -0.0622 , -0.0309 , 0.0635 , 0.2357 , -0.0823 , 0.0282 , -0.0548 , -0.1732 , -0.0093 , -0.023 , 0.0745 , 0.1774 , -0.0225 , -0.2243 , -0.0282 , 0.0275 , -0.1333 , 0.0039 , 0.3035 , -0.1131 , 0.1263 , 0.2025 , 0.4118 , 0.0433 , -0.0975 , -0.0029 ]  , </v>
      </c>
    </row>
    <row r="137" spans="1:1">
      <c r="A137" s="13" t="str">
        <f>jsRow(remedy_factors!A137:AL137, TRUE )</f>
        <v xml:space="preserve">[ -0.0032 , 0.0126 , 0.1308 , 0.2308 , 0.385 , -0.4265 , 0.0606 , -0.1708 , 0.053 , 0.0176 , 0.0474 , -0.0924 , 0.0298 , -0.0603 , -0.0278 , 0.1354 , 0.2217 , 0.0541 , -0.1761 , -0.1314 , 0.0219 , 0.1369 , -0.1688 , 0.0802 , -0.1559 , 0.2431 , 0.0919 , 0.0436 , 0.0731 , -0.0108 , 0.0901 , 0.0322 , -0.0056 , -0.3794 , -0.2226 , 0.0462 , -0.2612 , 0.0456 ]  , </v>
      </c>
    </row>
    <row r="138" spans="1:1">
      <c r="A138" s="13" t="str">
        <f>jsRow(remedy_factors!A138:AL138, TRUE )</f>
        <v xml:space="preserve">[ 0.0119 , 0.3267 , -0.0871 , 0.1802 , 0.353 , -0.2114 , 0.0765 , -0.179 , 0.0134 , -0.0629 , 0.2483 , -0.0569 , -0.155 , 0.2084 , 0.1748 , 0.026 , 0.2594 , 0.2074 , -0.0564 , -0.251 , -0.1614 , -0.0337 , -0.2824 , -0.1136 , -0.177 , -0.0262 , -0.1228 , -0.0178 , -0.1005 , 0.0042 , 0.13 , 0.1218 , -0.0651 , -0.1025 , -0.1302 , -0.123 , 0.2114 , -0.0327 ]  , </v>
      </c>
    </row>
    <row r="139" spans="1:1">
      <c r="A139" s="13" t="str">
        <f>jsRow(remedy_factors!A139:AL139, TRUE )</f>
        <v xml:space="preserve">[ 0.2807 , -0.1866 , 0.1778 , 0.0477 , -0.0289 , 0.0418 , -0.0163 , -0.0883 , -0.0284 , -0.0297 , -0.1824 , 0.1874 , -0.0084 , -0.2769 , 0.1004 , -0.1389 , -0.1723 , -0.3045 , 0.0402 , -0.0301 , 0.2276 , 0.1606 , -0.1021 , 0.0117 , 0.0431 , 0.0105 , 0.0075 , 0.0251 , -0.3597 , -0.0745 , 0.0251 , 0.3735 , 0.1912 , -0.0866 , 0.3376 , -0.0314 , -0.1247 , -0.0184 ]  , </v>
      </c>
    </row>
    <row r="140" spans="1:1">
      <c r="A140" s="13" t="str">
        <f>jsRow(remedy_factors!A140:AL140, TRUE )</f>
        <v xml:space="preserve">[ -0.074 , 0.1639 , 0.2509 , -0.0591 , -0.4195 , -0.351 , 0.2097 , -0.3549 , -0.1506 , 0.1568 , 0.0683 , 0.1347 , -0.005 , -0.1613 , 0.0453 , -0.1496 , 0.2965 , 0.043 , 0.0344 , -0.0956 , -0.0211 , -0.068 , -0.0375 , 0.0716 , -0.1618 , 0.1248 , -0.0083 , 0.062 , 0.2144 , -0.0683 , -0.1086 , 0.1464 , 0.1881 , 0.0315 , -0.0292 , 0.1608 , -0.0855 , -0.0021 ]  , </v>
      </c>
    </row>
    <row r="141" spans="1:1">
      <c r="A141" s="13" t="str">
        <f>jsRow(remedy_factors!A141:AL141, TRUE )</f>
        <v xml:space="preserve">[ 0.4596 , -0.2645 , -0.1614 , -0.0759 , -0.0962 , 0.1348 , -0.2858 , 0.0465 , -0.0597 , 0.2765 , -0.2207 , 0.0179 , 0.0955 , -0.1962 , -0.1714 , -0.0665 , -0.1703 , -0.1155 , 0.1396 , 0.0555 , 0.1545 , 0.1645 , -0.0438 , -0.2538 , 0.2 , -0.1214 , 0.081 , 0.0986 , 0.1021 , 0.0965 , 0.0079 , -0.0141 , 0.0524 , 0.0465 , -0.2145 , 0.0624 , 0.0676 , 0.1807 ]  , </v>
      </c>
    </row>
    <row r="142" spans="1:1">
      <c r="A142" s="13" t="str">
        <f>jsRow(remedy_factors!A142:AL142, TRUE )</f>
        <v xml:space="preserve">[ 0.5383 , -0.2693 , -0.0825 , 0.1527 , 0.0619 , 0.0329 , -0.0539 , -0.0294 , -0.1539 , 0.0377 , -0.2943 , 0.2114 , 0.0432 , -0.1166 , 0.0258 , -0.1123 , -0.2404 , -0.2071 , -0.0543 , 0.1829 , 0.1301 , 0.2848 , 0.0179 , -0.0294 , 0.0254 , 0.0242 , 0.0329 , -0.0008 , -0.2114 , -0.1162 , 0.0373 , -0.0734 , 0.2824 , 0.0889 , 0.0282 , 0.0135 , -0.117 , -0.0881 ]  , </v>
      </c>
    </row>
    <row r="143" spans="1:1">
      <c r="A143" s="13" t="str">
        <f>jsRow(remedy_factors!A143:AL143, TRUE )</f>
        <v xml:space="preserve">[ -0.1879 , 0.382 , -0.1582 , 0.0843 , 0.0812 , -0.0884 , -0.0749 , 0.0287 , 0.0975 , -0.1419 , 0.0595 , -0.0206 , -0.2071 , 0.2031 , -0.028 , 0.0945 , -0.1895 , -0.1499 , 0.0887 , 0.1175 , -0.1301 , 0.2874 , -0.0949 , -0.2983 , 0.1603 , 0.01 , -0.1962 , 0.0558 , 0.3241 , 0.138 , -0.229 , -0.0369 , -0.237 , 0.1964 , -0.0767 , 0.0571 , 0.1054 , -0.0233 ]  , </v>
      </c>
    </row>
    <row r="144" spans="1:1">
      <c r="A144" s="13" t="str">
        <f>jsRow(remedy_factors!A144:AL144, TRUE )</f>
        <v xml:space="preserve">[ 0.3742 , -0.2406 , -0.3026 , 0.4544 , -0.0679 , 0.121 , -0.0786 , -0.2621 , -0.1058 , -0.3314 , 0.0817 , 0.0047 , 0.243 , -0.2576 , 0.1538 , -0.0685 , -0.059 , 0.0778 , -0.031 , 0.0969 , 0.0164 , 0.0673 , -0.0876 , -0.0945 , 0.0574 , -0.0797 , 0.09 , 0.0296 , -0.1003 , 0.0551 , 0.0993 , 0.1064 , 0.1149 , -0.0651 , -0.0766 , -0.0158 , 0.1009 , -0.0231 ]  , </v>
      </c>
    </row>
    <row r="145" spans="1:1">
      <c r="A145" s="13" t="str">
        <f>jsRow(remedy_factors!A145:AL145, TRUE )</f>
        <v xml:space="preserve">[ 0.4006 , -0.3161 , 0.0261 , -0.5357 , 0.3554 , -0.1867 , 0.0571 , -0.0719 , -0.01 , -0.2329 , 0.08 , 0.0439 , -0.0106 , -0.0245 , 0.0374 , -0.03 , -0.2658 , 0.0219 , -0.0148 , 0.1529 , 0.0397 , -0.1329 , -0.0739 , 0.0584 , 0.0897 , 0.0268 , -0.0632 , 0.1893 , 0.0284 , 0.088 , -0.0148 , 0.1116 , -0.0648 , 0.0564 , 0.0629 , 0.0126 , 0.1122 , 0.0019 ]  , </v>
      </c>
    </row>
    <row r="146" spans="1:1">
      <c r="A146" s="13" t="str">
        <f>jsRow(remedy_factors!A146:AL146, TRUE )</f>
        <v xml:space="preserve">[ 0.1545 , -0.2907 , 0.4421 , 0.1455 , 0.0097 , -0.4116 , -0.0164 , 0.2709 , -0.2218 , 0.0875 , 0.0432 , 0.137 , -0.0785 , -0.2322 , 0.0912 , -0.096 , -0.0823 , 0.0205 , -0.0916 , 0.1411 , 0.0882 , -0.077 , 0.064 , -0.038 , 0.1314 , -0.1973 , -0.1764 , -0.1239 , -0.0603 , 0.0811 , -0.0004 , 0.1366 , 0.1061 , -0.1656 , 0.0867 , 0.0495 , 0.1809 , -0.0953 ]  , </v>
      </c>
    </row>
    <row r="147" spans="1:1">
      <c r="A147" s="13" t="str">
        <f>jsRow(remedy_factors!A147:AL147, TRUE )</f>
        <v xml:space="preserve">[ -0.0336 , 0.2619 , -0.1045 , -0.0851 , -0.2447 , 0.256 , 0.0334 , 0.3089 , 0.0308 , -0.0784 , -0.095 , -0.1997 , 0.2412 , 0.0911 , -0.192 , -0.1199 , -0.1237 , 0.1063 , -0.0346 , 0.0681 , -0.0326 , -0.1104 , -0.1 , 0.0393 , 0.2121 , 0.2858 , -0.2272 , 0.2021 , -0.0853 , -0.1357 , 0.1717 , -0.2432 , -0.0486 , -0.0168 , 0.1967 , -0.2696 , -0.0247 , 0.1053 ]  , </v>
      </c>
    </row>
    <row r="148" spans="1:1">
      <c r="A148" s="13" t="str">
        <f>jsRow(remedy_factors!A148:AL148, TRUE )</f>
        <v xml:space="preserve">[ -0.4077 , -0.0189 , -0.1562 , 0.1483 , 0.0682 , 0.1141 , -0.0508 , 0.2767 , -0.0186 , -0.0807 , -0.1741 , 0.2121 , 0.2504 , 0.0702 , -0.1197 , 0.0049 , -0.2029 , 0.2823 , 0.0753 , -0.145 , 0.1391 , -0.325 , -0.1289 , 0.2846 , -0.0015 , -0.0207 , -0.1419 , -0.1024 , 0.0582 , 0.0666 , 0.1264 , 0.1468 , 0.0245 , 0.0585 , -0.1539 , -0.0858 , -0.184 , 0.1029 ]  , </v>
      </c>
    </row>
    <row r="149" spans="1:1">
      <c r="A149" s="13" t="str">
        <f>jsRow(remedy_factors!A149:AL149, TRUE )</f>
        <v xml:space="preserve">[ -0.2111 , 0.2048 , 0.1385 , -0.1687 , -0.3796 , 0.4078 , 0.1507 , -0.0816 , -0.1347 , -0.0616 , -0.1401 , 0.0135 , -0.0029 , 0.0117 , -0.0165 , 0.0406 , -0.1716 , -0.0104 , 0.0196 , 0.178 , 0.1516 , -0.1374 , 0.0032 , -0.0553 , -0.0386 , 0.1051 , -0.1256 , -0.048 , -0.0686 , -0.0794 , 0.1712 , -0.0661 , -0.1689 , -0.0729 , 0.4044 , -0.1017 , 0.0295 , 0.3031 ]  , </v>
      </c>
    </row>
    <row r="150" spans="1:1">
      <c r="A150" s="13" t="str">
        <f>jsRow(remedy_factors!A150:AL150, TRUE )</f>
        <v xml:space="preserve">[ -0.0926 , -0.3313 , 0.1709 , 0.3549 , 0.1758 , -0.0329 , -0.0378 , 0.402 , 0.0681 , 0.0245 , -0.1977 , 0.1313 , -0.039 , 0.0707 , 0.0443 , 0.0565 , -0.1578 , -0.0172 , -0.0518 , 0.1866 , 0.021 , -0.1543 , -0.0923 , 0.1272 , -0.1217 , -0.1671 , -0.2597 , -0.1592 , 0.06 , 0.147 , -0.1895 , 0.0454 , -0.1895 , 0.069 , -0.2116 , 0.1132 , 0.2224 , 0.0084 ]  , </v>
      </c>
    </row>
    <row r="151" spans="1:1">
      <c r="A151" s="13" t="str">
        <f>jsRow(remedy_factors!A151:AL151, TRUE )</f>
        <v xml:space="preserve">[ 0.5357 , -0.2372 , -0.1327 , 0.064 , 0.1384 , 0.048 , 0.0036 , 0.0455 , -0.2152 , 0.1113 , -0.3226 , 0.0658 , 0.1366 , -0.3546 , -0.0815 , -0.0761 , 0.0715 , -0.1341 , 0.1344 , 0.1003 , 0.2187 , 0.0324 , -0.1519 , -0.1793 , -0.0153 , -0.1042 , 0.0189 , 0.1142 , 0.0135 , 0.1046 , 0.2134 , -0.1216 , 0.0274 , -0.0014 , -0.1106 , 0.1295 , -0.0007 , -0.0811 ]  , </v>
      </c>
    </row>
    <row r="152" spans="1:1">
      <c r="A152" s="13" t="str">
        <f>jsRow(remedy_factors!A152:AL152, TRUE )</f>
        <v xml:space="preserve">[ 0.3524 , -0.0909 , -0.1028 , 0.3173 , -0.1775 , 0.2177 , 0.1387 , -0.4627 , -0.0022 , -0.3068 , -0.0442 , 0.2366 , -0.0491 , 0.1557 , 0.1136 , -0.1559 , -0.2021 , 0.0094 , -0.1487 , -0.0621 , 0.1492 , -0.0205 , 0.0103 , -0.239 , 0.072 , -0.0882 , 0.0834 , 0.1093 , -0.0486 , -0.0858 , -0.0448 , -0.0049 , 0.0297 , 0.0556 , 0.0766 , 0.1603 , 0 , 0.0478 ]  , </v>
      </c>
    </row>
    <row r="153" spans="1:1">
      <c r="A153" s="13" t="str">
        <f>jsRow(remedy_factors!A153:AL153, TRUE )</f>
        <v xml:space="preserve">[ -0.7117 , -0.0013 , -0.1378 , -0.0834 , 0.207 , 0.0418 , 0.1379 , -0.0382 , -0.1326 , 0.1168 , -0.0221 , 0.1115 , 0.1099 , 0.0039 , -0.055 , -0.1723 , -0.0013 , 0.1243 , 0.0276 , 0.1478 , 0.0339 , -0.2452 , -0.0151 , -0.0064 , -0.1177 , 0.2236 , 0.0025 , 0.0253 , -0.0493 , -0.0879 , 0.0948 , 0.0961 , 0.2493 , -0.1438 , 0.1072 , 0.1605 , 0.0204 , -0.0237 ]  , </v>
      </c>
    </row>
    <row r="154" spans="1:1">
      <c r="A154" s="13" t="str">
        <f>jsRow(remedy_factors!A154:AL154, TRUE )</f>
        <v xml:space="preserve">[ -0.4115 , -0.2711 , 0.0399 , 0.2984 , 0.1608 , -0.1591 , 0.1603 , -0.1973 , -0.2958 , 0.0887 , -0.2571 , 0.2088 , 0.1474 , -0.0323 , -0.103 , -0.1277 , 0.0915 , 0.2928 , 0.018 , 0.1777 , -0.0182 , 0.0087 , -0.0351 , -0.1841 , -0.0601 , 0.1572 , 0.0396 , 0.0584 , 0.2038 , -0.1448 , -0.1263 , -0.0368 , 0.0831 , 0.0008 , 0.0634 , 0.0312 , 0.0295 , 0.0926 ]  , </v>
      </c>
    </row>
    <row r="155" spans="1:1">
      <c r="A155" s="13" t="str">
        <f>jsRow(remedy_factors!A155:AL155, TRUE )</f>
        <v xml:space="preserve">[ -0.4813 , 0.0699 , -0.0716 , -0.1027 , 0.2421 , -0.2357 , 0.1792 , -0.1321 , -0.1094 , 0.0392 , -0.0589 , 0.2333 , 0.1218 , -0.1011 , -0.1 , -0.1604 , -0.0231 , 0.0217 , -0.0268 , -0.018 , -0.0163 , -0.0141 , -0.2115 , 0.0313 , -0.1816 , 0.2084 , 0.0891 , 0.1973 , 0.1393 , 0.0412 , 0.2482 , 0.0635 , 0.2198 , -0.3126 , -0.0772 , 0.1634 , 0.0014 , 0.1222 ]  , </v>
      </c>
    </row>
    <row r="156" spans="1:1">
      <c r="A156" s="13" t="str">
        <f>jsRow(remedy_factors!A156:AL156, TRUE )</f>
        <v xml:space="preserve">[ 0.0795 , -0.4196 , 0.2452 , -0.1939 , 0.3856 , -0.1564 , 0.0177 , -0.1427 , -0.2363 , -0.1458 , -0.0627 , 0.246 , 0.0579 , -0.2434 , -0.0318 , -0.1042 , -0.231 , 0.0451 , 0.0883 , 0 , 0.239 , -0.1621 , 0.174 , 0.0168 , 0.0663 , -0.1281 , -0.0141 , 0.0331 , -0.0177 , -0.0004 , 0.1846 , 0.1957 , 0.0985 , -0.0283 , -0.0075 , 0.061 , -0.0455 , 0.1475 ]  , </v>
      </c>
    </row>
    <row r="157" spans="1:1">
      <c r="A157" s="13" t="str">
        <f>jsRow(remedy_factors!A157:AL157, TRUE )</f>
        <v xml:space="preserve">[ -0.1083 , 0.0919 , 0.0045 , 0.0087 , 0.4122 , -0.1313 , -0.2749 , -0.2477 , 0.0671 , 0.2676 , 0.0877 , 0.175 , -0.0269 , 0.3357 , -0.1698 , -0.0779 , 0.1177 , -0.1635 , 0.0356 , 0.0171 , 0.0807 , -0.0493 , 0.0789 , -0.0859 , 0.1188 , 0.0873 , 0.0915 , -0.1785 , -0.1037 , -0.1897 , -0.0374 , 0.0835 , -0.225 , -0.0968 , -0.1533 , 0.1918 , 0.1932 , -0.2316 ]  , </v>
      </c>
    </row>
    <row r="158" spans="1:1">
      <c r="A158" s="13" t="str">
        <f>jsRow(remedy_factors!A158:AL158, TRUE )</f>
        <v xml:space="preserve">[ -0.0823 , 0.3253 , 0.3506 , -0.1496 , -0.2361 , 0.201 , 0.0061 , -0.2407 , -0.3336 , 0.0951 , 0.119 , -0.0352 , -0.1494 , 0.0088 , 0.1689 , 0.0663 , -0.0373 , -0.2121 , -0.1673 , 0.0221 , 0.133 , -0.0765 , 0.1471 , 0.1246 , 0.246 , 0.106 , 0.1643 , 0.0484 , -0.1124 , 0.0012 , 0.1023 , -0.1531 , -0.1152 , -0.192 , -0.1054 , -0.1284 , 0.1729 , -0.0779 ]  , </v>
      </c>
    </row>
    <row r="159" spans="1:1">
      <c r="A159" s="13" t="str">
        <f>jsRow(remedy_factors!A159:AL159, TRUE )</f>
        <v xml:space="preserve">[ -0.1169 , -0.0989 , 0.1237 , 0.0666 , -0.0058 , -0.1891 , -0.2561 , -0.0287 , 0.3138 , 0.131 , 0.1532 , 0.1126 , 0.2119 , -0.1539 , -0.1934 , 0.4167 , -0.0316 , -0.0014 , -0.2323 , 0.0999 , -0.1378 , 0.0601 , -0.0402 , -0.1019 , 0.1569 , -0.2857 , 0.2297 , 0.0714 , -0.0606 , 0.0425 , 0.0414 , -0.0934 , 0.174 , 0.1442 , -0.0099 , -0.1036 , -0.2022 , -0.2022 ]  , </v>
      </c>
    </row>
    <row r="160" spans="1:1">
      <c r="A160" s="13" t="str">
        <f>jsRow(remedy_factors!A160:AL160, TRUE )</f>
        <v xml:space="preserve">[ -0.5529 , -0.2659 , 0.1397 , 0.2614 , 0.3554 , 0.1281 , -0.1989 , 0.0252 , 0.2454 , -0.0599 , 0.1043 , 0.1571 , -0.1279 , -0.1073 , 0.1416 , -0.1861 , -0.0412 , -0.007 , 0.1262 , -0.0565 , 0.0985 , -0.0149 , 0.2384 , 0.1004 , 0.0147 , -0.038 , -0.1156 , 0.1128 , -0.1373 , -0.039 , -0.0719 , -0.0369 , -0.0701 , -0.0294 , -0.1092 , -0.0083 , 0.0036 , 0.0273 ]  , </v>
      </c>
    </row>
    <row r="161" spans="1:1">
      <c r="A161" s="13" t="str">
        <f>jsRow(remedy_factors!A161:AL161, TRUE )</f>
        <v xml:space="preserve">[ -0.2056 , 0.0432 , 0.2134 , 0.2541 , -0.188 , -0.2043 , -0.1021 , -0.5077 , -0.1133 , 0.076 , -0.1235 , 0.2993 , 0.0813 , -0.0691 , -0.2493 , 0.0653 , 0.2714 , -0.1146 , 0.1021 , 0.1982 , -0.1024 , 0.0849 , 0.1441 , -0.1029 , -0.108 , -0.0701 , 0.0158 , 0.1225 , 0.125 , 0.0216 , 0.1606 , -0.0386 , -0.1189 , 0.1164 , 0.0922 , -0.0318 , -0.0368 , -0.0081 ]  , </v>
      </c>
    </row>
    <row r="162" spans="1:1">
      <c r="A162" s="13" t="str">
        <f>jsRow(remedy_factors!A162:AL162, TRUE )</f>
        <v xml:space="preserve">[ -0.0027 , -0.35 , -0.0393 , -0.2229 , 0.6496 , -0.1302 , -0.1531 , 0.0057 , 0.0526 , -0.1504 , 0.1175 , 0.2023 , -0.1673 , 0.2344 , -0.019 , 0.0027 , 0.0384 , -0.1117 , -0.1012 , 0.1362 , -0.0698 , 0.0994 , 0.0015 , 0.2027 , -0.1287 , -0.0477 , 0.0411 , 0.084 , 0.1175 , -0.1377 , -0.0323 , 0.0248 , -0.026 , -0.164 , 0.0562 , 0.0236 , 0.0459 , -0.0803 ]  , </v>
      </c>
    </row>
    <row r="163" spans="1:1">
      <c r="A163" s="13" t="str">
        <f>jsRow(remedy_factors!A163:AL163, TRUE )</f>
        <v xml:space="preserve">[ 0.4235 , -0.3149 , 0.0042 , 0.0486 , -0.0035 , -0.0564 , 0.0428 , 0.2467 , -0.1159 , -0.1307 , -0.0692 , 0.3385 , -0.0895 , -0.2811 , -0.0583 , -0.267 , -0.0348 , -0.1237 , 0.1906 , -0.1282 , 0.0795 , 0.0879 , 0.0084 , 0.2631 , -0.0184 , -0.2531 , 0.0264 , 0.0802 , -0.1948 , 0.1114 , 0.0232 , 0.1111 , 0.0818 , -0.1758 , 0.02 , -0.0029 , 0.0032 , 0.1272 ]  , </v>
      </c>
    </row>
    <row r="164" spans="1:1">
      <c r="A164" s="13" t="str">
        <f>jsRow(remedy_factors!A164:AL164, TRUE )</f>
        <v xml:space="preserve">[ 0.0262 , -0.4095 , -0.1569 , 0.5197 , 0.0672 , 0.0313 , -0.0772 , -0.2269 , -0.1659 , -0.3025 , -0.1128 , 0.0974 , 0.2618 , -0.1597 , 0.1577 , -0.0849 , 0.0033 , 0.0441 , 0.0536 , 0.1387 , -0.0233 , 0.0897 , -0.0767 , 0 , -0.0126 , 0.0861 , 0.0105 , 0.101 , -0.1277 , 0.0972 , 0.0203 , 0.0967 , 0.2369 , -0.1972 , -0.0385 , -0.0918 , 0.0269 , 0.0954 ]  , </v>
      </c>
    </row>
    <row r="165" spans="1:1">
      <c r="A165" s="13" t="str">
        <f>jsRow(remedy_factors!A165:AL165, TRUE )</f>
        <v xml:space="preserve">[ 0.154 , -0.3946 , 0.0807 , -0.4159 , 0.2075 , 0.0871 , -0.005 , -0.07 , -0.093 , -0.1386 , 0.2045 , 0.0801 , 0.049 , -0.0087 , -0.3871 , 0.0647 , -0.065 , -0.0386 , 0.0557 , -0.0639 , 0.2495 , -0.0683 , 0.0759 , 0.1862 , 0.0527 , -0.1101 , 0.0636 , -0.0308 , -0.0532 , 0.0342 , 0.1535 , 0.24 , 0.165 , 0.0888 , -0.2501 , -0.1568 , -0.0143 , 0.0717 ]  , </v>
      </c>
    </row>
    <row r="166" spans="1:1">
      <c r="A166" s="13" t="str">
        <f>jsRow(remedy_factors!A166:AL166, TRUE )</f>
        <v xml:space="preserve">[ 0.2684 , -0.2184 , -0.2015 , -0.1402 , -0.0629 , -0.2319 , -0.23 , -0.1569 , -0.0912 , 0.1992 , -0.0161 , -0.1928 , 0.0551 , 0.0135 , 0.0061 , -0.0448 , 0.2532 , 0.271 , 0.165 , -0.0737 , 0.0025 , -0.3164 , 0.2779 , 0.1926 , 0.0509 , 0.0253 , -0.1519 , 0.1115 , 0.0915 , 0.1726 , 0.1848 , 0.1542 , -0.1117 , -0.1058 , -0.0425 , 0.0972 , -0.1987 , -0.0122 ]  , </v>
      </c>
    </row>
    <row r="167" spans="1:1">
      <c r="A167" s="13" t="str">
        <f>jsRow(remedy_factors!A167:AL167, TRUE )</f>
        <v xml:space="preserve">[ 0.0893 , -0.3943 , -0.1455 , 0.196 , 0.1449 , -0.0667 , 0.1751 , 0.1712 , -0.2081 , 0.1201 , -0.0769 , -0.0308 , -0.1531 , -0.17 , -0.0642 , 0.1515 , -0.1061 , 0.2208 , -0.0502 , 0.1496 , -0.2558 , -0.0467 , 0.013 , -0.1023 , 0.2427 , 0.2052 , -0.217 , 0.0102 , -0.2106 , -0.0839 , 0.0365 , 0.1328 , 0.2129 , -0.1601 , 0.061 , 0.224 , 0.1404 , -0.1458 ]  , </v>
      </c>
    </row>
    <row r="168" spans="1:1">
      <c r="A168" s="13" t="str">
        <f>jsRow(remedy_factors!A168:AL168, TRUE )</f>
        <v xml:space="preserve">[ 0.151 , -0.0529 , 0.2488 , -0.0954 , 0.163 , -0.0345 , 0.0096 , -0.1572 , 0.0663 , 0.1346 , 0.101 , -0.2685 , -0.1698 , 0.1848 , 0.0869 , 0.1569 , -0.0437 , -0.078 , 0.0507 , 0.0644 , 0.1888 , -0.0049 , -0.0829 , 0.0042 , -0.1579 , -0.0982 , -0.0057 , -0.3201 , 0.0435 , 0.147 , -0.0503 , 0.2192 , -0.4883 , -0.2612 , -0.047 , 0.0148 , 0.2239 , 0.1522 ]  , </v>
      </c>
    </row>
    <row r="169" spans="1:1">
      <c r="A169" s="13" t="str">
        <f>jsRow(remedy_factors!A169:AL169, TRUE )</f>
        <v xml:space="preserve">[ 0.1955 , -0.3806 , 0.3185 , 0.3915 , 0.0106 , -0.328 , -0.1685 , 0.0371 , -0.2636 , 0.1679 , -0.0997 , 0.1357 , 0.096 , -0.2814 , -0.1138 , -0.0952 , 0.161 , -0.0132 , 0.0638 , 0.0923 , 0.0607 , -0.1386 , -0.0152 , 0.0135 , -0.1457 , -0.1279 , 0.0285 , -0.0184 , -0.1153 , 0.2064 , 0.0753 , 0.0736 , 0.0696 , -0.0138 , 0.0492 , -0.0607 , 0.0756 , 0.0612 ]  , </v>
      </c>
    </row>
    <row r="170" spans="1:1">
      <c r="A170" s="13" t="str">
        <f>jsRow(remedy_factors!A170:AL170, TRUE )</f>
        <v xml:space="preserve">[ 0.2399 , -0.2101 , 0.2121 , 0.4589 , 0.0086 , 0.01 , -0.0214 , -0.4856 , 0.0014 , -0.2633 , -0.064 , -0.1113 , 0.0156 , 0.1664 , -0.0295 , 0.1096 , -0.0754 , -0.0225 , -0.118 , 0.0281 , 0.1942 , 0.0045 , -0.1222 , -0.1511 , 0.0468 , 0.0637 , -0.0019 , -0.0988 , 0.0462 , 0.0785 , -0.0495 , 0.1934 , -0.098 , -0.1656 , 0.0868 , 0.1083 , 0.1806 , -0.1739 ]  , </v>
      </c>
    </row>
    <row r="171" spans="1:1">
      <c r="A171" s="13" t="str">
        <f>jsRow(remedy_factors!A171:AL171, TRUE )</f>
        <v xml:space="preserve">[ 0.0438 , 0.1013 , -0.1736 , 0.2338 , 0.0995 , 0.0822 , -0.2717 , -0.2924 , 0.0734 , -0.3017 , 0.1881 , 0.0997 , 0.1679 , 0.1781 , 0.0488 , 0.1047 , 0.0077 , -0.1838 , 0.1277 , 0.0963 , -0.1311 , 0.0411 , 0.1538 , -0.2465 , 0.097 , -0.2665 , -0.07 , 0.1927 , 0.1899 , -0.1572 , 0.0493 , 0.2442 , -0.2767 , 0.0304 , -0.0293 , -0.0325 , -0.1336 , -0.082 ]  , </v>
      </c>
    </row>
    <row r="172" spans="1:1">
      <c r="A172" s="13" t="str">
        <f>jsRow(remedy_factors!A172:AL172, TRUE )</f>
        <v xml:space="preserve">[ 0.3796 , -0.298 , -0.1377 , 0.1479 , 0.1944 , 0.116 , -0.0664 , -0.2112 , -0.1929 , -0.3886 , 0.018 , 0.0127 , 0.0946 , 0.0118 , 0.1361 , 0.062 , -0.0437 , 0.258 , -0.1374 , 0.0747 , 0.1839 , -0.1302 , 0.116 , -0.1845 , 0.1033 , -0.1448 , 0.0025 , -0.0577 , -0.0341 , -0.3172 , 0.0341 , -0.0171 , -0.0236 , 0.192 , 0.1619 , 0.1107 , 0.0068 , -0.0242 ]  , </v>
      </c>
    </row>
    <row r="173" spans="1:1">
      <c r="A173" s="13" t="str">
        <f>jsRow(remedy_factors!A173:AL173, TRUE )</f>
        <v xml:space="preserve">[ 0.449 , -0.1751 , -0.259 , -0.0827 , 0.1667 , 0.1433 , 0.0456 , 0.1343 , -0.1505 , 0.0504 , -0.1019 , 0.1397 , -0.0528 , -0.244 , 0.1139 , 0.0516 , -0.4772 , 0.1145 , -0.1115 , 0.0348 , 0.0342 , 0.0959 , 0.0126 , -0.039 , -0.0468 , -0.2962 , -0.0713 , -0.045 , 0.1547 , -0.0348 , 0.0641 , -0.1715 , 0.0252 , 0.0719 , 0.1247 , 0.1685 , 0.0432 , 0.1361 ]  , </v>
      </c>
    </row>
    <row r="174" spans="1:1">
      <c r="A174" s="13" t="str">
        <f>jsRow(remedy_factors!A174:AL174, TRUE )</f>
        <v xml:space="preserve">[ 0.0565 , -0.4547 , 0.2225 , 0.0437 , -0.0233 , -0.4127 , -0.2348 , 0.1145 , -0.0595 , 0.3024 , 0.0124 , -0.2557 , 0.0932 , 0.036 , -0.0844 , -0.055 , -0.1342 , 0.1522 , 0.0688 , 0.2146 , 0.0529 , 0.0192 , 0.1414 , -0.1356 , -0.0762 , 0.1164 , 0.1444 , -0.0304 , 0.0168 , -0.078 , -0.0562 , 0.1458 , 0.2113 , 0.0871 , 0.0028 , -0.2334 , -0.0061 , 0.0818 ]  , </v>
      </c>
    </row>
    <row r="175" spans="1:1">
      <c r="A175" s="13" t="str">
        <f>jsRow(remedy_factors!A175:AL175, TRUE )</f>
        <v xml:space="preserve">[ -0.1045 , -0.432 , 0.0213 , 0.3129 , -0.1594 , -0.2412 , -0.2679 , -0.2126 , -0.1566 , 0.0352 , 0.1137 , -0.1807 , 0.1465 , 0.2438 , 0.0483 , -0.022 , 0.1428 , 0.1627 , -0.0907 , 0.15 , -0.1212 , -0.248 , 0.0912 , 0.0802 , 0.1957 , -0.0143 , 0.1796 , -0.0413 , -0.0061 , -0.0237 , -0.0621 , 0.1188 , 0.2042 , 0.1153 , 0.0804 , -0.1092 , 0.1111 , -0.0565 ]  , </v>
      </c>
    </row>
    <row r="176" spans="1:1">
      <c r="A176" s="13" t="str">
        <f>jsRow(remedy_factors!A176:AL176, TRUE )</f>
        <v xml:space="preserve">[ 0.4553 , -0.3018 , -0.2247 , 0.1459 , 0.0954 , -0.0823 , -0.2444 , 0.0076 , -0.1917 , 0.122 , -0.2247 , -0.036 , 0.2429 , -0.222 , -0.3171 , 0.0436 , -0.0136 , -0.0742 , 0.0335 , 0.2698 , 0.2126 , 0.0411 , -0.0692 , -0.082 , 0.0342 , -0.0833 , 0.122 , 0.0611 , -0.0707 , -0.0426 , 0.0559 , -0.1266 , 0.1326 , 0.1249 , -0.0047 , 0.0621 , 0.0498 , 0.0983 ]  , </v>
      </c>
    </row>
    <row r="177" spans="1:1">
      <c r="A177" s="13" t="str">
        <f>jsRow(remedy_factors!A177:AL177, TRUE )</f>
        <v xml:space="preserve">[ 0.376 , -0.2709 , -0.0851 , -0.3263 , -0.0244 , -0.0282 , -0.2484 , -0.033 , -0.2036 , 0.102 , 0.0437 , 0.0347 , 0.0644 , -0.1616 , 0.0733 , -0.1498 , -0.1071 , -0.0444 , 0.0485 , -0.0567 , 0.2774 , 0.1281 , -0.082 , -0.309 , 0.2484 , -0.0396 , -0.0697 , 0.0564 , 0.1257 , 0.0895 , -0.1066 , 0.301 , -0.0289 , 0.0171 , 0.2267 , 0.0345 , -0.0352 , 0.1664 ]  , </v>
      </c>
    </row>
    <row r="178" spans="1:1">
      <c r="A178" s="13" t="str">
        <f>jsRow(remedy_factors!A178:AL178, TRUE )</f>
        <v xml:space="preserve">[ 0.2347 , -0.2272 , 0.1647 , 0.1772 , 0.1049 , 0.1531 , -0.1362 , -0.2498 , 0.1429 , -0.217 , -0.0113 , 0.0406 , 0.0184 , 0.2441 , 0.0056 , -0.3024 , -0.0233 , -0.0771 , -0.1332 , -0.2302 , -0.0263 , 0.088 , -0.0598 , 0.1561 , 0.2264 , -0.1211 , 0.0222 , -0.0959 , 0.3893 , -0.038 , -0.1113 , -0.0726 , 0.1629 , 0.0286 , 0.1444 , 0.0489 , -0.2261 , -0.1926 ]  , </v>
      </c>
    </row>
    <row r="179" spans="1:1">
      <c r="A179" s="13" t="str">
        <f>jsRow(remedy_factors!A179:AL179, TRUE )</f>
        <v xml:space="preserve">[ -0.0592 , 0.1155 , 0.3805 , -0.0968 , -0.015 , -0.0744 , 0.0664 , -0.0824 , 0.1745 , -0.1963 , -0.1934 , -0.2769 , -0.0053 , 0.1043 , 0.2544 , 0.2438 , -0.1684 , 0.0178 , -0.0286 , -0.3927 , 0.2679 , -0.0524 , -0.0225 , 0.1671 , 0.1629 , -0.0489 , 0.023 , 0.1266 , 0.1045 , 0.0656 , 0.092 , -0.0403 , 0.0434 , -0.0087 , -0.0409 , -0.2308 , -0.2586 , -0.1126 ]  , </v>
      </c>
    </row>
    <row r="180" spans="1:1">
      <c r="A180" s="13" t="str">
        <f>jsRow(remedy_factors!A180:AL180, TRUE )</f>
        <v xml:space="preserve">[ 0.0568 , -0.0987 , 0.3918 , 0.0912 , 0.1505 , -0.0585 , 0.0683 , -0.2362 , 0.1171 , -0.0722 , -0.2038 , -0.2356 , 0.08 , 0.1869 , 0.1831 , 0.0199 , -0.2147 , 0.0147 , -0.0197 , -0.3472 , 0.3366 , -0.1799 , -0.0097 , 0.0919 , 0.1372 , -0.0546 , 0.0887 , 0.0291 , 0.2043 , -0.0349 , -0.1749 , 0.0336 , 0.1579 , -0.0257 , -0.065 , -0.0436 , -0.0695 , -0.2904 ]  , </v>
      </c>
    </row>
    <row r="181" spans="1:1">
      <c r="A181" s="13" t="str">
        <f>jsRow(remedy_factors!A181:AL181, TRUE )</f>
        <v xml:space="preserve">[ 0.1072 , -0.5684 , 0.318 , -0.1979 , 0.0949 , -0.0466 , -0.3233 , 0.0424 , -0.0455 , -0.1516 , -0.0995 , -0.235 , 0.1359 , 0.207 , 0.1355 , 0.1415 , -0.1075 , 0.027 , -0.0084 , -0.1009 , 0.1243 , -0.1226 , -0.035 , 0.0942 , 0.1657 , -0.1541 , 0.0707 , 0.0707 , 0.118 , -0.0021 , -0.0413 , 0.229 , 0.1114 , -0.0536 , -0.0077 , 0.0382 , -0.027 , 0.0886 ]  , </v>
      </c>
    </row>
    <row r="182" spans="1:1">
      <c r="A182" s="13" t="str">
        <f>jsRow(remedy_factors!A182:AL182, TRUE )</f>
        <v xml:space="preserve">[ 0.1532 , 0.031 , 0.4304 , -0.0343 , 0.0567 , 0.0006 , 0.0037 , -0.0593 , 0.2008 , -0.1589 , -0.3733 , -0.2281 , 0.0134 , 0.0647 , 0.1869 , -0.0425 , -0.1808 , 0.0154 , -0.142 , -0.3119 , 0.3037 , 0.025 , -0.1014 , 0.1635 , 0.2385 , -0.1541 , 0.0614 , -0.0948 , 0.1037 , 0.0486 , 0.132 , 0.0295 , 0.0493 , -0.1025 , 0.0682 , -0.206 , -0.0642 , -0.1235 ]  , </v>
      </c>
    </row>
    <row r="183" spans="1:1">
      <c r="A183" s="13" t="str">
        <f>jsRow(remedy_factors!A183:AL183, TRUE )</f>
        <v xml:space="preserve">[ 0.2981 , 0.2512 , -0.1602 , 0.2086 , -0.0433 , 0.2497 , -0.0783 , 0.3165 , 0.2098 , -0.0762 , -0.2909 , -0.1559 , 0.0189 , -0.1003 , -0.2491 , 0.0698 , -0.1502 , -0.0112 , -0.0953 , -0.0197 , -0.2576 , -0.0781 , 0.1555 , -0.031 , 0.0235 , -0.1856 , 0.1334 , -0.0229 , -0.0592 , -0.2272 , 0.1383 , -0.0738 , 0.0407 , 0.084 , 0.1678 , -0.0206 , -0.1812 , 0.1982 ]  , </v>
      </c>
    </row>
    <row r="184" spans="1:1">
      <c r="A184" s="13" t="str">
        <f>jsRow(remedy_factors!A184:AL184, TRUE )</f>
        <v xml:space="preserve">[ 0.2722 , -0.1973 , 0.0155 , 0.0134 , 0.1544 , -0.4712 , -0.3147 , -0.2873 , 0.109 , 0.2286 , -0.0798 , -0.0049 , 0.249 , 0.0594 , 0.0239 , 0.0176 , 0.0271 , 0.3699 , 0.0468 , -0.0506 , 0.0257 , 0.0556 , -0.0373 , 0.1048 , 0.205 , -0.0707 , -0.0482 , -0.0717 , 0.0271 , 0.0478 , -0.0851 , 0.0461 , -0.1695 , -0.1231 , 0.1614 , -0.1294 , -0.0288 , -0.0971 ]  , </v>
      </c>
    </row>
    <row r="185" spans="1:1">
      <c r="A185" s="13" t="str">
        <f>jsRow(remedy_factors!A185:AL185, TRUE )</f>
        <v xml:space="preserve">[ 0.2888 , -0.2764 , 0.2211 , 0.1201 , 0.0113 , -0.0116 , 0.0333 , 0.0556 , -0.2807 , -0.048 , -0.1163 , 0.0582 , 0.2738 , -0.268 , -0.1974 , -0.044 , 0.1537 , -0.213 , -0.0298 , -0.0538 , 0.2703 , 0.103 , -0.1412 , 0.1117 , 0.02 , -0.0703 , -0.1626 , 0.0049 , -0.1713 , -0.1893 , 0.189 , 0.2466 , -0.0214 , 0.0266 , 0.1725 , -0.1007 , -0.1569 , 0.1968 ]  , </v>
      </c>
    </row>
    <row r="186" spans="1:1">
      <c r="A186" s="13" t="str">
        <f>jsRow(remedy_factors!A186:AL186, TRUE )</f>
        <v xml:space="preserve">[ -0.4307 , 0.2523 , -0.0803 , -0.0045 , 0.1596 , 0.0828 , -0.32 , 0.091 , -0.102 , 0.1207 , 0.3278 , -0.1154 , -0.1286 , 0.0302 , 0.0399 , 0.0006 , 0.3208 , -0.1553 , -0.1356 , -0.0986 , 0.0994 , -0.1103 , 0.0952 , -0.0504 , 0.0649 , -0.0959 , 0.0857 , -0.1713 , -0.2713 , 0.2057 , -0.0489 , -0.0616 , 0.1576 , 0.0053 , 0.1804 , 0.0582 , 0.0859 , -0.0859 ]  , </v>
      </c>
    </row>
    <row r="187" spans="1:1">
      <c r="A187" s="13" t="str">
        <f>jsRow(remedy_factors!A187:AL187, TRUE )</f>
        <v xml:space="preserve">[ -0.4313 , -0.1623 , 0.0981 , -0.0921 , 0.1309 , 0.118 , -0.4349 , 0.1868 , 0.2334 , 0.1872 , -0.2192 , 0.004 , -0.0036 , -0.1133 , 0.2741 , 0.0227 , 0.0792 , 0.0667 , -0.1555 , -0.0167 , 0.0231 , 0.1368 , -0.1796 , -0.2682 , 0.1491 , -0.0411 , -0.1269 , 0.0172 , 0.0896 , 0.0782 , 0.0294 , 0.0201 , 0.0212 , -0.0943 , 0.0756 , 0.1718 , -0.0453 , 0.1656 ]  , </v>
      </c>
    </row>
    <row r="188" spans="1:1">
      <c r="A188" s="13" t="str">
        <f>jsRow(remedy_factors!A188:AL188, TRUE )</f>
        <v xml:space="preserve">[ -0.0054 , 0.0475 , 0.3417 , 0.0558 , -0.1351 , 0.2015 , -0.012 , -0.4188 , -0.2034 , 0.0742 , -0.1863 , 0.1841 , -0.0526 , 0.2607 , 0.0815 , -0.1956 , -0.0091 , -0.2538 , -0.2012 , 0.1026 , 0.0465 , -0.0751 , 0.047 , -0.0279 , -0.0463 , 0.0575 , -0.1486 , 0.0683 , 0.2401 , 0.2252 , -0.2404 , 0.1177 , 0.0876 , 0.0896 , -0.0233 , 0.1385 , -0.1926 , -0.0362 ]  , </v>
      </c>
    </row>
    <row r="189" spans="1:1">
      <c r="A189" s="13" t="str">
        <f>jsRow(remedy_factors!A189:AL189, TRUE )</f>
        <v xml:space="preserve">[ 0.2619 , 0.36 , -0.0997 , 0.0313 , 0.051 , 0.2911 , -0.2146 , -0.245 , -0.0879 , 0.2388 , -0.2296 , 0.2244 , 0.0447 , 0.0533 , 0.1482 , -0.0035 , -0.014 , -0.3413 , -0.0556 , -0.058 , 0.0339 , -0.1442 , 0.1902 , -0.172 , -0.2287 , 0.1309 , -0.1647 , -0.0028 , -0.0418 , -0.0736 , 0.0666 , 0.1274 , 0.0164 , 0.1695 , 0.008 , 0.0004 , -0.0948 , -0.1719 ]  , </v>
      </c>
    </row>
    <row r="190" spans="1:1">
      <c r="A190" s="13" t="str">
        <f>jsRow(remedy_factors!A190:AL190, TRUE )</f>
        <v xml:space="preserve">[ -0.0848 , 0.0897 , 0.3024 , 0.3386 , -0.0261 , -0.1504 , -0.0217 , 0.006 , -0.1339 , -0.1918 , -0.1817 , 0.002 , -0.0667 , -0.0386 , 0.1238 , 0.1769 , 0.3309 , -0.2171 , -0.1661 , 0.1166 , 0.086 , 0.2477 , -0.0265 , -0.2336 , 0.1439 , 0.185 , 0.0716 , -0.2071 , 0.1693 , -0.1773 , 0.0503 , -0.1106 , -0.2047 , -0.1858 , -0.0358 , -0.1238 , 0.0012 , 0.148 ]  , </v>
      </c>
    </row>
    <row r="191" spans="1:1">
      <c r="A191" s="13" t="str">
        <f>jsRow(remedy_factors!A191:AL191, TRUE )</f>
        <v xml:space="preserve">[ 0.1456 , -0.1821 , 0.294 , -0.0496 , 0.1036 , -0.1348 , -0.2306 , -0.1422 , 0.0829 , -0.0466 , 0.003 , -0.0818 , 0.1532 , 0.1486 , -0.0887 , -0.0227 , 0.164 , 0.1273 , -0.2097 , 0.192 , -0.2947 , -0.1171 , -0.1233 , -0.1624 , 0.1362 , -0.1325 , 0.1339 , -0.0018 , 0.133 , -0.2017 , -0.2435 , -0.0519 , 0.3935 , 0.0237 , -0.1086 , 0.1959 , -0.0009 , 0.1966 ]  , </v>
      </c>
    </row>
    <row r="192" spans="1:1">
      <c r="A192" s="13" t="str">
        <f>jsRow(remedy_factors!A192:AL192, TRUE )</f>
        <v xml:space="preserve">[ 0.0813 , -0.2232 , 0.005 , 0.225 , 0.2444 , -0.083 , -0.0907 , -0.2411 , -0.1145 , 0.0044 , -0.0383 , 0.1496 , 0.2774 , -0.1036 , -0.341 , 0.0595 , 0.0297 , -0.1784 , 0.0642 , -0.0668 , 0.457 , -0.0244 , 0.005 , -0.217 , -0.1243 , -0.1207 , 0.0436 , 0.0736 , 0.01 , -0.068 , -0.0312 , 0.1614 , 0.1484 , 0.1316 , -0.1101 , -0.0003 , 0.2214 , -0.2194 ]  , </v>
      </c>
    </row>
    <row r="193" spans="1:1">
      <c r="A193" s="13" t="str">
        <f>jsRow(remedy_factors!A193:AL193, TRUE )</f>
        <v xml:space="preserve">[ 0.3577 , -0.5078 , -0.1237 , -0.0907 , 0.172 , -0.13 , -0.3341 , 0.071 , -0.2004 , -0.0227 , -0.0607 , 0.136 , -0.098 , 0.1284 , 0.1707 , 0.153 , 0.0647 , -0.0387 , -0.0093 , 0.1654 , -0.0483 , 0.1047 , -0.2281 , 0.2591 , 0.0887 , -0.0837 , 0.0123 , 0.1387 , -0.0367 , -0.0313 , -0.204 , 0.0817 , 0.0987 , -0.092 , 0.1277 , 0.011 , 0.0243 , -0.019 ]  , </v>
      </c>
    </row>
    <row r="194" spans="1:1">
      <c r="A194" s="13" t="str">
        <f>jsRow(remedy_factors!A194:AL194, TRUE )</f>
        <v xml:space="preserve">[ -0.3435 , 0.2402 , -0.2275 , 0.0312 , -0.1498 , -0.1489 , -0.1056 , 0.26 , -0.0309 , -0.1497 , -0.0718 , 0.2026 , 0.082 , 0.1305 , -0.2379 , -0.018 , -0.0707 , 0.246 , -0.0257 , 0.3128 , -0.0146 , -0.1003 , 0.3256 , 0.1379 , 0.0773 , 0.1319 , -0.1633 , 0.1059 , -0.0691 , 0.0111 , -0.058 , 0.1511 , -0.1298 , -0.2289 , -0.0636 , 0.1164 , -0.0122 , -0.1388 ]  , </v>
      </c>
    </row>
    <row r="195" spans="1:1">
      <c r="A195" s="13" t="str">
        <f>jsRow(remedy_factors!A195:AL195, TRUE )</f>
        <v xml:space="preserve">[ 0.1668 , -0.1317 , 0.2294 , 0.2859 , -0.0192 , 0.0736 , -0.3296 , -0.2705 , 0.0116 , 0.081 , -0.1474 , -0.0449 , -0.0682 , 0.1838 , -0.2231 , 0.2504 , -0.1796 , -0.162 , 0.1321 , 0.0413 , 0.1407 , 0.0652 , 0.0459 , -0.1899 , 0.0686 , 0.064 , -0.2051 , -0.1041 , 0.1822 , 0.0499 , -0.1353 , 0.1385 , -0.0988 , -0.0523 , 0.1562 , -0.0285 , 0.2733 , -0.2538 ]  , </v>
      </c>
    </row>
    <row r="196" spans="1:1">
      <c r="A196" s="13" t="str">
        <f>jsRow(remedy_factors!A196:AL196, TRUE )</f>
        <v xml:space="preserve">[ 0.2281 , -0.1247 , 0.2245 , -0.3506 , -0.1711 , 0.3049 , -0.0907 , -0.2547 , 0.1879 , 0.1756 , 0.0256 , 0.0684 , -0.0292 , -0.0768 , -0.2161 , -0.1915 , 0.1578 , -0.0097 , -0.0664 , -0.2881 , 0.0525 , -0.0314 , 0.069 , 0.1831 , 0.1406 , -0.1066 , -0.1053 , 0.0729 , 0.0596 , 0.0726 , 0.1516 , 0.0888 , 0.2281 , 0.1461 , -0.0862 , -0.2446 , -0.0736 , -0.1199 ]  , </v>
      </c>
    </row>
    <row r="197" spans="1:1">
      <c r="A197" s="13" t="str">
        <f>jsRow(remedy_factors!A197:AL197, TRUE )</f>
        <v xml:space="preserve">[ 0.4912 , -0.1324 , -0.1076 , 0.0273 , 0.1416 , -0.0702 , -0.2437 , -0.1597 , 0.0811 , 0.2223 , -0.0975 , -0.0672 , -0.2021 , -0.1244 , -0.1908 , 0.1307 , -0.2622 , 0.1849 , -0.0319 , -0.042 , 0.2114 , 0.1819 , 0.1349 , -0.0391 , 0.1118 , -0.2782 , -0.0534 , -0.016 , 0.0756 , -0.2164 , -0.1235 , -0.0219 , 0.084 , 0.092 , 0.0324 , 0.0635 , 0.2311 , -0.0265 ]  , </v>
      </c>
    </row>
    <row r="198" spans="1:1">
      <c r="A198" s="13" t="str">
        <f>jsRow(remedy_factors!A198:AL198, TRUE )</f>
        <v xml:space="preserve">[ -0.4303 , 0.0673 , -0.1934 , 0.4 , 0.2952 , 0.0265 , -0.2767 , 0.0705 , -0.0989 , 0.0108 , 0.1828 , -0.1753 , -0.2277 , -0.0275 , 0.0567 , -0.0142 , 0.1484 , -0.1056 , 0.1274 , 0.0331 , 0.0514 , -0.088 , 0.0998 , 0.033 , 0.048 , 0.3237 , -0.0466 , -0.0887 , 0.0145 , -0.2082 , -0.1589 , -0.1401 , -0.021 , 0.0914 , 0.0055 , 0.1558 , 0.0055 , 0.0543 ]  , </v>
      </c>
    </row>
    <row r="199" spans="1:1">
      <c r="A199" s="13" t="str">
        <f>jsRow(remedy_factors!A199:AL199, TRUE )</f>
        <v xml:space="preserve">[ -0.0476 , 0.249 , 0.2021 , 0.286 , -0.2572 , 0.0132 , 0.0824 , -0.3606 , 0.1124 , -0.1437 , 0.0021 , 0.0429 , -0.1402 , 0.4746 , -0.0302 , -0.0801 , -0.0092 , -0.3856 , 0.0582 , -0.0516 , 0.0638 , -0.0292 , 0.0933 , -0.0306 , 0.0334 , 0.0674 , 0.1861 , 0.1036 , 0.0122 , -0.0299 , -0.1548 , -0.1979 , -0.0987 , 0.0813 , -0.0224 , 0.0436 , -0.1385 , 0.0066 ]  , </v>
      </c>
    </row>
    <row r="200" spans="1:1">
      <c r="A200" s="13" t="str">
        <f>jsRow(remedy_factors!A200:AL200, TRUE )</f>
        <v xml:space="preserve">[ 0.4566 , -0.0392 , -0.2167 , -0.3524 , -0.0937 , -0.1014 , 0.1145 , -0.0231 , -0.0212 , -0.1018 , 0.0742 , 0.207 , -0.0338 , -0.106 , 0.3901 , 0.0336 , -0.1977 , 0.0785 , 0.1092 , -0.246 , -0.0477 , 0.021 , -0.0036 , 0.0706 , -0.1161 , 0.2236 , 0.0524 , 0.0702 , 0.0202 , 0.0977 , -0.12 , -0.0223 , -0.0886 , 0.2223 , -0.2543 , -0.0983 , -0.0405 , 0.0813 ]  , </v>
      </c>
    </row>
    <row r="201" spans="1:1">
      <c r="A201" s="13" t="str">
        <f>jsRow(remedy_factors!A201:AL201, TRUE )</f>
        <v xml:space="preserve">[ -0.159 , 0.2471 , 0.0365 , 0.1693 , 0.2531 , 0.0325 , -0.0534 , 0.0635 , 0.0319 , -0.2195 , 0.1173 , -0.1385 , -0.1219 , 0.2893 , -0.0357 , 0.1912 , 0.1006 , -0.418 , 0.1734 , -0.0314 , -0.1366 , 0.0349 , 0.1543 , -0.213 , 0.0112 , -0.1102 , -0.0177 , 0.2877 , 0.1069 , 0.0033 , -0.141 , 0.0224 , -0.2413 , -0.0829 , -0.1279 , -0.1282 , -0.1489 , 0.2023 ]  , </v>
      </c>
    </row>
    <row r="202" spans="1:1">
      <c r="A202" s="13" t="str">
        <f>jsRow(remedy_factors!A202:AL202, TRUE )</f>
        <v xml:space="preserve">[ -0.0362 , -0.1524 , -0.2605 , 0 , -0.2862 , 0.3725 , -0.064 , -0.1957 , 0.1359 , 0.015 , 0.0866 , 0.2309 , -0.0168 , -0.2164 , -0.1372 , -0.0286 , 0.2923 , -0.2912 , -0.0344 , -0.1094 , 0.1907 , -0.0706 , 0.0307 , -0.1094 , -0.026 , 0.0895 , 0.207 , -0.149 , -0.2083 , 0.1333 , 0.1034 , 0.197 , 0.127 , 0.0659 , -0.0816 , 0.2164 , 0.0168 , -0.0441 ]  , </v>
      </c>
    </row>
    <row r="203" spans="1:1">
      <c r="A203" s="13" t="str">
        <f>jsRow(remedy_factors!A203:AL203, TRUE )</f>
        <v xml:space="preserve">[ 0.5385 , -0.0027 , 0.182 , 0.0907 , 0.1222 , -0.1034 , 0.0172 , 0.1294 , 0.1003 , -0.2061 , 0.2055 , 0.421 , 0.0076 , 0.0467 , 0.0766 , -0.2536 , -0.0903 , -0.0577 , -0.1199 , -0.1742 , -0.0788 , -0.0348 , 0.0229 , -0.2055 , -0.1423 , 0.0493 , -0.1259 , -0.168 , 0.0043 , 0.0665 , -0.1437 , -0.2706 , 0.0563 , 0.0692 , -0.0403 , 0.0115 , -0.0098 , 0.0176 ]  , </v>
      </c>
    </row>
    <row r="204" spans="1:1">
      <c r="A204" s="13" t="str">
        <f>jsRow(remedy_factors!A204:AL204, TRUE )</f>
        <v xml:space="preserve">[ 0.5669 , -0.0694 , -0.1135 , 0.2032 , -0.0713 , 0.28 , 0.183 , -0.1371 , 0.004 , 0.0672 , -0.2826 , 0.1745 , 0.0562 , 0.0547 , 0.0529 , -0.2462 , -0.2759 , -0.3035 , -0.0136 , -0.1929 , 0.0867 , 0.0184 , 0.1242 , -0.0478 , 0.0213 , -0.0705 , -0.0206 , 0.0713 , -0.1014 , 0.0514 , 0.0151 , -0.05 , 0.0184 , -0.0709 , 0.1378 , 0.0514 , -0.0838 , -0.0874 ]  , </v>
      </c>
    </row>
    <row r="205" spans="1:1">
      <c r="A205" s="13" t="str">
        <f>jsRow(remedy_factors!A205:AL205, TRUE )</f>
        <v xml:space="preserve">[ -0.5405 , -0.2952 , 0.0287 , 0.0021 , 0.4386 , 0.193 , 0.1006 , -0.1248 , 0.0034 , 0.0021 , -0.1846 , 0.2909 , 0.0195 , -0.3281 , -0.0635 , -0.089 , -0.0411 , 0.1651 , 0.0592 , 0.0247 , 0.0779 , 0.0097 , 0.035 , 0.0727 , -0.0034 , 0.0279 , -0.0721 , 0.1677 , -0.0058 , -0.0253 , -0.0332 , -0.0853 , -0.1143 , 0.0456 , 0.02 , 0.0348 , 0.0463 , 0.1343 ]  , </v>
      </c>
    </row>
    <row r="206" spans="1:1">
      <c r="A206" s="13" t="str">
        <f>jsRow(remedy_factors!A206:AL206, TRUE )</f>
        <v xml:space="preserve">[ -0.4242 , 0.1436 , -0.2936 , 0.0096 , -0.3273 , 0.1225 , 0.169 , 0.0756 , 0.1363 , -0.1629 , -0.0329 , -0.0002 , -0.0461 , 0.1926 , 0.0469 , -0.1328 , -0.1265 , 0.1053 , 0.3411 , 0.057 , 0.1849 , 0.0245 , -0.1577 , -0.1214 , 0.1663 , 0.0563 , -0.0469 , 0.0951 , 0.0471 , -0.0833 , -0.0547 , 0.1874 , -0.2745 , 0.1918 , 0.1171 , -0.0942 , -0.0775 , -0.0186 ]  , </v>
      </c>
    </row>
    <row r="207" spans="1:1">
      <c r="A207" s="13" t="str">
        <f>jsRow(remedy_factors!A207:AL207, TRUE )</f>
        <v xml:space="preserve">[ -0.5231 , 0.2649 , -0.3665 , -0.0731 , -0.0467 , 0.0899 , 0.174 , 0.2148 , -0.1673 , -0.0656 , 0.2055 , -0.0575 , -0.0169 , 0.0764 , -0.0399 , 0.0284 , -0.0748 , 0.081 , 0.1326 , 0.0258 , 0.0489 , -0.1738 , -0.2426 , 0.2521 , -0.1121 , 0.0459 , -0.04 , -0.1279 , 0.084 , 0.0641 , 0.2061 , 0.1298 , 0.0823 , 0.1564 , -0.1282 , -0.0524 , -0.0665 , 0.0119 ]  , </v>
      </c>
    </row>
    <row r="208" spans="1:1">
      <c r="A208" s="13" t="str">
        <f>jsRow(remedy_factors!A208:AL208, TRUE )</f>
        <v xml:space="preserve">[ 0.2375 , -0.1389 , 0.0121 , 0.0852 , 0.1681 , -0.0863 , -0.1812 , -0.1612 , 0.0837 , 0.2734 , 0.0003 , -0.1851 , 0.0162 , -0.0495 , -0.1468 , 0.2018 , -0.2395 , 0.1004 , 0.1946 , -0.0465 , 0.2064 , 0.1196 , 0.0978 , -0.2336 , 0.1502 , -0.0365 , -0.2133 , -0.1389 , 0.1199 , -0.0108 , -0.346 , -0.0357 , -0.161 , 0.0018 , 0.1504 , 0.0837 , 0.3037 , -0.2023 ]  , </v>
      </c>
    </row>
    <row r="209" spans="1:1">
      <c r="A209" s="13" t="str">
        <f>jsRow(remedy_factors!A209:AL209, TRUE )</f>
        <v xml:space="preserve">[ -0.2812 , -0.3312 , 0.3181 , 0.0484 , 0.2761 , 0.1185 , -0.1258 , -0.0115 , 0.3993 , 0.0535 , 0.0446 , 0.2471 , -0.0474 , -0.3433 , 0.1614 , -0.078 , 0.1009 , -0.0057 , -0.0111 , 0.0341 , -0.0035 , 0.2009 , 0.0474 , -0.0334 , -0.1003 , -0.0952 , -0.0213 , 0.1356 , -0.2108 , 0.114 , -0.127 , -0.1627 , -0.0978 , -0.1073 , -0.0197 , -0.0685 , -0.0541 , 0.0408 ]  , </v>
      </c>
    </row>
    <row r="210" spans="1:1">
      <c r="A210" s="13" t="str">
        <f>jsRow(remedy_factors!A210:AL210, TRUE )</f>
        <v xml:space="preserve">[ -0.3426 , 0.4228 , -0.1403 , -0.1387 , -0.1178 , 0.0433 , 0.0805 , 0.0296 , 0.0791 , -0.0429 , 0.2484 , -0.2007 , -0.2103 , -0.2158 , 0.1506 , 0.0804 , -0.0333 , -0.2664 , 0.0117 , 0.1065 , 0.1142 , -0.1221 , -0.0798 , 0.0032 , -0.1236 , -0.0058 , 0.0844 , -0.1277 , -0.0153 , -0.0103 , 0.0754 , -0.1616 , 0.2143 , 0.0157 , 0.388 , 0.0097 , 0.1572 , 0.0397 ]  , </v>
      </c>
    </row>
    <row r="211" spans="1:1">
      <c r="A211" s="13" t="str">
        <f>jsRow(remedy_factors!A211:AL211, TRUE )</f>
        <v xml:space="preserve">[ -0.1146 , 0.2596 , -0.0214 , -0.2617 , -0.1345 , 0.0502 , 0.0015 , -0.0781 , -0.2677 , 0.1118 , 0.0993 , 0.0995 , 0.0339 , -0.1575 , -0.068 , -0.1116 , 0.0091 , 0.0803 , 0.3579 , -0.2918 , 0.0394 , 0.0932 , -0.0468 , 0.0426 , 0.0332 , 0.0887 , 0.3058 , 0.2789 , -0.0042 , -0.1868 , -0.1355 , -0.1154 , -0.1732 , 0.0352 , 0.2827 , -0.0364 , 0.1457 , -0.2497 ]  , </v>
      </c>
    </row>
    <row r="212" spans="1:1">
      <c r="A212" s="13" t="str">
        <f>jsRow(remedy_factors!A212:AL212, TRUE )</f>
        <v xml:space="preserve">[ 0.1319 , 0.306 , 0.0287 , 0.2441 , 0.3712 , -0.0142 , -0.136 , -0.06 , 0.1286 , -0.0589 , 0.0827 , -0.0164 , -0.0619 , 0.2419 , -0.1688 , 0.1517 , -0.0365 , -0.2978 , 0.0391 , -0.041 , -0.1964 , 0.0283 , 0.057 , -0.2188 , -0.0004 , -0.3865 , 0.0138 , 0.0976 , 0.0753 , -0.0965 , 0.0499 , -0.0593 , -0.1591 , -0.1237 , -0.0917 , -0.1953 , 0.1405 , 0.2385 ]  , </v>
      </c>
    </row>
    <row r="213" spans="1:1">
      <c r="A213" s="13" t="str">
        <f>jsRow(remedy_factors!A213:AL213, TRUE )</f>
        <v xml:space="preserve">[ 0.2818 , -0.4639 , 0.1933 , -0.0269 , 0.5693 , -0.1429 , -0.0863 , -0.0095 , -0.1614 , -0.0398 , 0.1165 , -0.1367 , -0.0476 , -0.0112 , -0.0504 , 0.1434 , 0.0191 , -0.0779 , -0.0874 , 0.0162 , 0.1149 , -0.0067 , 0.13 , 0.1053 , -0.0487 , -0.0078 , -0.1821 , 0.0247 , -0.0443 , -0.0835 , -0.2252 , 0.0628 , 0.088 , -0.0964 , -0.0796 , -0.0219 , 0.2163 , 0.0622 ]  , </v>
      </c>
    </row>
    <row r="214" spans="1:1">
      <c r="A214" s="13" t="str">
        <f>jsRow(remedy_factors!A214:AL214, TRUE )</f>
        <v xml:space="preserve">[ 0.1895 , 0.0021 , 0.3443 , -0.142 , -0.125 , -0.09 , 0.2584 , -0.4941 , -0.0949 , -0.1339 , -0.0541 , 0.0698 , 0.0014 , 0.389 , 0.0531 , -0.1076 , -0.1935 , -0.0844 , -0.0965 , 0.0188 , 0.1153 , -0.1758 , 0.042 , -0.1005 , 0.0603 , -0.1127 , 0.0756 , -0.0225 , -0.0056 , 0.2111 , -0.1406 , -0.0786 , -0.0798 , 0.0981 , 0.0965 , 0.0933 , -0.0123 , 0.2294 ]  , </v>
      </c>
    </row>
    <row r="215" spans="1:1">
      <c r="A215" s="13" t="str">
        <f>jsRow(remedy_factors!A215:AL215, TRUE )</f>
        <v xml:space="preserve">[ -0.1774 , -0.2785 , -0.0507 , 0.1934 , 0.3153 , 0.2565 , -0.1138 , 0.3402 , 0.016 , -0.0539 , -0.2562 , -0.0758 , 0.0561 , 0.0379 , -0.1316 , -0.0796 , 0.3343 , 0.0981 , -0.1698 , -0.023 , 0.0314 , -0.1438 , 0.1224 , -0.0628 , 0.107 , -0.0959 , 0.0144 , -0.1644 , 0.0095 , 0.1368 , 0.1612 , -0.1425 , -0.0442 , 0.0623 , 0.0366 , -0.175 , -0.2795 , 0.1845 ]  , </v>
      </c>
    </row>
    <row r="216" spans="1:1">
      <c r="A216" s="13" t="str">
        <f>jsRow(remedy_factors!A216:AL216, TRUE )</f>
        <v xml:space="preserve">[ 0.0876 , 0.0201 , 0.1286 , -0.1423 , -0.1155 , 0.3089 , 0.1189 , 0.2189 , 0.3084 , -0.2016 , -0.2482 , -0.0414 , -0.0807 , 0.0781 , -0.2266 , -0.3696 , 0.2663 , 0.0438 , -0.0881 , -0.1654 , -0.1016 , 0.0163 , 0.1161 , 0.0177 , 0.1232 , -0.0482 , 0.142 , -0.2147 , 0.1933 , 0.0307 , 0.1314 , -0.1029 , 0.1329 , 0.0994 , -0.0424 , -0.2298 , -0.0263 , -0.1396 ]  , </v>
      </c>
    </row>
    <row r="217" spans="1:1">
      <c r="A217" s="13" t="str">
        <f>jsRow(remedy_factors!A217:AL217, TRUE )</f>
        <v xml:space="preserve">[ 0.0814 , -0.179 , 0.5664 , -0.2192 , 0.2208 , 0.0847 , 0.0574 , -0.1811 , -0.3643 , -0.0811 , 0.0297 , -0.0709 , -0.0228 , -0.1057 , 0.152 , 0.0835 , 0.1288 , -0.0054 , -0.1207 , 0.1027 , 0.2532 , -0.118 , 0.1475 , -0.0943 , 0.067 , 0.0006 , -0.0012 , 0.1015 , 0.024 , 0.1189 , -0.0363 , 0.0442 , -0.1249 , -0.1574 , -0.0135 , 0.0378 , -0.1826 , -0.2343 ]  , </v>
      </c>
    </row>
    <row r="218" spans="1:1">
      <c r="A218" s="13" t="str">
        <f>jsRow(remedy_factors!A218:AL218, TRUE )</f>
        <v xml:space="preserve">[ 0.2963 , -0.1996 , 0.1642 , 0.0859 , -0.1624 , -0.1775 , -0.0242 , -0.0611 , -0.1267 , 0.2365 , -0.215 , 0.15 , 0.225 , -0.0871 , 0.1004 , -0.1146 , 0.0968 , -0.1587 , -0.2558 , 0.3269 , 0.1548 , -0.0493 , -0.1597 , -0.0768 , 0.1633 , -0.2331 , 0.3006 , -0.1358 , -0.1049 , -0.121 , 0.1098 , -0.0959 , 0.0901 , -0.1001 , 0.0024 , 0.1584 , 0.0686 , -0.0671 ]  , </v>
      </c>
    </row>
    <row r="219" spans="1:1">
      <c r="A219" s="13" t="str">
        <f>jsRow(remedy_factors!A219:AL219, TRUE )</f>
        <v xml:space="preserve">[ 0.1734 , -0.3609 , 0.0604 , 0.0217 , 0.2087 , -0.015 , -0.1425 , -0.0618 , -0.1913 , 0.0309 , -0.23 , 0.158 , -0.1749 , -0.0483 , 0.1256 , -0.1908 , -0.1275 , 0.0546 , -0.2285 , 0.1527 , 0.3662 , 0.1995 , 0.1469 , 0.0304 , 0.2512 , -0.2024 , 0.0058 , 0.2005 , 0.1387 , -0.2585 , 0.0222 , 0.1203 , -0.0444 , -0.1522 , -0.0034 , -0.0246 , 0.0483 , -0.0498 ]  , </v>
      </c>
    </row>
    <row r="220" spans="1:1">
      <c r="A220" s="13" t="str">
        <f>jsRow(remedy_factors!A220:AL220, TRUE )</f>
        <v xml:space="preserve">[ 0.5954 , -0.2503 , -0.0689 , -0.0408 , 0.167 , 0.0452 , -0.1334 , -0.1351 , -0.0629 , 0.1395 , 0.0469 , 0.1704 , -0.0656 , -0.1384 , 0.032 , -0.1483 , -0.2911 , 0.2927 , 0.0022 , 0.0182 , -0.0171 , 0.2349 , 0.0127 , 0.0154 , 0.0623 , -0.2271 , 0.0684 , -0.0154 , 0.0458 , -0.2299 , 0.0447 , -0.1538 , -0.0485 , -0.0998 , -0.0292 , 0.1428 , -0.043 , 0.0794 ]  , </v>
      </c>
    </row>
    <row r="221" spans="1:1">
      <c r="A221" s="13" t="str">
        <f>jsRow(remedy_factors!A221:AL221, TRUE )</f>
        <v xml:space="preserve">[ 0.0479 , -0.233 , 0.194 , 0.0977 , 0.2002 , -0.2301 , 0.2485 , -0.1814 , -0.3717 , -0.01 , -0.2482 , 0.1055 , 0.0671 , -0.2784 , -0.0048 , -0.1527 , 0.125 , 0.1578 , -0.0155 , 0.1409 , 0.0605 , 0.1173 , 0.0328 , -0.0041 , -0.0867 , -0.0218 , -0.1302 , -0.0531 , 0.2234 , -0.3717 , 0.0538 , 0.1884 , 0.0406 , -0.0575 , 0.1737 , 0.0708 , 0.1357 , -0.0199 ]  , </v>
      </c>
    </row>
    <row r="222" spans="1:1">
      <c r="A222" s="13" t="str">
        <f>jsRow(remedy_factors!A222:AL222, TRUE )</f>
        <v xml:space="preserve">[ 0.499 , -0.0122 , 0.0984 , 0.1112 , 0.0406 , 0.1912 , -0.0297 , 0.0715 , -0.2141 , 0.1646 , -0.1536 , 0.1723 , -0.0071 , -0.3457 , 0.121 , -0.0261 , -0.2191 , -0.0409 , 0.0611 , 0.1735 , 0.0445 , -0.0973 , -0.0528 , -0.0771 , 0.0439 , -0.2274 , 0.1038 , 0.0516 , -0.2236 , 0.1079 , 0.2817 , -0.1533 , -0.099 , -0.1859 , -0.2067 , -0.0062 , 0.0184 , 0.0288 ]  , </v>
      </c>
    </row>
    <row r="223" spans="1:1">
      <c r="A223" s="13" t="str">
        <f>jsRow(remedy_factors!A223:AL223, TRUE )</f>
        <v xml:space="preserve">[ 0.5085 , 0.06 , -0.0579 , -0.0962 , 0.2244 , 0.0565 , 0.3568 , 0.0621 , 0.0866 , -0.0167 , -0.0135 , -0.114 , 0.1026 , -0.1424 , 0.1179 , -0.164 , 0.0309 , -0.2812 , -0.0795 , -0.4094 , 0.0217 , 0.0249 , 0.0135 , 0.1236 , -0.0511 , 0.1885 , -0.0192 , -0.0817 , -0.0483 , 0.0653 , -0.0792 , -0.0323 , 0.0916 , -0.1644 , -0.2148 , -0.1342 , -0.0529 , 0.1264 ]  , </v>
      </c>
    </row>
    <row r="224" spans="1:1">
      <c r="A224" s="13" t="str">
        <f>jsRow(remedy_factors!A224:AL224, TRUE )</f>
        <v xml:space="preserve">[ 0.4385 , -0.1758 , 0.029 , -0.0788 , -0.0146 , -0.2791 , -0.129 , -0.0145 , -0.0064 , 0.0542 , 0.0602 , 0.2376 , 0.2749 , 0.1042 , 0.1821 , 0.1088 , -0.1416 , -0.0273 , -0.3596 , 0.0357 , 0.0594 , -0.1802 , -0.1163 , -0.1467 , -0.1509 , 0.0557 , 0.08 , 0.12 , 0.11 , 0.0129 , -0.0051 , -0.2987 , -0.1588 , 0.0624 , 0.2749 , 0.013 , -0.0597 , 0.0347 ]  , </v>
      </c>
    </row>
    <row r="225" spans="1:1">
      <c r="A225" s="13" t="str">
        <f>jsRow(remedy_factors!A225:AL225, TRUE )</f>
        <v xml:space="preserve">[ -0.3339 , 0.4235 , -0.4133 , 0.0016 , 0.2203 , -0.0193 , -0.0177 , 0.1965 , 0.0691 , -0.0008 , 0.1656 , -0.062 , -0.1407 , 0.1934 , -0.0787 , -0.05 , 0.0334 , -0.0737 , 0.1466 , -0.1658 , -0.0391 , -0.0482 , 0.0743 , -0.193 , -0.1592 , -0.0997 , 0.1772 , 0.0614 , -0.1771 , -0.1071 , 0.1927 , 0.1037 , -0.0121 , 0.1757 , 0.0116 , 0.1635 , -0.0662 , -0.1516 ]  , </v>
      </c>
    </row>
    <row r="226" spans="1:1">
      <c r="A226" s="13" t="str">
        <f>jsRow(remedy_factors!A226:AL226, TRUE )</f>
        <v xml:space="preserve">[ 0.1085 , 0.0687 , 0.2474 , -0.0955 , 0.0262 , -0.072 , 0.1528 , -0.2849 , 0.1187 , -0.0543 , 0.2884 , 0.0811 , 0.305 , 0.0636 , 0.0505 , 0.0374 , 0.2064 , 0.0252 , 0.2481 , -0.334 , 0.0472 , 0.1039 , -0.2428 , 0.0757 , -0.2166 , 0.0549 , -0.0603 , -0.0095 , -0.2671 , -0.0585 , -0.2213 , 0.0592 , -0.1832 , 0.0622 , -0.1367 , -0.1938 , -0.1141 , 0.1161 ]  , </v>
      </c>
    </row>
    <row r="227" spans="1:1">
      <c r="A227" s="13" t="str">
        <f>jsRow(remedy_factors!A227:AL227, TRUE )</f>
        <v xml:space="preserve">[ 0.2762 , -0.4312 , 0.0942 , 0.3333 , 0.1245 , -0.2178 , -0.0306 , 0.0883 , -0.1072 , -0.2341 , 0.0364 , 0.227 , -0.2993 , -0.0812 , 0.0738 , -0.2783 , -0.0154 , 0.0605 , -0.1168 , 0.0516 , 0.1514 , 0.1211 , -0.127 , 0.2965 , -0.0581 , -0.1742 , 0.0083 , 0.0346 , -0.0364 , 0.0003 , 0.0791 , -0.0247 , 0.0241 , -0.0386 , 0.1594 , 0.1124 , -0.0281 , -0.0445 ]  , </v>
      </c>
    </row>
    <row r="228" spans="1:1">
      <c r="A228" s="13" t="str">
        <f>jsRow(remedy_factors!A228:AL228, TRUE )</f>
        <v xml:space="preserve">[ 0.3866 , -0.1789 , 0.1217 , -0.2872 , -0.1731 , 0.1932 , -0.0067 , 0.0413 , 0.2282 , -0.0712 , -0.0775 , -0.0705 , 0.0491 , -0.0491 , -0.3527 , -0.21 , 0.3179 , 0.0588 , -0.0586 , -0.2769 , 0.044 , -0.1275 , 0.0597 , -0.1199 , 0.1669 , -0.0014 , 0.0918 , -0.0685 , 0.192 , -0.0643 , 0.1973 , -0.0572 , 0.0558 , 0.0717 , -0.0901 , -0.0754 , -0.0597 , 0.2003 ]  , </v>
      </c>
    </row>
    <row r="229" spans="1:1">
      <c r="A229" s="13" t="str">
        <f>jsRow(remedy_factors!A229:AL229, TRUE )</f>
        <v xml:space="preserve">[ 0.5872 , -0.067 , 0.3166 , -0.1451 , 0.0241 , 0.026 , 0.0524 , -0.1007 , -0.1937 , -0.0781 , 0.0276 , 0.08 , -0.087 , 0.0038 , 0.1937 , -0.067 , -0.2007 , 0.0851 , -0.1613 , 0.0375 , -0.0432 , 0.0257 , 0.1791 , 0.0137 , 0.182 , 0.0667 , -0.1051 , 0.0273 , -0.0867 , 0.2385 , -0.0086 , -0.3398 , -0.1108 , -0.1686 , -0.1283 , -0.0013 , 0.0508 , -0.1264 ]  , </v>
      </c>
    </row>
    <row r="230" spans="1:1">
      <c r="A230" s="13" t="str">
        <f>jsRow(remedy_factors!A230:AL230, TRUE )</f>
        <v xml:space="preserve">[ 0.0592 , -0.4695 , 0.2027 , 0.1801 , 0.3849 , -0.1551 , 0.4194 , -0.2741 , 0.1651 , -0.0027 , 0.1126 , -0.1227 , 0.1459 , -0.123 , 0.0238 , 0.0696 , 0.0342 , 0.0339 , -0.0815 , 0.0174 , 0.0827 , -0.1258 , 0.0253 , 0.0665 , 0.141 , 0.0302 , -0.1981 , -0.0418 , -0.083 , -0.0092 , -0.1709 , -0.0507 , -0.1517 , -0.1364 , 0.0198 , -0.0061 , -0.0424 , 0.0333 ]  , </v>
      </c>
    </row>
    <row r="231" spans="1:1">
      <c r="A231" s="13" t="str">
        <f>jsRow(remedy_factors!A231:AL231, TRUE )</f>
        <v xml:space="preserve">[ -0.285 , 0.5651 , -0.2895 , -0.0837 , 0.1974 , -0.0965 , 0.0304 , 0.1228 , 0.1331 , 0.0279 , 0.2516 , -0.1724 , -0.1253 , 0.241 , -0.0077 , -0.0426 , 0.0633 , -0.0626 , 0.0351 , 0.013 , -0.0017 , 0.0738 , -0.2298 , -0.0566 , -0.21 , 0.0194 , 0.2334 , -0.0212 , -0.0488 , -0.1046 , 0.1323 , 0.0246 , -0.1264 , 0.096 , -0.1321 , -0.0362 , -0.0194 , -0.1061 ]  , </v>
      </c>
    </row>
    <row r="232" spans="1:1">
      <c r="A232" s="13" t="str">
        <f>jsRow(remedy_factors!A232:AL232, TRUE )</f>
        <v xml:space="preserve">[ 0.3186 , 0.0804 , 0.1153 , -0.3239 , -0.1418 , 0.4643 , -0.1884 , 0.158 , -0.1344 , 0.1273 , 0.2238 , -0.0645 , 0.0553 , -0.1698 , 0.0443 , -0.2308 , 0.1192 , 0.0689 , -0.0309 , -0.2473 , -0.0456 , 0.0066 , 0.1483 , -0.1829 , -0.0723 , 0.0629 , 0.0818 , -0.0445 , -0.0975 , -0.0359 , 0.0325 , 0.0105 , -0.0645 , 0.0773 , -0.0574 , -0.0039 , -0.2749 , 0.2112 ]  , </v>
      </c>
    </row>
    <row r="233" spans="1:1">
      <c r="A233" s="13" t="str">
        <f>jsRow(remedy_factors!A233:AL233, TRUE )</f>
        <v xml:space="preserve">[ -0.1394 , -0.3009 , 0.2502 , 0.0584 , 0.0735 , -0.0514 , -0.2254 , -0.2633 , 0.4412 , 0.4127 , 0.0758 , 0.1615 , 0.0617 , -0.2495 , -0.0742 , -0.0976 , 0.1002 , 0.0851 , -0.1898 , 0.0186 , 0.0071 , 0.1169 , 0.0344 , 0.0633 , -0.0083 , -0.1236 , 0.1182 , 0.1564 , -0.0713 , 0.0825 , -0.1262 , -0.1445 , -0.026 , -0.1207 , -0.1368 , 0.0344 , -0.0681 , 0.0556 ]  , </v>
      </c>
    </row>
    <row r="234" spans="1:1">
      <c r="A234" s="13" t="str">
        <f>jsRow(remedy_factors!A234:AL234, TRUE )</f>
        <v xml:space="preserve">[ 0.525 , 0.0479 , -0.0708 , 0.2177 , -0.172 , 0.0266 , 0.2689 , -0.174 , 0.1117 , -0.184 , -0.2445 , -0.0479 , 0.0443 , 0.0167 , 0.0443 , 0.0177 , -0.2125 , -0.1991 , -0.1713 , -0.0627 , 0.2759 , 0.04 , 0.0928 , 0.0711 , -0.0876 , -0.0976 , 0.0622 , 0.106 , -0.2371 , 0.0366 , -0.1103 , 0.0057 , -0.0311 , 0.2747 , -0.0802 , 0.0878 , -0.066 , -0.1321 ]  , </v>
      </c>
    </row>
    <row r="235" spans="1:1">
      <c r="A235" s="13" t="str">
        <f>jsRow(remedy_factors!A235:AL235, TRUE )</f>
        <v xml:space="preserve">[ 0.0201 , 0.0076 , -0.0712 , -0.1296 , -0.3537 , -0.043 , -0.006 , -0.0955 , 0.0856 , 0.0561 , -0.0824 , 0.1085 , -0.1633 , 0.6185 , -0.0613 , -0.0151 , 0.006 , 0.0047 , 0.0381 , 0.4377 , -0.1299 , 0.0396 , -0.0775 , 0.1576 , 0.1849 , -0.0819 , 0.0073 , 0.0903 , -0.0537 , 0.09 , -0.0631 , -0.1182 , -0.2102 , 0.0843 , -0.0947 , -0.0016 , -0.0936 , -0.0994 ]  , </v>
      </c>
    </row>
    <row r="236" spans="1:1">
      <c r="A236" s="13" t="str">
        <f>jsRow(remedy_factors!A236:AL236, TRUE )</f>
        <v xml:space="preserve">[ 0.0958 , -0.0158 , 0.3156 , -0.076 , 0.0912 , -0.2857 , 0.0062 , -0.0722 , 0.0436 , 0.0535 , -0.1348 , 0.0102 , -0.0166 , 0.1431 , 0.432 , -0.1065 , -0.0021 , 0.184 , -0.1244 , -0.0856 , -0.1099 , -0.035 , -0.3453 , -0.1731 , 0.3282 , -0.2378 , 0.0942 , -0.0407 , -0.0998 , -0.0744 , -0.0599 , -0.0784 , 0.2362 , -0.023 , 0.0209 , -0.1559 , 0.1744 , 0.1327 ]  , </v>
      </c>
    </row>
    <row r="237" spans="1:1">
      <c r="A237" s="13" t="str">
        <f>jsRow(remedy_factors!A237:AL237, TRUE )</f>
        <v xml:space="preserve">[ -0.3634 , 0.0743 , -0.1061 , -0.0975 , -0.2615 , 0.2642 , -0.0447 , 0.3365 , 0.1599 , -0.0892 , -0.0055 , 0.1181 , -0.0631 , -0.0218 , -0.0121 , 0.1874 , -0.0083 , 0.0321 , -0.1299 , 0.2354 , 0.0161 , -0.2683 , -0.2439 , 0.0256 , -0.0975 , 0.092 , -0.1807 , -0.1724 , 0.214 , 0.151 , -0.0318 , 0.2187 , 0.208 , 0.1035 , -0.1835 , 0.0509 , -0.0273 , -0.0807 ]  , </v>
      </c>
    </row>
    <row r="238" spans="1:1">
      <c r="A238" s="13" t="str">
        <f>jsRow(remedy_factors!A238:AL238, TRUE )</f>
        <v xml:space="preserve">[ 0.0218 , -0.3012 , 0.0713 , -0.1436 , -0.012 , -0.1169 , -0.1618 , 0.1511 , -0.1319 , 0.214 , -0.1062 , 0.1029 , 0.1143 , 0.1706 , 0.2403 , 0.0902 , -0.1563 , 0.2485 , -0.1042 , 0.1944 , -0.0785 , -0.2654 , -0.1872 , 0.2954 , 0.1078 , -0.2061 , 0.0355 , -0.1622 , -0.1163 , -0.0974 , -0.0075 , 0.3621 , 0.1273 , -0.0267 , -0.1123 , -0.0736 , -0.099 , 0.113 ]  , </v>
      </c>
    </row>
    <row r="239" spans="1:1">
      <c r="A239" s="13" t="str">
        <f>jsRow(remedy_factors!A239:AL239, TRUE )</f>
        <v xml:space="preserve">[ 0.2397 , -0.1082 , 0.1539 , 0.1161 , 0.3214 , -0.2798 , 0.0371 , 0.0742 , 0.1405 , -0.1363 , -0.0453 , -0.2363 , -0.0337 , 0.1056 , -0.0109 , -0.3157 , 0.0386 , 0.0479 , -0.179 , 0.1689 , 0.0768 , 0.0906 , 0.0891 , 0.0341 , -0.0142 , 0.0891 , 0.2202 , -0.1097 , 0.2854 , -0.3888 , -0.0243 , -0.1805 , 0.0655 , -0.0708 , -0.0154 , -0.1472 , 0.0963 , -0.1854 ]  , </v>
      </c>
    </row>
    <row r="240" spans="1:1">
      <c r="A240" s="13" t="str">
        <f>jsRow(remedy_factors!A240:AL240, TRUE )</f>
        <v xml:space="preserve">[ -0.3572 , 0.2256 , 0.1541 , -0.0387 , 0.0763 , 0.0242 , 0.1399 , 0.0436 , 0.033 , -0.2421 , 0.1475 , 0.2487 , -0.0208 , -0.1458 , -0.1034 , 0.2452 , 0.3498 , -0.1453 , 0.2905 , 0.0416 , -0.0598 , -0.0661 , -0.0151 , -0.0085 , -0.2441 , 0.1817 , -0.0362 , -0.0951 , -0.057 , -0.1982 , 0.1119 , -0.0943 , -0.172 , 0.1703 , -0.2518 , -0.0561 , -0.0313 , -0.041 ]  , </v>
      </c>
    </row>
    <row r="241" spans="1:1">
      <c r="A241" s="13" t="str">
        <f>jsRow(remedy_factors!A241:AL241, TRUE )</f>
        <v xml:space="preserve">[ -0.3776 , -0.2727 , 0.3077 , -0.0124 , 0.4617 , 0.1687 , 0.2678 , -0.1904 , -0.0358 , -0.1696 , -0.1534 , 0.1959 , 0.0396 , -0.2227 , -0.1263 , -0.0815 , 0.0679 , 0.0335 , -0.052 , 0.1208 , -0.0225 , -0.1765 , 0.0881 , -0.0199 , -0.1078 , 0.0156 , -0.03 , 0.0916 , -0.0017 , -0.0361 , -0.076 , 0.0543 , 0.0035 , -0.0844 , 0.056 , -0.0636 , 0.1063 , 0.2308 ]  , </v>
      </c>
    </row>
    <row r="242" spans="1:1">
      <c r="A242" s="13" t="str">
        <f>jsRow(remedy_factors!A242:AL242, TRUE )</f>
        <v xml:space="preserve">[ 0.2616 , -0.213 , 0.1021 , 0.0991 , 0.0456 , 0.1112 , -0.1974 , 0.0542 , 0.0691 , 0.1356 , -0.1258 , -0.2023 , 0.0995 , -0.2474 , -0.2381 , 0.2381 , -0.2963 , -0.054 , 0.1251 , -0.1007 , 0.1007 , 0.1149 , -0.0407 , -0.1623 , 0.1363 , -0.01 , 0.0479 , -0.1667 , 0.3135 , 0.1554 , -0.3605 , 0.0893 , -0.1621 , -0.0426 , 0.1802 , 0.0323 , 0.0767 , 0.0251 ]  , </v>
      </c>
    </row>
    <row r="243" spans="1:1">
      <c r="A243" s="13" t="str">
        <f>jsRow(remedy_factors!A243:AL243, TRUE )</f>
        <v xml:space="preserve">[ 0.2558 , -0.2683 , 0.3918 , 0.2762 , 0.0271 , -0.2937 , -0.1623 , 0.1535 , -0.1627 , 0.0935 , -0.0008 , 0.2253 , -0.1974 , -0.1911 , 0.0943 , -0.2011 , -0.0288 , 0.0826 , 0.0476 , 0.179 , 0.1089 , 0.0743 , -0.0313 , -0.1389 , 0.0184 , -0.2019 , -0.1669 , -0.1398 , -0.0484 , 0.0079 , 0.2282 , 0.0401 , 0.0213 , -0.0947 , 0.1523 , 0.0538 , -0.0384 , -0.1544 ]  , </v>
      </c>
    </row>
    <row r="244" spans="1:1">
      <c r="A244" s="13" t="str">
        <f>jsRow(remedy_factors!A244:AL244, TRUE )</f>
        <v xml:space="preserve">[ -0.3377 , 0.4346 , -0.0842 , 0.1528 , 0.194 , 0.0226 , 0.0716 , 0.2151 , 0.1291 , -0.0754 , 0.0484 , 0.1348 , -0.0534 , 0.0644 , -0.0312 , 0.0879 , 0.1562 , -0.01 , 0.2657 , -0.2869 , -0.1256 , -0.1039 , -0.1111 , -0.169 , 0.0565 , -0.0312 , -0.1756 , 0.2604 , 0.0098 , 0.018 , -0.2561 , -0.1756 , -0.0775 , 0.0454 , -0.236 , -0.0884 , 0.0454 , 0.0187 ]  , </v>
      </c>
    </row>
    <row r="245" spans="1:1">
      <c r="A245" s="13" t="str">
        <f>jsRow(remedy_factors!A245:AL245, TRUE )</f>
        <v xml:space="preserve">[ -0.241 , 0.2659 , -0.0947 , 0.0145 , -0.4381 , 0.4354 , 0.0987 , -0.1783 , 0.3272 , -0.1078 , -0.0582 , 0.0933 , -0.2672 , 0.084 , 0.0104 , -0.1284 , 0.1142 , -0.0322 , 0.17 , 0.0677 , 0.0052 , -0.0259 , 0.074 , -0.024 , 0.0658 , 0.1442 , -0.0273 , 0.0638 , -0.0711 , -0.0251 , -0.0075 , -0.0298 , -0.2287 , 0.2214 , -0.0757 , -0.0353 , -0.1042 , -0.0561 ]  , </v>
      </c>
    </row>
    <row r="246" spans="1:1">
      <c r="A246" s="13" t="str">
        <f>jsRow(remedy_factors!A246:AL246, TRUE )</f>
        <v xml:space="preserve">[ 0.2646 , -0.2581 , 0.1847 , 0.1916 , 0.0076 , 0.0549 , -0.3664 , -0.2207 , 0.2676 , 0.2421 , 0.144 , -0.1371 , 0.2287 , -0.1687 , -0.1254 , -0.1516 , 0.0476 , -0.0138 , 0.036 , -0.0396 , 0.008 , 0.1291 , -0.2225 , 0.1676 , 0.0931 , 0.0055 , 0.157 , 0.0334 , 0.1705 , -0.1236 , 0.0789 , -0.1843 , -0.056 , -0.2258 , -0.1291 , 0.0771 , -0.0149 , -0.1476 ]  , </v>
      </c>
    </row>
    <row r="247" spans="1:1">
      <c r="A247" s="13" t="str">
        <f>jsRow(remedy_factors!A247:AL247, TRUE )</f>
        <v xml:space="preserve">[ -0.1956 , -0.2487 , 0.2274 , -0.039 , 0.169 , -0.1406 , 0.1242 , -0.07 , 0.22 , -0.0672 , 0.1065 , 0.1663 , 0.1029 , -0.3384 , 0.1381 , 0.2645 , 0.0274 , -0.0589 , -0.2623 , 0.1187 , -0.1134 , 0.0515 , 0.3467 , -0.088 , 0.0351 , -0.1721 , 0.0979 , 0.0902 , 0.08 , 0.1948 , -0.145 , -0.1179 , -0.0205 , -0.0999 , 0.0927 , -0.0512 , -0.2507 , -0.1707 ]  , </v>
      </c>
    </row>
    <row r="248" spans="1:1">
      <c r="A248" s="13" t="str">
        <f>jsRow(remedy_factors!A248:AL248, TRUE )</f>
        <v xml:space="preserve">[ 0.0987 , 0.241 , -0.2193 , -0.1227 , -0.3109 , 0.1473 , 0.1195 , 0.1174 , 0.3805 , 0.1406 , 0.1169 , 0.0985 , -0.2279 , 0.0055 , -0.296 , 0.3462 , -0.0368 , 0.1669 , -0.2279 , -0.278 , 0.0776 , -0.1558 , 0.0605 , -0.0152 , -0.0048 , -0.0058 , -0.1639 , 0.0421 , 0.0113 , -0.1781 , 0.0423 , 0.017 , 0.099 , 0.0539 , -0.0394 , -0.0062 , -0.0154 , -0.0743 ]  , </v>
      </c>
    </row>
    <row r="249" spans="1:1">
      <c r="A249" s="13" t="str">
        <f>jsRow(remedy_factors!A249:AL249, TRUE )</f>
        <v xml:space="preserve">[ 0.0817 , 0.328 , 0.1434 , 0.0883 , -0.1392 , 0.1952 , 0.0361 , 0.1418 , -0.0507 , -0.0553 , 0.2666 , 0.0728 , 0.0722 , -0.074 , 0.0603 , -0.1069 , 0.1407 , -0.1562 , 0.2878 , -0.1398 , -0.2784 , -0.0196 , -0.2147 , 0.3183 , -0.0035 , -0.0145 , 0.1551 , -0.2431 , 0.0063 , -0.2777 , -0.1444 , 0.0407 , -0.2249 , -0.1268 , -0.1504 , 0.1172 , -0.1106 , -0.0209 ]  , </v>
      </c>
    </row>
    <row r="250" spans="1:1">
      <c r="A250" s="13" t="str">
        <f>jsRow(remedy_factors!A250:AL250, TRUE )</f>
        <v xml:space="preserve">[ -0.0021 , -0.4444 , 0.182 , -0.2658 , 0.0914 , 0.1888 , -0.242 , -0.0276 , 0.5639 , 0.0663 , -0.0676 , -0.0404 , -0.0825 , -0.1625 , -0.0298 , -0.282 , 0.0242 , 0.1552 , -0.0757 , -0.0766 , -0.0578 , 0.1854 , 0.0787 , 0.0608 , 0.1255 , -0.0391 , 0.0757 , 0.0812 , 0.06 , -0.0442 , 0.1102 , -0.0489 , 0.0757 , -0.0549 , 0.0591 , -0.0634 , -0.0549 , -0.017 ]  , </v>
      </c>
    </row>
    <row r="251" spans="1:1">
      <c r="A251" s="13" t="str">
        <f>jsRow(remedy_factors!A251:AL251, TRUE )</f>
        <v xml:space="preserve">[ 0.0929 , 0.2346 , 0.3226 , -0.0979 , -0.0658 , -0.2166 , 0.2861 , -0.2179 , -0.0663 , 0.0782 , -0.0838 , -0.0736 , 0.0112 , 0.0439 , -0.0537 , -0.2506 , 0.3092 , 0.0155 , -0.1497 , -0.1899 , -0.0627 , -0.1038 , -0.1367 , 0.1023 , 0.0632 , -0.2108 , -0.3442 , 0.1502 , -0.0026 , 0.0506 , -0.0444 , 0.0662 , 0.2046 , 0.2697 , -0.1431 , 0.0172 , 0.0758 , 0.1171 ]  , </v>
      </c>
    </row>
    <row r="252" spans="1:1">
      <c r="A252" s="13" t="str">
        <f>jsRow(remedy_factors!A252:AL252, TRUE )</f>
        <v xml:space="preserve">[ -0.0116 , 0.1264 , 0.415 , -0.0344 , -0.3711 , -0.0743 , 0.3012 , -0.1726 , -0.0216 , -0.0519 , -0.2203 , 0.131 , -0.0493 , 0.164 , -0.0859 , -0.2698 , 0.0901 , 0.0748 , 0.0973 , -0.1211 , -0.0111 , -0.1293 , 0.0133 , 0.0243 , 0.0988 , -0.2283 , 0.0107 , 0.0199 , -0.2238 , 0.085 , 0.0007 , -0.006 , 0.1136 , -0.0692 , -0.0136 , -0.1417 , 0.3306 , 0.2143 ]  , </v>
      </c>
    </row>
    <row r="253" spans="1:1">
      <c r="A253" s="13" t="str">
        <f>jsRow(remedy_factors!A253:AL253, TRUE )</f>
        <v xml:space="preserve">[ -0.0229 , -0.0612 , 0.2511 , -0.1822 , -0.2581 , -0.2783 , 0.2605 , -0.4792 , -0.1923 , 0.227 , -0.1422 , 0.3077 , 0.0732 , 0.0911 , 0.0949 , -0.199 , 0.0084 , 0.0482 , -0.081 , -0.0263 , -0.0785 , -0.1916 , 0.0475 , 0.0822 , -0.0545 , -0.0641 , -0.0087 , 0.0082 , 0.1125 , 0.0552 , 0.0202 , 0.2094 , -0.0205 , -0.0448 , 0.1169 , 0.1376 , 0.1484 , 0.0812 ]  , </v>
      </c>
    </row>
    <row r="254" spans="1:1">
      <c r="A254" s="13" t="str">
        <f>jsRow(remedy_factors!A254:AL254, TRUE )</f>
        <v xml:space="preserve">[ 0.3049 , 0.2268 , 0.296 , 0.1445 , -0.1847 , 0.0552 , 0.2405 , -0.1495 , -0.0139 , -0.1018 , 0.0611 , -0.1208 , 0.0477 , -0.1808 , 0.1554 , -0.0898 , 0.0148 , -0.2324 , 0.0628 , -0.1322 , 0.2265 , -0.1741 , -0.0572 , 0.1467 , -0.1071 , 0.1398 , 0.1822 , 0.0603 , -0.0868 , -0.2103 , -0.0603 , -0.3214 , 0.1504 , -0.1504 , -0.2527 , -0.0276 , 0.0167 , 0.1227 ]  , </v>
      </c>
    </row>
    <row r="255" spans="1:1">
      <c r="A255" s="13" t="str">
        <f>jsRow(remedy_factors!A255:AL255, TRUE )</f>
        <v xml:space="preserve">[ 0.1693 , 0.0885 , -0.2745 , 0.1569 , 0.1815 , 0.1684 , -0.2079 , 0.1359 , -0.0629 , 0.2469 , -0.0049 , -0.0511 , -0.2289 , 0 , -0.1304 , 0.0781 , 0.2766 , -0.0222 , 0.1116 , 0.204 , -0.1009 , 0.1204 , 0.1043 , -0.3797 , -0.1651 , 0.2201 , 0.0952 , -0.2669 , -0.0699 , -0.1131 , 0.1572 , -0.0742 , -0.1839 , -0.0237 , -0.1073 , 0.1301 , -0.1359 , -0.0383 ]  , </v>
      </c>
    </row>
    <row r="256" spans="1:1">
      <c r="A256" s="13" t="str">
        <f>jsRow(remedy_factors!A256:AL256, TRUE )</f>
        <v xml:space="preserve">[ 0.0287 , 0.3005 , 0.2409 , 0.0357 , -0.1997 , -0.0258 , -0.0919 , 0.175 , -0.0476 , 0.0223 , -0.0259 , 0.0483 , 0.2078 , -0.1777 , -0.101 , -0.0575 , 0.0036 , -0.0067 , -0.1561 , 0.1618 , -0.0495 , 0.0304 , -0.0853 , 0.2249 , 0.1789 , -0.1867 , -0.1621 , 0.2907 , -0.1705 , -0.2047 , 0.2437 , -0.1499 , -0.3838 , 0.2045 , 0.1066 , 0.0026 , -0.0519 , -0.1745 ]  , </v>
      </c>
    </row>
    <row r="257" spans="1:1">
      <c r="A257" s="13" t="str">
        <f>jsRow(remedy_factors!A257:AL257, TRUE )</f>
        <v xml:space="preserve">[ 0.2404 , 0.0856 , 0.2908 , -0.2394 , 0.2253 , 0.0003 , -0.2605 , -0.0744 , -0.1209 , -0.0094 , 0.2942 , -0.1245 , -0.0138 , -0.0128 , -0.0981 , 0.0707 , 0.007 , -0.3302 , -0.1057 , -0.2592 , 0.1973 , -0.1402 , 0.19 , 0.2232 , 0.1704 , 0.1169 , 0.0068 , -0.1373 , 0.0029 , 0.1167 , -0.0358 , -0.1704 , -0.0671 , -0.2161 , -0.1005 , 0.0068 , 0.1321 , 0.1446 ]  , </v>
      </c>
    </row>
    <row r="258" spans="1:1">
      <c r="A258" s="13" t="str">
        <f>jsRow(remedy_factors!A258:AL258, TRUE )</f>
        <v xml:space="preserve">[ 0.2447 , -0.1081 , 0.1505 , -0.408 , 0.2301 , 0.0026 , -0.1243 , -0.1012 , 0.0592 , 0.0327 , 0.3829 , -0.078 , 0.0572 , 0.0764 , -0.1415 , 0.0992 , 0.1339 , -0.0883 , -0.1171 , -0.2225 , 0.2262 , -0.0185 , 0.2298 , 0.1144 , -0.0142 , 0.002 , -0.2265 , -0.2834 , -0.1032 , 0.2265 , 0.0995 , -0.0106 , -0.0714 , -0.1091 , -0.1415 , -0.1005 , 0.0837 , 0.0086 ]  , </v>
      </c>
    </row>
    <row r="259" spans="1:1">
      <c r="A259" s="13" t="str">
        <f>jsRow(remedy_factors!A259:AL259, TRUE )</f>
        <v xml:space="preserve">[ -0.0549 , 0.1575 , -0.1562 , -0.0564 , -0.3633 , 0.0435 , 0.0713 , 0.192 , 0.2498 , -0.183 , -0.0296 , -0.0675 , 0.1868 , 0.1802 , -0.2356 , 0.0068 , -0.0912 , 0.3659 , -0.0431 , 0.2071 , 0.1623 , -0.1303 , 0.2243 , 0.0585 , -0.2188 , 0.0336 , -0.0566 , 0.1696 , 0.0421 , -0.0826 , -0.2542 , -0.2133 , -0.0154 , -0.2015 , 0.1027 , 0.0681 , 0.0042 , -0.0694 ]  , </v>
      </c>
    </row>
    <row r="260" spans="1:1">
      <c r="A260" s="13" t="str">
        <f>jsRow(remedy_factors!A260:AL260, TRUE )</f>
        <v xml:space="preserve">[ 0.1726 , -0.1683 , 0.2404 , -0.0948 , -0.0251 , 0.1598 , -0.377 , 0.2044 , 0.0332 , 0.0431 , -0.2793 , -0.0488 , -0.0009 , -0.0237 , 0.1721 , 0.1119 , -0.0929 , 0.0536 , 0.0161 , -0.0749 , 0.2072 , 0.0522 , -0.2651 , -0.1698 , 0.2959 , 0.1522 , -0.1707 , 0.0147 , 0.192 , -0.0218 , 0.0597 , 0.2195 , -0.1688 , -0.321 , -0.0043 , -0.0498 , 0.0664 , -0.0963 ]  , </v>
      </c>
    </row>
    <row r="261" spans="1:1">
      <c r="A261" s="13" t="str">
        <f>jsRow(remedy_factors!A261:AL261, TRUE )</f>
        <v xml:space="preserve">[ -0.1075 , -0.1321 , 0.2812 , -0.0704 , 0.05 , -0.112 , -0.0912 , -0.0223 , -0.2456 , 0.2877 , -0.0882 , -0.0322 , 0.1817 , -0.1836 , -0.0208 , -0.1904 , 0.0893 , 0.1101 , -0.0882 , 0.1366 , -0.0939 , -0.0299 , -0.0121 , 0.2135 , 0.3899 , -0.3032 , 0.0492 , 0.0924 , -0.1726 , -0.081 , -0.1143 , 0.1915 , -0.1518 , 0.1942 , 0.1522 , -0.0696 , 0.187 , -0.2029 ]  , </v>
      </c>
    </row>
    <row r="262" spans="1:1">
      <c r="A262" s="13" t="str">
        <f>jsRow(remedy_factors!A262:AL262, TRUE )</f>
        <v xml:space="preserve">[ -0.0834 , -0.2082 , 0.0885 , -0.4068 , 0.1022 , 0.1732 , 0.0257 , 0.0638 , 0.0165 , -0.2144 , 0.0141 , 0.0755 , 0.1142 , -0.2171 , -0.366 , 0.071 , -0.0024 , -0.1108 , 0.2206 , -0.1629 , 0.1513 , -0.1983 , 0.1321 , 0.013 , 0.1249 , -0.1842 , 0.0676 , 0.166 , -0.0165 , -0.2134 , 0.225 , 0.2116 , -0.023 , 0.1105 , -0.0017 , -0.0919 , 0.0912 , 0.2453 ]  , </v>
      </c>
    </row>
    <row r="263" spans="1:1">
      <c r="A263" s="13" t="str">
        <f>jsRow(remedy_factors!A263:AL263, TRUE )</f>
        <v xml:space="preserve">[ 0.2804 , 0.1041 , -0.1406 , 0.19 , 0.0485 , 0.2721 , 0.1489 , -0.2228 , -0.0991 , -0.0722 , -0.0801 , -0.0141 , -0.1033 , 0.0402 , 0.1709 , -0.1265 , -0.1522 , -0.2705 , 0.0519 , -0.0427 , 0.0726 , 0.0166 , 0.066 , 0.0079 , 0.066 , -0.2663 , -0.1356 , 0.2563 , 0.0763 , 0.2514 , -0.0668 , 0.2037 , -0.2435 , -0.0079 , 0.1477 , -0.0759 , -0.3912 , 0.0477 ]  , </v>
      </c>
    </row>
    <row r="264" spans="1:1">
      <c r="A264" s="13" t="str">
        <f>jsRow(remedy_factors!A264:AL264, TRUE )</f>
        <v xml:space="preserve">[ 0.4356 , -0.3709 , -0.0951 , -0.3145 , 0.0278 , 0.0077 , -0.2143 , -0.0143 , 0.0497 , -0.0293 , -0.06 , 0.2871 , -0.2004 , 0.056 , 0.0867 , -0.0336 , 0.0783 , 0.0863 , -0.1331 , 0.1949 , -0.0304 , 0.0775 , -0.1778 , 0.1024 , 0.0589 , -0.1196 , -0.0991 , 0.1737 , -0.0391 , -0.0914 , -0.0519 , 0.2374 , 0.1565 , -0.1602 , 0.1064 , 0.2205 , -0.1141 , -0.0907 ]  , </v>
      </c>
    </row>
    <row r="265" spans="1:1">
      <c r="A265" s="13" t="str">
        <f>jsRow(remedy_factors!A265:AL265, TRUE )</f>
        <v xml:space="preserve">[ 0.4114 , -0.4964 , -0.2203 , 0.2749 , -0.0807 , 0.0232 , 0.0071 , -0.0322 , -0.1014 , -0.2208 , 0.0271 , 0.1674 , -0.1625 , 0.0217 , 0.0339 , -0.1509 , 0.1272 , -0.0061 , -0.2415 , 0.0044 , 0.1801 , 0.0602 , -0.0807 , -0.0643 , 0.0232 , 0.0551 , 0.0636 , 0.1842 , 0.0078 , -0.2637 , 0.0512 , 0.1694 , -0.0156 , -0.0509 , 0.1998 , 0.0024 , 0.0012 , 0.0838 ]  , </v>
      </c>
    </row>
    <row r="266" spans="1:1">
      <c r="A266" s="13" t="str">
        <f>jsRow(remedy_factors!A266:AL266, TRUE )</f>
        <v xml:space="preserve">[ 0.1633 , -0.3759 , -0.0658 , 0.1468 , 0.5315 , -0.0739 , 0.0252 , 0.0884 , -0.1324 , -0.2147 , -0.0581 , 0.0863 , -0.22 , 0.2133 , 0.0168 , 0.0689 , 0.1989 , -0.0648 , -0.2664 , 0.0682 , 0.0067 , 0.0282 , -0.0541 , 0.1824 , -0.1105 , 0.0275 , -0.1183 , 0.1122 , 0.0574 , -0.1602 , -0.2711 , 0.004 , 0.002 , -0.1149 , 0.0628 , 0.0239 , 0.0826 , 0.1156 ]  , </v>
      </c>
    </row>
    <row r="267" spans="1:1">
      <c r="A267" s="13" t="str">
        <f>jsRow(remedy_factors!A267:AL267, TRUE )</f>
        <v xml:space="preserve">[ 0.4921 , -0.3333 , -0.0101 , -0.1512 , 0.0398 , 0.0137 , -0.0796 , 0.1492 , -0.0812 , 0.0125 , 0.0583 , 0.3281 , -0.2436 , 0.1001 , 0.1934 , -0.1592 , -0.0096 , 0.0446 , -0.0663 , 0.1214 , -0.1335 , 0.1303 , -0.1668 , 0.2251 , 0.1226 , -0.1918 , -0.0434 , -0.0776 , 0.035 , -0.1809 , -0.0627 , -0.0217 , -0.1134 , -0.2207 , 0.119 , 0.1391 , -0.0852 , 0.0929 ]  , </v>
      </c>
    </row>
    <row r="268" spans="1:1">
      <c r="A268" s="13" t="str">
        <f>jsRow(remedy_factors!A268:AL268, TRUE )</f>
        <v xml:space="preserve">[ 0.2799 , -0.3881 , 0.1831 , 0.1322 , 0.082 , 0.0717 , 0.0884 , 0.0378 , 0.0466 , -0.0697 , -0.0748 , 0.1007 , 0.1859 , -0.4419 , -0.0139 , -0.1815 , -0.0191 , -0.1099 , -0.1915 , 0.258 , 0.1537 , 0.123 , -0.1373 , 0.0012 , 0.0151 , 0.0406 , 0.0557 , 0.0466 , -0.1927 , -0.2627 , -0.0307 , 0.164 , 0.039 , -0.1198 , 0.205 , 0.1306 , -0.0641 , -0.1405 ]  , </v>
      </c>
    </row>
    <row r="269" spans="1:1">
      <c r="A269" s="13" t="str">
        <f>jsRow(remedy_factors!A269:AL269, TRUE )</f>
        <v xml:space="preserve">[ 0.3098 , -0.24 , -0.2428 , 0.1935 , -0.2139 , -0.0039 , 0.042 , 0.3157 , 0.0117 , -0.1369 , -0.0155 , 0.1906 , -0.3578 , 0.1206 , -0.081 , -0.0644 , 0.1777 , 0.236 , -0.1521 , -0.2072 , 0.1148 , -0.2066 , 0.088 , -0.2044 , -0.0788 , 0.1123 , 0.1163 , 0.0697 , 0.1089 , -0.0995 , 0.1416 , 0.1207 , -0.1348 , -0.0314 , -0.1141 , 0.0376 , -0.0139 , 0.0891 ]  , </v>
      </c>
    </row>
    <row r="270" spans="1:1">
      <c r="A270" s="13" t="str">
        <f>jsRow(remedy_factors!A270:AL270, TRUE )</f>
        <v xml:space="preserve">[ -0.1926 , -0.1252 , 0.2388 , 0.143 , 0.2393 , -0.1519 , -0.1681 , 0.2404 , -0.0217 , 0.0751 , -0.3039 , 0.0028 , 0.1831 , 0.1759 , 0.074 , 0.2799 , 0.0173 , -0.0885 , 0.079 , 0.1308 , 0.2176 , -0.3033 , -0.1937 , 0.2226 , 0.039 , -0.2182 , 0.0801 , -0.1241 , -0.0083 , -0.0879 , 0.138 , -0.108 , -0.0395 , -0.0056 , 0.0384 , -0.2382 , -0.0846 , -0.1492 ]  , </v>
      </c>
    </row>
    <row r="271" spans="1:1">
      <c r="A271" s="13" t="str">
        <f>jsRow(remedy_factors!A271:AL271, TRUE )</f>
        <v xml:space="preserve">[ 0.5304 , -0.0398 , -0.281 , -0.019 , -0.0439 , 0.0311 , 0.1089 , 0.0508 , 0.0186 , 0.3039 , -0.1757 , -0.0048 , 0.0542 , -0.3376 , -0.1424 , 0.0576 , -0.0518 , -0.1463 , -0.1224 , -0.0986 , 0.1015 , -0.0872 , 0.0212 , -0.1215 , 0.0347 , -0.1311 , 0.087 , 0.0853 , -0.2718 , 0.1215 , 0.1113 , 0.0034 , 0.0925 , 0.0277 , -0.2301 , 0.1805 , 0.0783 , 0.1978 ]  , </v>
      </c>
    </row>
    <row r="272" spans="1:1">
      <c r="A272" s="13" t="str">
        <f>jsRow(remedy_factors!A272:AL272, TRUE )</f>
        <v xml:space="preserve">[ -0.5168 , 0.1157 , -0.0833 , -0.1958 , -0.2464 , 0.269 , 0.2464 , 0.0079 , 0.1172 , -0.1472 , -0.1066 , 0.0847 , 0.0483 , -0.0863 , 0.0425 , 0.2042 , -0.1385 , 0.1197 , 0.1542 , 0.0939 , -0.0948 , -0.1226 , 0.0248 , 0.0831 , -0.1005 , 0.0362 , -0.1712 , 0.0499 , -0.0219 , 0.0382 , 0.1917 , -0.0926 , -0.1929 , 0.1572 , 0.259 , -0.1775 , -0.0083 , 0.1567 ]  , </v>
      </c>
    </row>
    <row r="273" spans="1:1">
      <c r="A273" s="13" t="str">
        <f>jsRow(remedy_factors!A273:AL273, TRUE )</f>
        <v xml:space="preserve">[ 0.0114 , 0.2364 , 0.1509 , 0.1468 , -0.2064 , 0.1054 , 0.2316 , -0.3984 , 0.0674 , -0.1213 , -0.1327 , -0.0355 , -0.2173 , 0.4731 , -0.0123 , 0.0039 , -0.0951 , -0.246 , 0.0139 , 0.1424 , 0.036 , 0.0093 , 0.0851 , -0.0999 , 0.013 , -0.0653 , -0.0023 , -0.0294 , 0.0248 , 0.2055 , -0.109 , -0.0924 , -0.2728 , 0.0061 , 0.0644 , -0.0528 , -0.0851 , 0.2417 ]  , </v>
      </c>
    </row>
    <row r="274" spans="1:1">
      <c r="A274" s="13" t="str">
        <f>jsRow(remedy_factors!A274:AL274, TRUE )</f>
        <v xml:space="preserve">[ 0.207 , -0.1054 , -0.0068 , 0.2869 , 0.3195 , 0.1042 , 0.056 , 0.3026 , -0.1312 , -0.2324 , -0.2443 , -0.09 , 0.0394 , 0.164 , -0.003 , 0.1845 , 0.3405 , -0.3139 , -0.2792 , -0.1401 , 0.1679 , -0.0767 , -0.0438 , 0.0628 , -0.0003 , 0.119 , -0.0228 , -0.0426 , -0.0675 , -0.0364 , -0.172 , -0.1783 , 0.013 , -0.09 , -0.0788 , -0.0509 , -0.0107 , 0.0391 ]  , </v>
      </c>
    </row>
    <row r="275" spans="1:1">
      <c r="A275" s="13" t="str">
        <f>jsRow(remedy_factors!A275:AL275, TRUE )</f>
        <v xml:space="preserve">[ 0.0969 , -0.2605 , 0.4366 , 0.2083 , 0.0143 , -0.1211 , -0.2363 , 0.3098 , 0.0239 , -0.0817 , 0.0875 , 0.3716 , -0.1609 , -0.1964 , 0.0561 , -0.2745 , -0.1566 , 0.0068 , 0.1044 , 0.0609 , 0.0188 , -0.0358 , 0.0677 , 0.043 , -0.0275 , -0.2943 , -0.0751 , 0.0002 , -0.0623 , 0.2416 , -0.0085 , -0.1041 , 0.0302 , 0.0048 , 0.013 , -0.1056 , 0.0179 , -0.0068 ]  , </v>
      </c>
    </row>
    <row r="276" spans="1:1">
      <c r="A276" s="13" t="str">
        <f>jsRow(remedy_factors!A276:AL276, TRUE )</f>
        <v xml:space="preserve">[ -0.2856 , -0.2135 , 0.1094 , -0.1558 , -0.1058 , 0.2695 , -0.0382 , -0.1562 , 0.4931 , 0.1707 , 0.0488 , 0.3295 , -0.1177 , -0.1796 , -0.1094 , 0.0902 , 0.1244 , 0.0101 , -0.1033 , 0.1669 , -0.1159 , 0.0623 , -0.1273 , -0.0694 , -0.1231 , 0.1671 , 0.0245 , -0.0274 , -0.0906 , 0.0283 , -0.1342 , 0.0583 , -0.0131 , -0.0588 , -0.1373 , 0.258 , 0.0765 , -0.1233 ]  , </v>
      </c>
    </row>
    <row r="277" spans="1:1">
      <c r="A277" s="13" t="str">
        <f>jsRow(remedy_factors!A277:AL277, TRUE )</f>
        <v xml:space="preserve">[ 0.0073 , 0.1776 , -0.1779 , 0.1227 , -0.0113 , -0.2908 , 0.0077 , 0.196 , -0.0221 , 0.0426 , -0.106 , 0.0145 , 0.0884 , -0.3332 , -0.297 , 0.3762 , 0.1814 , -0.001 , -0.0903 , -0.1311 , -0.2041 , -0.0154 , 0.2586 , -0.0686 , 0.124 , 0.0991 , 0.1431 , -0.002 , 0.193 , 0.2674 , 0.0889 , -0.066 , -0.1063 , -0.1106 , -0.0507 , 0.0659 , -0.1903 , -0.1765 ]  , </v>
      </c>
    </row>
    <row r="278" spans="1:1">
      <c r="A278" s="13" t="str">
        <f>jsRow(remedy_factors!A278:AL278, TRUE )</f>
        <v xml:space="preserve">[ 0.4598 , -0.1969 , 0.0039 , -0.2405 , 0.4307 , -0.0071 , 0.3072 , -0.0773 , 0.0642 , -0.1657 , 0.232 , 0.0617 , 0.083 , -0.0206 , -0.0319 , -0.1731 , -0.1802 , -0.0887 , -0.1554 , 0.0096 , 0.0224 , 0.1071 , -0.0426 , -0.122 , 0.0944 , -0.176 , 0.0369 , -0.199 , 0.0632 , -0.2427 , -0.0834 , -0.0035 , -0.0685 , 0.0163 , 0.0273 , 0.1096 , 0.0192 , 0.1281 ]  , </v>
      </c>
    </row>
    <row r="279" spans="1:1">
      <c r="A279" s="13" t="str">
        <f>jsRow(remedy_factors!A279:AL279, TRUE )</f>
        <v xml:space="preserve">[ 0.1004 , 0.4278 , 0.0803 , -0.0603 , 0.2296 , -0.1069 , -0.0398 , 0.136 , 0.1108 , -0.0956 , 0.0278 , -0.0895 , -0.042 , 0.1902 , 0.0172 , -0.0708 , 0.2729 , 0.099 , 0.0018 , -0.2908 , -0.1956 , -0.0157 , -0.3321 , -0.4269 , 0.0419 , 0.0607 , -0.1341 , 0.1728 , 0.0887 , -0.0123 , -0.1217 , -0.1434 , 0.0802 , 0.067 , -0.1253 , -0.0545 , 0.0521 , 0.1015 ]  , </v>
      </c>
    </row>
    <row r="280" spans="1:1">
      <c r="A280" s="13" t="str">
        <f>jsRow(remedy_factors!A280:AL280, TRUE )</f>
        <v xml:space="preserve">[ -0.0275 , 0.3727 , -0.1719 , -0.0771 , -0.0501 , -0.0833 , 0.013 , 0.184 , 0.2162 , -0.0948 , -0.0399 , -0.3851 , -0.0427 , -0.0483 , 0.0542 , -0.4296 , -0.0256 , -0.199 , -0.0252 , 0.2774 , 0.0325 , -0.0881 , -0.0996 , -0.0264 , 0.1745 , 0.3047 , 0.0652 , -0.0094 , 0.083 , -0.1027 , -0.0533 , -0.0797 , 0.0046 , -0.0324 , 0.0288 , 0.0217 , 0.2919 , 0.0708 ]  , </v>
      </c>
    </row>
    <row r="281" spans="1:1">
      <c r="A281" s="13" t="str">
        <f>jsRow(remedy_factors!A281:AL281, TRUE )</f>
        <v xml:space="preserve">[ 0.1914 , 0.3911 , 0.2833 , 0.0385 , 0.1399 , -0.0617 , 0.0925 , 0.2502 , -0.1345 , -0.0689 , -0.0648 , 0.0277 , 0.0801 , -0.1188 , 0.0499 , -0.0842 , 0.0836 , 0.1643 , -0.2239 , -0.0075 , -0.196 , 0.1004 , -0.2055 , -0.125 , 0.1285 , -0.049 , -0.0174 , 0.3398 , -0.083 , -0.0714 , 0.0029 , -0.2001 , -0.0635 , -0.1952 , -0.2256 , -0.1712 , 0.2007 , -0.1904 ]  , </v>
      </c>
    </row>
    <row r="282" spans="1:1">
      <c r="A282" s="13" t="str">
        <f>jsRow(remedy_factors!A282:AL282, TRUE )</f>
        <v xml:space="preserve">[ 0.3524 , 0.1247 , 0.2298 , 0.0576 , -0.1197 , -0.1352 , -0.0606 , 0.029 , 0.0281 , 0.1448 , 0.2271 , -0.173 , -0.0281 , -0.2074 , -0.0843 , 0.0614 , 0.1062 , 0.1634 , 0.3403 , -0.1419 , 0.2428 , -0.0462 , -0.0496 , -0.2632 , -0.0037 , 0.206 , -0.213 , -0.1952 , 0.0378 , -0.1515 , -0.1966 , -0.1296 , -0.1475 , -0.0376 , -0.0069 , 0.2258 , -0.0437 , -0.1432 ]  , </v>
      </c>
    </row>
    <row r="283" spans="1:1">
      <c r="A283" s="13" t="str">
        <f>jsRow(remedy_factors!A283:AL283, TRUE )</f>
        <v xml:space="preserve">[ -0.1289 , 0.1252 , 0.1745 , 0.0582 , -0.1028 , 0.2246 , -0.097 , 0.0345 , -0.0505 , 0.0062 , -0.0424 , -0.0653 , 0.2143 , 0.4085 , 0.0886 , -0.1015 , 0.0674 , -0.5286 , 0.1638 , -0.0578 , -0.0319 , -0.0963 , 0.1192 , 0.0627 , -0.1002 , 0.0364 , -0.1263 , 0.2081 , -0.0467 , -0.2727 , 0.1963 , -0.0623 , -0.1154 , 0.0148 , 0.1803 , -0.085 , -0.1115 , -0.1578 ]  , </v>
      </c>
    </row>
    <row r="284" spans="1:1">
      <c r="A284" s="13" t="str">
        <f>jsRow(remedy_factors!A284:AL284, TRUE )</f>
        <v xml:space="preserve">[ -0.0834 , 0.341 , -0.3378 , 0.0813 , 0.3875 , -0.185 , -0.0184 , 0.2145 , 0.2502 , 0.0834 , -0.2399 , -0.0289 , 0.0522 , -0.1252 , -0.0752 , -0.0735 , 0.1915 , 0.0122 , -0.1005 , 0.1149 , 0.0568 , 0.152 , -0.0655 , -0.0519 , -0.2401 , -0.1518 , 0.122 , -0.0034 , 0.2449 , 0.0089 , -0.0469 , -0.0205 , -0.2088 , -0.0091 , -0.1497 , 0.0439 , 0.0688 , -0.2084 ]  , </v>
      </c>
    </row>
    <row r="285" spans="1:1">
      <c r="A285" s="13" t="str">
        <f>jsRow(remedy_factors!A285:AL285, TRUE )</f>
        <v xml:space="preserve">[ -0.0228 , 0.2992 , 0.272 , -0.3603 , 0.0058 , -0.2074 , 0.0434 , 0.0958 , 0.0939 , -0.1064 , 0.05 , -0.0257 , 0.1363 , 0.0032 , -0.1109 , -0.0672 , 0.2191 , -0.2032 , -0.1566 , 0.0275 , 0.0635 , -0.2214 , -0.4508 , -0.0362 , 0.1222 , -0.0987 , 0.2606 , 0.1045 , 0.0429 , -0.0619 , 0.0108 , 0.1246 , 0.1349 , -0.1111 , -0.1725 , 0.0489 , 0.1418 , 0.1161 ]  , </v>
      </c>
    </row>
    <row r="286" spans="1:1">
      <c r="A286" s="13" t="str">
        <f>jsRow(remedy_factors!A286:AL286, TRUE )</f>
        <v xml:space="preserve">[ 0.0801 , -0.0931 , -0.0631 , 0.2913 , 0.7218 , -0.1208 , 0.0426 , -0.0087 , -0.1531 , -0.1425 , 0.028 , -0.0549 , -0.103 , 0.2747 , -0.0272 , 0.1034 , 0.103 , -0.1054 , -0.1673 , -0.0545 , 0.015 , 0.1018 , -0.0308 , 0.0462 , -0.0904 , -0.0892 , -0.1914 , 0.0233 , 0.03 , -0.0691 , -0.1638 , -0.0556 , -0.0943 , -0.1669 , -0.0387 , 0.0931 , 0.0418 , 0.0983 ]  , </v>
      </c>
    </row>
    <row r="287" spans="1:1">
      <c r="A287" s="13" t="str">
        <f>jsRow(remedy_factors!A287:AL287, TRUE )</f>
        <v xml:space="preserve">[ 0.2093 , 0.3108 , -0.0327 , -0.0297 , 0.0411 , -0.2255 , 0.1504 , 0.0551 , 0.1756 , -0.1538 , -0.0215 , -0.0519 , -0.2332 , -0.1496 , 0.0516 , -0.016 , -0.1326 , -0.1397 , 0.007 , -0.1363 , 0.2581 , 0.1026 , -0.2397 , 0.0901 , 0.1571 , 0.2958 , -0.0372 , 0.216 , -0.2985 , 0.1833 , -0.0696 , 0.1575 , 0.1333 , -0.1064 , -0.1171 , -0.1977 , -0.2213 , 0.0154 ]  , </v>
      </c>
    </row>
    <row r="288" spans="1:1">
      <c r="A288" s="13" t="str">
        <f>jsRow(remedy_factors!A288:AL288, TRUE )</f>
        <v xml:space="preserve">[ -0.3227 , 0.2526 , -0.0507 , 0.0156 , 0.1937 , 0.213 , -0.1182 , 0.1668 , -0.247 , 0.0562 , 0.1528 , -0.2141 , 0.038 , -0.0058 , 0.1348 , 0.1156 , 0.1059 , -0.0661 , -0.0639 , -0.0603 , 0.0241 , -0.1322 , 0.0267 , 0.0275 , -0.1363 , 0.0591 , -0.2941 , -0.0406 , -0.2853 , 0.0184 , 0.1533 , -0.2865 , -0.0295 , 0.0661 , 0.4268 , -0.0158 , 0.0188 , 0.0987 ]  , </v>
      </c>
    </row>
    <row r="289" spans="1:1">
      <c r="A289" s="13" t="str">
        <f>jsRow(remedy_factors!A289:AL289, TRUE )</f>
        <v xml:space="preserve">[ -0.1978 , 0.2217 , -0.0519 , -0.1009 , -0.3659 , -0.3652 , 0.2165 , 0.2356 , 0.1206 , -0.1521 , 0.029 , 0.1044 , 0.1211 , -0.2796 , 0.0732 , 0.3151 , -0.0516 , -0.0038 , -0.2519 , -0.0317 , -0.2126 , 0.158 , 0.0597 , 0.0253 , 0.1549 , 0.1596 , 0.0478 , 0.0163 , 0.1293 , 0.2211 , -0.0205 , -0.0007 , -0.0973 , -0.0526 , -0.0259 , -0.0227 , -0.0308 , -0.0918 ]  , </v>
      </c>
    </row>
    <row r="290" spans="1:1">
      <c r="A290" s="13" t="str">
        <f>jsRow(remedy_factors!A290:AL290, TRUE )</f>
        <v xml:space="preserve">[ -0.2307 , -0.2074 , -0.1958 , 0.1287 , 0.2489 , 0.019 , 0.0156 , -0.0026 , -0.2868 , 0.052 , -0.1805 , 0.173 , 0.0602 , -0.16 , -0.0697 , 0.021 , -0.2881 , 0.2294 , 0.2894 , -0.1128 , 0.1779 , 0.2358 , -0.0595 , -0.0156 , 0.1674 , -0.0028 , -0.1102 , -0.0105 , 0.2112 , -0.0113 , -0.313 , -0.1548 , -0.121 , 0.1151 , 0.1197 , 0.1597 , 0.0346 , 0.0723 ]  , </v>
      </c>
    </row>
    <row r="291" spans="1:1">
      <c r="A291" s="13" t="str">
        <f>jsRow(remedy_factors!A291:AL291, TRUE )</f>
        <v xml:space="preserve">[ 0.0151 , 0.0017 , 0.2501 , -0.0507 , -0.3529 , -0.0238 , 0.0996 , -0.5482 , -0.1232 , 0.1007 , -0.1474 , 0.1265 , -0.1321 , 0.185 , 0.114 , -0.1219 , -0.028 , -0.1452 , -0.1752 , -0.021 , 0.0806 , -0.0653 , 0.152 , -0.0009 , 0.1291 , -0.3339 , 0.0758 , 0.0432 , 0.0867 , 0.0046 , 0.0732 , 0.0221 , 0.1313 , -0.0295 , 0.0775 , 0.1455 , 0.2105 , 0.176 ]  , </v>
      </c>
    </row>
    <row r="292" spans="1:1">
      <c r="A292" s="13" t="str">
        <f>jsRow(remedy_factors!A292:AL292, TRUE )</f>
        <v xml:space="preserve">[ 0.2821 , -0.2126 , 0.1864 , 0.0442 , 0.4118 , -0.1877 , 0.1749 , 0.0755 , 0.0626 , -0.0267 , -0.0248 , -0.2328 , 0.1298 , 0.2126 , -0.1454 , -0.1923 , -0.0267 , -0.0594 , -0.1845 , -0.1541 , -0.0994 , 0.0041 , 0.0469 , 0.2627 , -0.0078 , -0.2816 , 0.1086 , -0.0529 , -0.0253 , -0.213 , -0.1334 , 0.1325 , 0.1795 , -0.0934 , -0.156 , -0.046 , 0.1265 , 0.1261 ]  , </v>
      </c>
    </row>
    <row r="293" spans="1:1">
      <c r="A293" s="13" t="str">
        <f>jsRow(remedy_factors!A293:AL293, TRUE )</f>
        <v xml:space="preserve">[ -0.1017 , 0.1948 , -0.0358 , 0.0766 , 0.1394 , 0.0391 , -0.3566 , -0.1095 , 0.0684 , 0.0976 , -0.0655 , 0.2364 , 0.0461 , 0.3774 , -0.0216 , 0.0173 , 0.0381 , -0.2973 , 0.0268 , 0.1462 , 0.0136 , 0.0591 , 0.1812 , -0.3023 , 0.1487 , -0.0951 , -0.0385 , 0.2222 , -0.0103 , -0.1779 , 0.0412 , 0.2139 , -0.236 , -0.096 , -0.0863 , 0.0502 , -0.1373 , -0.2646 ]  , </v>
      </c>
    </row>
    <row r="294" spans="1:1">
      <c r="A294" s="13" t="str">
        <f>jsRow(remedy_factors!A294:AL294, TRUE )</f>
        <v xml:space="preserve">[ -0.4983 , 0.0964 , -0.2341 , 0.0458 , 0.0947 , 0.1695 , -0.0834 , 0.4184 , -0.13 , -0.1165 , -0.1312 , -0.0513 , 0.0698 , -0.0661 , 0.0188 , 0.0651 , 0.0406 , 0.0431 , -0.0239 , -0.2885 , -0.1105 , -0.0821 , 0.1884 , -0.0748 , 0.0902 , 0.0191 , -0.0671 , -0.1409 , -0.1567 , 0.1174 , 0.0325 , -0.0352 , 0.1614 , 0.1813 , 0.2905 , 0.1777 , -0.0686 , 0.0348 ]  , </v>
      </c>
    </row>
    <row r="295" spans="1:1">
      <c r="A295" s="13" t="str">
        <f>jsRow(remedy_factors!A295:AL295, TRUE )</f>
        <v xml:space="preserve">[ 0.2239 , -0.2816 , 0.1234 , -0.0958 , 0.1434 , -0.161 , -0.0467 , -0.1215 , -0.08 , 0.0962 , 0.1882 , 0.152 , -0.2959 , -0.1024 , 0.141 , 0.0014 , 0.0157 , 0.3273 , 0.0314 , -0.1448 , -0.0896 , 0.0662 , 0.0453 , -0.0148 , -0.0038 , 0.0376 , -0.2201 , -0.0305 , -0.1715 , 0.0148 , -0.1534 , 0.213 , 0.253 , -0.112 , -0.0334 , -0.2959 , 0.3631 , 0.011 ]  , </v>
      </c>
    </row>
    <row r="296" spans="1:1">
      <c r="A296" s="13" t="str">
        <f>jsRow(remedy_factors!A296:AL296, TRUE )</f>
        <v xml:space="preserve">[ 0.2397 , -0.5111 , -0.0492 , -0.1548 , 0.0742 , -0.0956 , -0.1365 , -0.1313 , -0.0044 , -0.1698 , 0.1147 , 0.0762 , -0.0167 , -0.1357 , -0.0222 , -0.2361 , -0.2305 , -0.0825 , -0.1127 , 0.1432 , 0.1246 , 0.2762 , -0.0714 , -0.019 , 0.252 , -0.1091 , 0.1258 , -0.0373 , 0.0317 , -0.1373 , 0.0436 , 0.221 , 0.1829 , 0.1182 , 0.0036 , 0.1948 , 0.0544 , 0.1992 ]  , </v>
      </c>
    </row>
    <row r="297" spans="1:1">
      <c r="A297" s="13" t="str">
        <f>jsRow(remedy_factors!A297:AL297, TRUE )</f>
        <v xml:space="preserve">[ -0.156 , -0.1546 , 0.3166 , 0.197 , 0.0519 , -0.0657 , -0.1301 , -0.4108 , 0.4187 , 0.1631 , 0.0861 , 0.0652 , 0.1129 , -0.1058 , -0.3299 , 0.0164 , 0.1476 , 0.0595 , -0.1713 , 0.0076 , -0.2001 , 0.1431 , -0.0672 , -0.0192 , -0.1721 , -0.1106 , 0.0234 , 0.1639 , 0.1783 , 0.0056 , 0.112 , -0.1007 , -0.0813 , -0.0931 , 0.0011 , 0.0432 , 0.1036 , -0.0404 ]  , </v>
      </c>
    </row>
    <row r="298" spans="1:1">
      <c r="A298" s="13" t="str">
        <f>jsRow(remedy_factors!A298:AL298, TRUE )</f>
        <v xml:space="preserve">[ 0.4862 , -0.2769 , -0.0601 , 0.1738 , 0.0716 , 0.0446 , -0.0159 , 0.0155 , -0.1562 , 0.0372 , -0.2143 , 0.1926 , -0.0098 , -0.2176 , 0.0078 , -0.0818 , -0.2388 , -0.1754 , -0.0327 , 0.0552 , 0.1116 , 0.3546 , -0.0613 , 0.0311 , 0.0842 , 0.0609 , 0.0204 , 0.0458 , -0.2691 , -0.0814 , 0.0335 , 0.238 , 0.1513 , -0.1055 , 0.1386 , -0.0936 , -0.139 , -0.1272 ]  , </v>
      </c>
    </row>
    <row r="299" spans="1:1">
      <c r="A299" s="13" t="str">
        <f>jsRow(remedy_factors!A299:AL299, TRUE )</f>
        <v xml:space="preserve">[ -0.0556 , 0.1049 , 0.012 , -0.0218 , -0.3075 , 0.2141 , 0.2056 , 0 , -0.1323 , 0.131 , 0.3432 , 0.0149 , -0.1958 , 0.2193 , -0.0002 , -0.0748 , -0.1044 , -0.0322 , 0.0399 , 0.1831 , -0.1001 , -0.0305 , -0.3038 , 0.2463 , -0.136 , 0.0012 , 0.0307 , -0.3144 , 0.1441 , 0.1688 , -0.0754 , 0.1192 , 0.0332 , 0.099 , -0.1943 , 0.1669 , -0.2292 , -0.1744 ]  , </v>
      </c>
    </row>
    <row r="300" spans="1:1">
      <c r="A300" s="13" t="str">
        <f>jsRow(remedy_factors!A300:AL300, TRUE )</f>
        <v xml:space="preserve">[ 0.3572 , -0.2492 , 0.1071 , 0.1293 , 0.3375 , -0.1436 , 0.0952 , -0.0577 , 0.0306 , -0.035 , 0.0804 , 0.1465 , -0.2398 , -0.0232 , -0.035 , -0.0296 , -0.076 , 0.2225 , -0.1554 , -0.1233 , 0.1293 , 0.1391 , -0.0883 , 0.1204 , 0.2028 , -0.1011 , -0.1322 , -0.1766 , -0.0937 , -0.1441 , -0.113 , -0.0592 , 0.3769 , -0.1534 , 0.0054 , -0.0508 , 0.0834 , -0.2664 ]  , </v>
      </c>
    </row>
    <row r="301" spans="1:1">
      <c r="A301" s="13" t="str">
        <f>jsRow(remedy_factors!A301:AL301, TRUE )</f>
        <v xml:space="preserve">[ 0.212 , -0.2305 , -0.1379 , 0.3629 , -0.1289 , -0.0185 , -0.0701 , -0.4709 , -0.0898 , -0.2908 , 0.1852 , -0.0008 , 0.1044 , -0.082 , 0.2345 , -0.236 , -0.1233 , 0.1655 , -0.078 , -0.1198 , -0.0938 , 0.043 , 0.0236 , 0.0946 , 0.2128 , -0.1493 , 0.0449 , 0.0646 , 0.0445 , -0.0039 , 0.0898 , 0.1927 , 0.0055 , -0.0997 , 0.0296 , 0.0796 , 0.1549 , 0.0835 ]  , </v>
      </c>
    </row>
    <row r="302" spans="1:1">
      <c r="A302" s="13" t="str">
        <f>jsRow(remedy_factors!A302:AL302, TRUE )</f>
        <v xml:space="preserve">[ -0.2008 , -0.0391 , -0.1134 , -0.1716 , -0.12 , -0.0999 , -0.2661 , 0.0872 , -0.0349 , 0.1843 , -0.0662 , 0.1833 , 0.2038 , 0.1159 , -0.0905 , 0.0756 , -0.0877 , 0.2444 , -0.0207 , 0.3323 , 0.0735 , -0.312 , -0.1216 , 0.0087 , 0.1209 , -0.0549 , -0.1664 , -0.0794 , -0.0667 , -0.0101 , 0.2357 , 0.2993 , 0.1449 , 0.1732 , -0.3262 , -0.0811 , -0.0483 , 0.087 ]  , </v>
      </c>
    </row>
    <row r="303" spans="1:1">
      <c r="A303" s="13" t="str">
        <f>jsRow(remedy_factors!A303:AL303, TRUE )</f>
        <v xml:space="preserve">[ -0.449 , 0.1007 , -0.0294 , 0.232 , 0.3883 , -0.0108 , -0.2441 , 0.1816 , 0.1634 , 0.0065 , -0.1072 , 0.2975 , 0.293 , 0.1394 , -0.1029 , -0.0516 , -0.102 , 0.0191 , -0.1249 , -0.1244 , -0.0437 , -0.0054 , 0.1746 , 0.05 , -0.0155 , -0.2511 , -0.0049 , 0.0619 , -0.0637 , -0.0215 , 0.0531 , 0.0058 , -0.0119 , -0.1065 , 0.0661 , 0.028 , -0.1495 , -0.2334 ]  , </v>
      </c>
    </row>
    <row r="304" spans="1:1">
      <c r="A304" s="13" t="str">
        <f>jsRow(remedy_factors!A304:AL304, TRUE )</f>
        <v xml:space="preserve">[ 0.3919 , 0.0245 , -0.1907 , -0.0777 , 0.1328 , -0.0706 , 0.0298 , 0.0515 , 0.0467 , 0.2539 , -0.205 , 0.0146 , 0.2086 , -0.0189 , 0.4109 , -0.0766 , -0.18 , 0.1466 , -0.0856 , -0.1071 , 0.0091 , -0.1391 , 0.0105 , 0.101 , -0.2114 , 0.2765 , 0.0759 , -0.0462 , -0.0613 , 0.0046 , 0.1992 , -0.1326 , -0.2135 , 0.0003 , -0.1584 , -0.2369 , -0.0012 , -0.1747 ]  , </v>
      </c>
    </row>
    <row r="305" spans="1:1">
      <c r="A305" s="13" t="str">
        <f>jsRow(remedy_factors!A305:AL305, TRUE )</f>
        <v xml:space="preserve">[ 0.3479 , -0.2191 , -0.3033 , 0.3398 , -0.0508 , 0.1055 , -0.1008 , -0.242 , -0.1307 , -0.3076 , 0.1148 , -0.0795 , 0.1994 , -0.2106 , 0.2502 , -0.1047 , -0.1074 , 0.2094 , -0.0652 , -0.0136 , -0.0202 , 0.0667 , 0.0423 , -0.0256 , 0.1179 , -0.2141 , 0.057 , 0.1199 , -0.0547 , 0.012 , 0.1167 , 0.1749 , 0.0733 , -0.1474 , -0.0531 , 0.0066 , 0.1617 , -0.0648 ]  , </v>
      </c>
    </row>
    <row r="306" spans="1:1">
      <c r="A306" s="13" t="str">
        <f>jsRow(remedy_factors!A306:AL306, TRUE )</f>
        <v xml:space="preserve">[ 0.2853 , -0.3176 , 0.2396 , -0.3418 , 0.1033 , -0.1349 , -0.1226 , -0.058 , 0.0636 , -0.0081 , 0.0734 , 0.1152 , 0.039 , 0.1187 , 0.248 , 0.1121 , -0.2667 , -0.0221 , 0.0239 , 0.149 , -0.0657 , 0.1697 , 0.0552 , -0.2452 , 0.2565 , -0.1753 , 0.1121 , -0.0492 , -0.0931 , 0.0218 , 0.1672 , -0.2248 , 0.0032 , 0.1725 , -0.1317 , -0.0699 , -0.2048 , -0.0011 ]  , </v>
      </c>
    </row>
    <row r="307" spans="1:1">
      <c r="A307" s="13" t="str">
        <f>jsRow(remedy_factors!A307:AL307, TRUE )</f>
        <v xml:space="preserve">[ 0.1322 , 0.0872 , -0.1138 , 0.1389 , 0.1327 , 0.3204 , -0.001 , 0.3025 , -0.291 , 0.0194 , -0.0609 , -0.0532 , 0.0437 , -0.2592 , 0.0075 , 0.0848 , -0.0082 , -0.3673 , 0.1355 , -0.051 , 0.0398 , -0.1292 , -0.0216 , -0.0798 , 0.1814 , 0.128 , -0.0186 , 0.2197 , -0.2242 , 0.2284 , 0.0606 , -0.2625 , -0.0611 , -0.211 , -0.2227 , 0.051 , 0.0609 , 0.0691 ]  , </v>
      </c>
    </row>
    <row r="308" spans="1:1">
      <c r="A308" s="13" t="str">
        <f>jsRow(remedy_factors!A308:AL308, TRUE )</f>
        <v xml:space="preserve">[ -0.226 , 0.4212 , -0.1523 , 0.0891 , 0.2924 , -0.2373 , -0.0402 , 0.1187 , 0.0995 , 0.0403 , 0.2612 , -0.3655 , -0.2167 , 0.071 , -0.0123 , 0.0434 , 0.0907 , -0.2784 , -0.0627 , 0.0754 , 0.001 , -0.0845 , -0.1553 , -0.0445 , -0.2299 , -0.0476 , 0.0584 , -0.0092 , 0.0092 , -0.0812 , 0.2059 , 0.0181 , 0.0943 , -0.0943 , 0.0468 , 0.1323 , -0.0331 , 0.2009 ]  , </v>
      </c>
    </row>
    <row r="309" spans="1:1">
      <c r="A309" s="13" t="str">
        <f>jsRow(remedy_factors!A309:AL309, TRUE )</f>
        <v xml:space="preserve">[ -0.2656 , -0.0262 , -0.0164 , 0.0974 , -0.0177 , -0.0525 , 0.0835 , 0.35 , 0.0583 , -0.0095 , 0.1153 , -0.5008 , -0.1064 , 0.1519 , -0.167 , -0.2324 , -0.3029 , 0.1396 , 0.0461 , 0.2134 , -0.0728 , 0.1589 , -0.0182 , -0.0495 , -0.3056 , 0.0958 , 0.168 , -0.0094 , -0.0338 , -0.023 , 0.0312 , 0.1236 , 0.026 , 0.1715 , 0.0457 , 0.143 , -0.0695 , 0.0638 ]  , </v>
      </c>
    </row>
    <row r="310" spans="1:1">
      <c r="A310" s="13" t="str">
        <f>jsRow(remedy_factors!A310:AL310, TRUE )</f>
        <v xml:space="preserve">[ -0.3795 , -0.1054 , -0.1383 , -0.0214 , 0.2105 , -0.2219 , -0.0529 , 0.0454 , -0.0404 , 0.3298 , 0.1362 , 0.1297 , 0.0729 , 0.0468 , -0.174 , -0.0754 , -0.1079 , -0.1229 , -0.0622 , 0.0289 , 0.2748 , 0.1529 , 0.0833 , -0.1672 , 0.3509 , -0.2895 , 0.0465 , 0.0046 , -0.0254 , -0.163 , -0.2051 , 0.1233 , -0.0336 , 0.0633 , 0.08 , -0.0071 , 0.2552 , -0.045 ]  , </v>
      </c>
    </row>
    <row r="311" spans="1:1">
      <c r="A311" s="13" t="str">
        <f>jsRow(remedy_factors!A311:AL311, TRUE )</f>
        <v xml:space="preserve">[ 0.4189 , -0.3315 , 0.0725 , -0.0402 , -0.0087 , -0.1555 , -0.2724 , -0.2124 , -0.0468 , 0.2195 , -0.0832 , 0.038 , -0.1521 , 0.3494 , -0.2344 , 0.1937 , 0.1845 , -0.1047 , -0.1446 , 0.0491 , -0.1188 , 0.0094 , 0.0196 , 0.2176 , -0.0156 , 0.021 , 0.0976 , 0.0541 , -0.0976 , 0.0536 , -0.1328 , -0.1614 , 0.0149 , -0.0395 , 0.0529 , -0.0437 , 0.0947 , 0.2301 ]  , </v>
      </c>
    </row>
    <row r="312" spans="1:1">
      <c r="A312" s="13" t="str">
        <f>jsRow(remedy_factors!A312:AL312, TRUE )</f>
        <v xml:space="preserve">[ -0.0483 , 0.448 , -0.1731 , 0.1516 , 0.4297 , -0.1377 , -0.1952 , 0.0887 , 0.0894 , 0.0349 , 0.1304 , -0.0763 , -0.125 , 0.2054 , -0.0891 , 0.0893 , 0.0985 , -0.0986 , -0.0941 , 0.1389 , -0.2191 , 0.0562 , -0.0827 , -0.1481 , -0.1725 , -0.2298 , 0.0765 , -0.0575 , 0.0966 , 0.0421 , 0.1169 , 0.1088 , -0.2805 , -0.0645 , -0.1109 , -0.0558 , -0.0992 , 0.1575 ]  , </v>
      </c>
    </row>
    <row r="313" spans="1:1">
      <c r="A313" s="13" t="str">
        <f>jsRow(remedy_factors!A313:AL313, TRUE )</f>
        <v xml:space="preserve">[ 0.2819 , -0.1237 , -0.009 , -0.003 , 0.0868 , -0.1989 , 0.0086 , 0.0786 , 0.0559 , -0.0584 , 0.0816 , -0.0829 , -0.0589 , -0.2917 , 0.0296 , 0.0279 , 0.2024 , -0.0838 , -0.2857 , -0.1457 , 0.0653 , 0.0722 , 0.3171 , 0.0477 , 0.2299 , -0.4984 , 0.0163 , 0.217 , 0.061 , -0.1942 , 0.012 , 0.1048 , 0.0597 , -0.1375 , -0.1233 , 0.1431 , -0.037 , 0.1328 ]  , </v>
      </c>
    </row>
    <row r="314" spans="1:1">
      <c r="A314" s="13" t="str">
        <f>jsRow(remedy_factors!A314:AL314, TRUE )</f>
        <v xml:space="preserve">[ -0.4264 , 0.3601 , -0.0416 , -0.0474 , -0.4467 , 0.2666 , 0.1978 , -0.189 , -0.0215 , 0.0195 , -0.0413 , 0.0588 , -0.1351 , 0.2255 , -0.0824 , -0.0404 , -0.0747 , -0.0866 , 0.1606 , 0.0789 , 0.0429 , -0.2949 , 0.0254 , 0.0465 , -0.1062 , 0.0861 , -0.0334 , -0.0323 , -0.1315 , 0.0839 , 0.0555 , 0.0406 , -0.0371 , 0.0766 , 0.1897 , 0.0586 , 0.0563 , 0.138 ]  , </v>
      </c>
    </row>
    <row r="315" spans="1:1">
      <c r="A315" s="13" t="str">
        <f>jsRow(remedy_factors!A315:AL315, TRUE )</f>
        <v xml:space="preserve">[ -0.3059 , 0.1667 , -0.0139 , 0.326 , 0.2734 , -0.1772 , 0.0631 , -0.2726 , -0.0051 , 0.1091 , 0.1275 , 0.3806 , 0.0069 , 0.0815 , -0.172 , -0.2176 , 0.0423 , -0.0127 , -0.1999 , -0.233 , -0.1463 , -0.0098 , 0.2504 , 0.0551 , 0.0509 , 0.221 , -0.0066 , -0.1662 , 0.0739 , -0.0081 , -0.0854 , 0.0722 , 0.0663 , -0.0507 , -0.0012 , -0.1412 , 0.011 , -0.1534 ]  , </v>
      </c>
    </row>
    <row r="316" spans="1:1">
      <c r="A316" s="13" t="str">
        <f>jsRow(remedy_factors!A316:AL316, TRUE )</f>
        <v xml:space="preserve">[ 0.1098 , -0.1297 , 0.4019 , 0.2048 , -0.2087 , -0.2058 , 0.1182 , 0.2757 , -0.1354 , 0.0501 , 0.025 , 0.1313 , -0.1734 , 0.1334 , 0.0646 , -0.2128 , 0.1912 , 0.0821 , -0.0285 , 0.1801 , -0.0281 , -0.1395 , -0.1943 , -0.2817 , -0.0183 , 0.0008 , -0.1914 , -0.1217 , 0.223 , -0.0579 , 0.0135 , 0.0232 , 0.0706 , -0.1824 , -0.025 , 0.2156 , 0.0414 , -0.2218 ]  , </v>
      </c>
    </row>
    <row r="317" spans="1:1">
      <c r="A317" s="13" t="str">
        <f>jsRow(remedy_factors!A317:AL317, TRUE )</f>
        <v xml:space="preserve">[ 0.3464 , 0.0277 , 0.1858 , 0.144 , 0.0084 , 0.1266 , -0.209 , -0.3124 , -0.092 , 0.1509 , -0.163 , 0.2198 , -0.0911 , 0.1356 , -0.0069 , -0.0406 , -0.114 , -0.273 , 0.0271 , -0.0788 , -0.0364 , 0.0262 , -0.012 , -0.0541 , 0.1206 , 0.0722 , -0.2363 , 0.1672 , 0.1918 , -0.1828 , 0.0761 , 0.209 , 0.0232 , 0.0168 , 0.1564 , 0.0613 , -0.2204 , -0.3629 ]  , </v>
      </c>
    </row>
    <row r="318" spans="1:1">
      <c r="A318" s="13" t="str">
        <f>jsRow(remedy_factors!A318:AL318, TRUE )</f>
        <v xml:space="preserve">[ -0.0176 , 0.3535 , -0.0583 , -0.1044 , -0.2976 , 0.0834 , 0.1494 , -0.0108 , 0.1505 , -0.1204 , -0.05 , 0.0414 , -0.1425 , -0.3468 , 0.1401 , -0.1952 , -0.0359 , -0.0907 , 0.0929 , -0.1012 , 0.2239 , 0.065 , -0.2441 , 0.1168 , 0.2014 , 0.344 , 0.2723 , 0.0968 , -0.1739 , -0.0119 , -0.0477 , 0.0041 , -0.1414 , -0.0821 , -0.0851 , -0.0613 , 0.1638 , -0.0845 ]  , </v>
      </c>
    </row>
    <row r="319" spans="1:1">
      <c r="A319" s="13" t="str">
        <f>jsRow(remedy_factors!A319:AL319, TRUE )</f>
        <v xml:space="preserve">[ 0.0528 , -0.2646 , 0.0983 , 0.0222 , -0.1718 , -0.0768 , -0.182 , -0.3418 , 0.0841 , 0.1037 , 0.0728 , 0.1245 , 0.0339 , -0.1766 , 0.1867 , -0.0459 , -0.1307 , 0.1205 , -0.0823 , 0.083 , 0.0626 , 0.0433 , 0.032 , -0.0826 , 0.3069 , -0.2501 , 0.0575 , -0.0455 , -0.0648 , -0.2701 , 0.1609 , 0.2876 , 0.1154 , -0.1219 , -0.2741 , 0.075 , 0.1598 , 0.2872 ]  , </v>
      </c>
    </row>
    <row r="320" spans="1:1">
      <c r="A320" s="13" t="str">
        <f>jsRow(remedy_factors!A320:AL320, TRUE )</f>
        <v xml:space="preserve">[ 0.3635 , 0.223 , -0.1804 , -0.3556 , 0.2453 , -0.0667 , 0.1356 , -0.1076 , 0.2125 , 0.159 , 0.056 , 0.0273 , 0.0885 , 0.1602 , 0.3213 , -0.0753 , 0.031 , -0.0025 , -0.0872 , -0.1779 , -0.0191 , -0.2368 , 0.008 , 0.0036 , -0.1226 , 0.1586 , 0.1012 , -0.1556 , -0.0516 , -0.0114 , 0.0157 , -0.1197 , -0.2096 , 0.0305 , -0.0824 , -0.1923 , 0.141 , -0.2248 ]  , </v>
      </c>
    </row>
    <row r="321" spans="1:1">
      <c r="A321" s="13" t="str">
        <f>jsRow(remedy_factors!A321:AL321, TRUE )</f>
        <v xml:space="preserve">[ 0.1473 , 0.0012 , 0.3707 , -0.0215 , -0.0377 , 0.1515 , -0.0182 , 0.2104 , -0.2122 , -0.0459 , -0.0272 , 0.0926 , -0.0582 , -0.2334 , 0.175 , -0.1073 , -0.2506 , 0.0235 , -0.0357 , 0.2484 , 0.0866 , -0.0794 , 0.0429 , -0.0337 , 0.1276 , 0.0035 , 0.1183 , 0.1842 , -0.1228 , -0.2032 , 0.3337 , -0.2259 , -0.1058 , -0.1647 , 0.025 , -0.2803 , 0.1488 , -0.2219 ]  , </v>
      </c>
    </row>
    <row r="322" spans="1:1">
      <c r="A322" s="13" t="str">
        <f>jsRow(remedy_factors!A322:AL322, TRUE )</f>
        <v xml:space="preserve">[ 0.0561 , 0.18 , 0.2465 , -0.1464 , -0.1469 , 0.5349 , -0.0675 , -0.0005 , -0.4922 , 0.1223 , 0.3254 , -0.1682 , -0.0699 , -0.0575 , -0.0275 , -0.0493 , -0.1018 , 0.1444 , -0.224 , 0.0967 , -0.0925 , 0.1195 , -0.0178 , 0.0734 , -0.1111 , -0.0212 , 0.0271 , 0.1389 , 0.0195 , 0.0144 , -0.0025 , -0.028 , -0.0484 , -0.019 , -0.0494 , -0.0469 , -0.0696 , -0.0395 ]  , </v>
      </c>
    </row>
    <row r="323" spans="1:1">
      <c r="A323" s="13" t="str">
        <f>jsRow(remedy_factors!A323:AL323, TRUE )</f>
        <v xml:space="preserve">[ -0.0873 , -0.4923 , -0.222 , 0.1639 , 0.0503 , 0.0448 , 0.0169 , 0.1146 , -0.1152 , 0.282 , -0.0195 , -0.0983 , -0.0623 , 0.196 , -0.1882 , 0.1938 , 0.0286 , 0.3453 , 0.0795 , 0.0685 , 0.0292 , -0.1509 , 0.159 , -0.0084 , 0.0516 , -0.001 , -0.1824 , -0.0506 , -0.0854 , -0.1808 , 0.0318 , 0.0289 , 0.1701 , 0.2632 , -0.062 , -0.1895 , 0.0587 , -0.1895 ]  , </v>
      </c>
    </row>
    <row r="324" spans="1:1">
      <c r="A324" s="13" t="str">
        <f>jsRow(remedy_factors!A324:AL324, TRUE )</f>
        <v xml:space="preserve">[ 0.2838 , -0.0407 , 0.0802 , 0.0668 , 0.0037 , 0.2013 , -0.0053 , 0.1145 , 0.0745 , 0.2134 , 0.0191 , -0.2387 , 0.3534 , -0.0484 , -0.4651 , -0.049 , 0.0651 , -0.169 , 0.0345 , -0.2567 , 0.1037 , 0.0519 , -0.0668 , 0.1374 , -0.0565 , 0.0576 , 0.133 , 0.14 , -0.0804 , 0.0378 , -0.0848 , 0.0086 , -0.069 , -0.1523 , -0.2427 , -0.2213 , -0.151 , 0.211 ]  , </v>
      </c>
    </row>
    <row r="325" spans="1:1">
      <c r="A325" s="13" t="str">
        <f>jsRow(remedy_factors!A325:AL325, TRUE )</f>
        <v xml:space="preserve">[ -0.3441 , 0.1827 , -0.4351 , 0.0963 , 0.0384 , 0.2286 , -0.027 , 0.0572 , -0.1303 , -0.0382 , -0.1907 , 0.2094 , -0.034 , 0.1155 , -0.0424 , 0.1005 , -0.038 , 0.0362 , 0.3148 , -0.1155 , 0.0761 , -0.0833 , 0.0116 , -0.0829 , 0.0164 , -0.047 , 0.0098 , 0.0458 , -0.0356 , 0.1235 , -0.0078 , -0.236 , -0.2518 , 0.245 , 0.0276 , 0.1793 , -0.2128 , 0.2308 ]  , </v>
      </c>
    </row>
    <row r="326" spans="1:1">
      <c r="A326" s="13" t="str">
        <f>jsRow(remedy_factors!A326:AL326, TRUE )</f>
        <v xml:space="preserve">[ 0.2747 , -0.318 , -0.0966 , 0.0259 , -0.0939 , -0.2565 , -0.1157 , 0.1832 , -0.0091 , 0.326 , -0.0674 , 0.0998 , 0.2812 , -0.2191 , -0.0695 , 0.1941 , -0.2091 , 0.0645 , 0.0062 , 0.0027 , -0.0209 , 0.1039 , -0.2786 , -0.0754 , -0.0533 , 0.0306 , 0.0124 , -0.1758 , -0.0153 , 0.4476 , 0.0177 , 0.0312 , -0.0931 , 0.0842 , -0.0071 , 0.0233 , 0.028 , -0.0716 ]  , </v>
      </c>
    </row>
    <row r="327" spans="1:1">
      <c r="A327" s="13" t="str">
        <f>jsRow(remedy_factors!A327:AL327, TRUE )</f>
        <v xml:space="preserve">[ 0.3598 , -0.3314 , -0.1018 , 0.1442 , -0.0389 , -0.1088 , -0.1127 , 0.2223 , 0.0373 , 0.1834 , -0.2079 , 0.1138 , 0.1414 , -0.3081 , -0.0602 , 0.2079 , -0.3229 , -0.0591 , -0.1146 , 0.0664 , 0.0249 , 0.122 , -0.176 , 0.0288 , -0.1558 , -0.1286 , 0.0214 , -0.1026 , 0.0929 , 0.2821 , -0.0552 , -0.0738 , 0.0793 , 0.1119 , -0.0408 , 0.2254 , 0.0808 , -0.0466 ]  , </v>
      </c>
    </row>
    <row r="328" spans="1:1">
      <c r="A328" s="13" t="str">
        <f>jsRow(remedy_factors!A328:AL328, TRUE )</f>
        <v xml:space="preserve">[ -0.0024 , 0.0562 , 0.072 , 0.0355 , -0.0873 , 0.0753 , 0.1368 , -0.1219 , -0.1584 , -0.1814 , -0.0993 , 0.0149 , -0.1238 , -0.1085 , 0.0792 , 0.0682 , -0.1094 , 0.1003 , 0.228 , 0.3182 , -0.0816 , 0.1675 , 0.0878 , 0.0072 , -0.0691 , -0.2544 , -0.1982 , -0.0878 , -0.084 , -0.0893 , 0.2875 , 0.0682 , -0.3024 , 0.0725 , 0.4694 , -0.1368 , -0.2025 , 0.1555 ]  , </v>
      </c>
    </row>
    <row r="329" spans="1:1">
      <c r="A329" s="13" t="str">
        <f>jsRow(remedy_factors!A329:AL329, TRUE )</f>
        <v xml:space="preserve">[ 0.4189 , -0.2345 , 0.0036 , 0.1559 , -0.0854 , -0.0463 , 0.1154 , -0.1022 , -0.2458 , -0.0332 , -0.2217 , 0.2963 , 0.0018 , -0.3199 , 0.0568 , -0.1377 , -0.1572 , -0.1418 , 0.0336 , 0.045 , 0.1172 , 0.2844 , -0.0618 , 0.0586 , 0.129 , 0.1041 , 0.1009 , 0.0223 , -0.1418 , -0.2086 , 0.0241 , 0.2122 , 0.2086 , -0.1 , 0.0936 , -0.1409 , -0.0963 , -0.0204 ]  , </v>
      </c>
    </row>
    <row r="330" spans="1:1">
      <c r="A330" s="13" t="str">
        <f>jsRow(remedy_factors!A330:AL330, TRUE )</f>
        <v xml:space="preserve">[ -0.2567 , 0.2981 , 0.1183 , 0.1041 , -0.0423 , 0.1368 , -0.299 , 0.0592 , 0.2943 , -0.0205 , 0.0474 , 0.0034 , 0.1788 , -0.0212 , -0.2063 , 0.1181 , 0.2318 , -0.1558 , 0.2241 , -0.1202 , -0.112 , -0.0688 , 0.0178 , -0.1467 , -0.07 , 0.0918 , 0.1067 , 0.3043 , -0.0211 , -0.3037 , -0.0122 , 0.0574 , -0.2508 , 0.1082 , -0.0495 , -0.0586 , -0.2233 , -0.0565 ]  , </v>
      </c>
    </row>
    <row r="331" spans="1:1">
      <c r="A331" s="13" t="str">
        <f>jsRow(remedy_factors!A331:AL331, TRUE )</f>
        <v xml:space="preserve">[ 0.1229 , -0.089 , 0.0853 , 0.0178 , -0.1665 , -0.2363 , 0.3092 , 0.0507 , -0.2307 , -0.1016 , -0.1289 , -0.1846 , -0.2922 , -0.1663 , 0.1568 , -0.0371 , 0.4025 , 0.1036 , 0.166 , 0.0376 , 0.0833 , 0.2302 , 0.2312 , 0.0371 , 0.0456 , 0.0223 , 0.1028 , 0.0436 , 0.0484 , -0.1379 , -0.0943 , 0.1038 , 0.092 , 0.0366 , -0.2084 , -0.0253 , -0.1297 , -0.3017 ]  , </v>
      </c>
    </row>
    <row r="332" spans="1:1">
      <c r="A332" s="13" t="str">
        <f>jsRow(remedy_factors!A332:AL332, TRUE )</f>
        <v xml:space="preserve">[ 0.3332 , -0.1091 , 0.0735 , -0.1829 , -0.1719 , -0.0828 , -0.1804 , -0.1396 , 0.1061 , 0.2901 , 0.113 , -0.1484 , -0.0724 , 0.0261 , -0.286 , 0.0203 , 0.0433 , 0.3143 , -0.0422 , -0.2109 , -0.0406 , 0.085 , 0.2482 , 0.0867 , -0.0101 , -0.2495 , -0.1297 , 0.1492 , 0.0151 , -0.0477 , 0.184 , -0.0367 , -0.0548 , -0.2441 , 0.0998 , 0.2188 , 0.1651 , -0.1404 ]  , </v>
      </c>
    </row>
    <row r="333" spans="1:1">
      <c r="A333" s="13" t="str">
        <f>jsRow(remedy_factors!A333:AL333, TRUE )</f>
        <v xml:space="preserve">[ 0.2361 , -0.2748 , -0.105 , 0.0798 , -0.0517 , -0.0075 , -0.1195 , 0.0445 , -0.1239 , 0.4169 , -0.0013 , -0.3778 , 0.0922 , 0.0687 , -0.3993 , 0.093 , 0.2099 , 0.1267 , 0.1594 , -0.1354 , 0.0697 , -0.0698 , -0.0137 , 0.0177 , -0.1798 , 0.0732 , -0.0134 , 0.2083 , -0.061 , 0.1306 , 0.0927 , -0.0615 , -0.1723 , -0.0535 , -0.0629 , -0.0811 , 0.2148 , 0.0366 ]  , </v>
      </c>
    </row>
    <row r="334" spans="1:1">
      <c r="A334" s="13" t="str">
        <f>jsRow(remedy_factors!A334:AL334, TRUE )</f>
        <v xml:space="preserve">[ 0.4468 , -0.1788 , 0.0713 , -0.0115 , 0.0587 , -0.1573 , 0 , 0.0598 , -0.1647 , 0.0378 , -0.1332 , 0.0561 , 0.1663 , -0.4405 , 0.1017 , -0.2743 , 0 , 0.0451 , -0.0488 , 0.2433 , 0.2685 , -0.0435 , -0.1631 , -0.1028 , 0.0388 , -0.0105 , -0.0703 , 0.0996 , 0.0991 , -0.1327 , 0.1133 , 0.0005 , -0.0205 , -0.1521 , 0.0776 , 0.182 , 0.1778 , -0.2208 ]  , </v>
      </c>
    </row>
    <row r="335" spans="1:1">
      <c r="A335" s="13" t="str">
        <f>jsRow(remedy_factors!A335:AL335, TRUE )</f>
        <v xml:space="preserve">[ 0.2986 , -0.2067 , 0.3187 , -0.0177 , 0.0442 , -0.0599 , 0.11 , -0.0766 , -0.2504 , 0.0746 , -0.0295 , 0.0815 , -0.0383 , -0.3447 , 0.1336 , -0.0246 , -0.1159 , -0.0029 , -0.1517 , 0.1105 , 0.2274 , 0.3152 , 0.0354 , 0.0629 , 0.1581 , -0.2337 , -0.0619 , 0.1684 , -0.163 , -0.2922 , 0.2421 , 0.001 , 0.0658 , -0.1247 , -0.1267 , -0.0589 , -0.0344 , -0.0182 ]  , </v>
      </c>
    </row>
    <row r="336" spans="1:1">
      <c r="A336" s="13" t="str">
        <f>jsRow(remedy_factors!A336:AL336, TRUE )</f>
        <v xml:space="preserve">[ 0.487 , -0.2888 , 0.0483 , -0.4513 , 0.19 , -0.3201 , -0.0311 , -0.0416 , -0.0824 , -0.0285 , 0.1112 , -0.0198 , 0.3399 , -0.1928 , 0.1299 , -0.0436 , -0.0477 , -0.0187 , 0.0693 , -0.0264 , -0.0074 , -0.0724 , -0.027 , 0.0082 , -0.1094 , 0.049 , -0.0169 , 0.1235 , -0.0257 , 0.1774 , 0.0742 , 0.1183 , -0.0863 , -0.0139 , 0.0847 , 0.03 , 0.0685 , -0.1556 ]  , </v>
      </c>
    </row>
    <row r="337" spans="1:1">
      <c r="A337" s="13" t="str">
        <f>jsRow(remedy_factors!A337:AL337, TRUE )</f>
        <v xml:space="preserve">[ 0.3349 , -0.0876 , 0.0117 , 0.1511 , -0.0773 , -0.174 , -0.2215 , -0.1826 , -0.0062 , 0.3058 , 0.1015 , -0.2414 , 0.0912 , -0.0606 , -0.4316 , 0.1511 , -0.1368 , 0.0862 , 0.1585 , -0.1263 , 0.2268 , 0.0606 , 0.0485 , -0.121 , 0.1568 , 0.0807 , -0.0494 , 0.0757 , 0.0938 , -0.0974 , -0.1931 , -0.0064 , -0.0692 , 0.0332 , 0.1657 , -0.2075 , 0.2051 , -0.0504 ]  , </v>
      </c>
    </row>
    <row r="338" spans="1:1">
      <c r="A338" s="13" t="str">
        <f>jsRow(remedy_factors!A338:AL338, TRUE )</f>
        <v xml:space="preserve">[ 0.1941 , -0.1843 , -0.1341 , -0.3015 , -0.0297 , -0.0457 , 0.1335 , 0.0134 , -0.3434 , 0.1297 , 0.0867 , 0.1457 , 0.1199 , 0.1143 , 0.3333 , 0.0588 , 0.1822 , 0.0059 , 0.0362 , 0.0822 , -0.0626 , -0.0193 , -0.1997 , 0.3549 , 0.0418 , -0.0478 , -0.0291 , -0.0537 , -0.1371 , 0.0421 , -0.1721 , 0.271 , -0.0875 , -0.0499 , 0.0973 , -0.2463 , -0.0279 , -0.2629 ]  , </v>
      </c>
    </row>
    <row r="339" spans="1:1">
      <c r="A339" s="13" t="str">
        <f>jsRow(remedy_factors!A339:AL339, TRUE )</f>
        <v xml:space="preserve">[ 0.2026 , 0.0984 , 0.3164 , 0.1144 , -0.371 , 0.1643 , 0.0945 , -0.2606 , 0.0822 , -0.0802 , -0.3244 , -0.0609 , 0.0037 , 0.2137 , -0.1239 , -0.0712 , -0.0066 , -0.129 , -0.0459 , 0.0125 , 0.0744 , -0.0896 , 0.0513 , -0.1163 , 0.179 , 0.024 , 0.1187 , -0.1216 , -0.0492 , 0.2452 , -0.0853 , -0.0119 , -0.1202 , -0.2098 , 0.1481 , -0.0654 , -0.148 , 0.3459 ]  , </v>
      </c>
    </row>
    <row r="340" spans="1:1">
      <c r="A340" s="13" t="str">
        <f>jsRow(remedy_factors!A340:AL340, TRUE )</f>
        <v xml:space="preserve">[ 0.1045 , -0.2041 , -0.1026 , -0.0824 , -0.0993 , -0.2538 , 0.0003 , 0.1191 , -0.1191 , 0.0926 , -0.2882 , -0.0073 , 0.1449 , -0.0374 , 0.0139 , 0.2908 , -0.0066 , 0.2782 , -0.0821 , -0.0539 , 0.0698 , -0.0893 , 0.2104 , 0.2538 , 0.1426 , 0.1327 , -0.1446 , -0.2779 , -0.1135 , 0.2286 , 0.354 , 0.0076 , -0.1429 , -0.1466 , -0.1267 , 0.1294 , -0.1194 , -0.0665 ]  , </v>
      </c>
    </row>
    <row r="341" spans="1:1">
      <c r="A341" s="13" t="str">
        <f>jsRow(remedy_factors!A341:AL341, TRUE )</f>
        <v xml:space="preserve">[ 0.0347 , -0.4018 , -0.0229 , -0.454 , 0.2755 , 0.0487 , 0.1725 , -0.0598 , 0.0773 , -0.1095 , 0.2655 , 0.0143 , 0.0522 , -0.2694 , 0 , -0.1592 , -0.0794 , -0.1517 , 0.1063 , -0.1252 , 0.0333 , -0.0358 , 0.1077 , 0.1481 , -0.1377 , -0.0995 , -0.0601 , 0.103 , -0.2064 , 0.0072 , 0.1789 , 0.0937 , 0.0533 , -0.0089 , 0.2254 , 0.1542 , 0.1685 , 0.0716 ]  , </v>
      </c>
    </row>
    <row r="342" spans="1:1">
      <c r="A342" s="13" t="str">
        <f>jsRow(remedy_factors!A342:AL342, TRUE )</f>
        <v xml:space="preserve">[ 0.1799 , -0.2298 , 0.4125 , -0.1739 , -0.2036 , -0.1043 , -0.0983 , 0.1667 , 0.07 , -0.0325 , -0.1771 , -0.0712 , 0.3341 , 0.0636 , 0.3243 , 0.1484 , -0.1538 , -0.163 , -0.1663 , 0.0983 , 0.1683 , -0.0933 , -0.1284 , 0.1193 , 0.0985 , -0.2096 , 0.0848 , -0.0658 , -0.1199 , -0.2122 , -0.0221 , 0.0375 , -0.0985 , 0.0289 , -0.0507 , 0.1929 , -0.0335 , 0.0792 ]  , </v>
      </c>
    </row>
    <row r="343" spans="1:1">
      <c r="A343" s="13" t="str">
        <f>jsRow(remedy_factors!A343:AL343, TRUE )</f>
        <v xml:space="preserve">[ 0.4902 , 0.0627 , -0.1353 , 0.3649 , 0.0019 , 0.0811 , 0.0016 , -0.2968 , 0.0893 , -0.0547 , 0.0644 , -0.1064 , 0.1694 , -0.1095 , 0.1048 , -0.2364 , 0.0056 , 0.0625 , -0.1083 , -0.2087 , -0.2185 , -0.1375 , -0.0611 , 0.1069 , 0.1154 , 0.0728 , 0.043 , -0.2571 , 0.1173 , 0.0327 , 0.1877 , 0.0223 , 0.1168 , -0.184 , -0.1948 , -0.0073 , 0.0794 , -0.0757 ]  , </v>
      </c>
    </row>
    <row r="344" spans="1:1">
      <c r="A344" s="13" t="str">
        <f>jsRow(remedy_factors!A344:AL344, TRUE )</f>
        <v xml:space="preserve">[ 0.3424 , -0.3805 , 0.1972 , -0.2968 , 0.2532 , -0.2474 , -0.0674 , -0.1637 , 0.0829 , -0.2876 , 0.2616 , -0.0666 , 0.1683 , -0.1599 , 0.0766 , -0.1285 , -0.1921 , 0.1042 , -0.0067 , 0.1352 , 0.1172 , -0.0908 , 0.0059 , -0.1193 , 0.0779 , -0.0967 , 0.1009 , 0.0297 , 0.1113 , -0.1226 , 0.0008 , 0.0548 , 0.0841 , 0.0498 , 0.1243 , 0.1591 , -0.0506 , -0.059 ]  , </v>
      </c>
    </row>
    <row r="345" spans="1:1">
      <c r="A345" s="13" t="str">
        <f>jsRow(remedy_factors!A345:AL345, TRUE )</f>
        <v xml:space="preserve">[ -0.0216 , -0.0689 , 0.0609 , 0.1573 , 0.1293 , 0.3135 , 0.1356 , 0.0978 , -0.0265 , -0.1062 , -0.4408 , 0.0433 , 0.1547 , 0.0248 , -0.1325 , -0.294 , 0.018 , -0.0214 , -0.3193 , -0.0938 , -0.1256 , 0.0224 , 0.2808 , -0.0656 , 0.0527 , 0.1136 , 0.2195 , -0.3802 , 0.133 , 0.0024 , -0.0822 , 0.1215 , -0.0149 , -0.0156 , 0.1022 , -0.0565 , -0.0319 , 0.1139 ]  , </v>
      </c>
    </row>
    <row r="346" spans="1:1">
      <c r="A346" s="13" t="str">
        <f>jsRow(remedy_factors!A346:AL346, TRUE )</f>
        <v xml:space="preserve">[ -0.132 , 0.3458 , -0.0996 , -0.0224 , 0.0972 , -0.2508 , 0.0251 , 0.2064 , 0.1848 , -0.2011 , -0.0176 , 0.0065 , 0.0844 , -0.0373 , -0.0687 , 0.2365 , 0.0954 , -0.2104 , -0.2685 , 0.0293 , -0.254 , 0.1916 , -0.0279 , -0.1081 , -0.0101 , -0.07 , 0.09 , 0.0403 , 0.2452 , 0.204 , 0.1336 , 0.055 , -0.0027 , -0.3901 , -0.1502 , 0.0551 , -0.1377 , 0.1374 ]  , </v>
      </c>
    </row>
    <row r="347" spans="1:1">
      <c r="A347" s="13" t="str">
        <f>jsRow(remedy_factors!A347:AL347, TRUE )</f>
        <v xml:space="preserve">[ 0.1664 , 0.0268 , 0.1995 , -0.093 , 0.0285 , 0.0813 , -0.0673 , -0.4831 , -0.1173 , -0.0856 , 0.1718 , -0.0853 , 0.0442 , 0.1801 , 0.2614 , -0.1404 , -0.1141 , 0.0077 , -0.2477 , -0.1978 , 0.0217 , -0.1398 , 0.0274 , 0.0285 , -0.1033 , -0.0168 , -0.2252 , 0.2172 , 0.3039 , 0.1487 , -0.0688 , 0.2851 , 0.0011 , 0.1627 , 0.038 , 0.0151 , -0.1141 , -0.1093 ]  , </v>
      </c>
    </row>
    <row r="348" spans="1:1">
      <c r="A348" s="13" t="str">
        <f>jsRow(remedy_factors!A348:AL348, TRUE )</f>
        <v xml:space="preserve">[ 0.2765 , -0.3012 , 0.0451 , -0.3401 , 0.2554 , -0.1101 , -0.1453 , -0.1769 , 0.0414 , -0.2841 , 0.3993 , 0.085 , 0.2649 , -0.0908 , -0.0451 , -0.0854 , -0.162 , 0.0145 , -0.04 , 0.0974 , 0.1777 , -0.0934 , 0.0534 , -0.1904 , 0.2057 , -0.1286 , 0.0683 , 0.056 , 0.0378 , -0.1304 , -0.0047 , 0.149 , 0.0178 , 0.0018 , -0.0469 , 0.0491 , 0.1319 , -0.044 ]  , </v>
      </c>
    </row>
    <row r="349" spans="1:1">
      <c r="A349" s="13" t="str">
        <f>jsRow(remedy_factors!A349:AL349, TRUE )</f>
        <v xml:space="preserve">[ 0.1008 , 0.4115 , 0.3083 , 0.1635 , -0.0196 , 0.0434 , 0.017 , 0.0071 , 0.1 , -0.1088 , 0.0283 , 0.0258 , -0.0145 , 0.1308 , 0.105 , -0.0531 , -0.0693 , -0.2277 , 0.1761 , -0.3675 , -0.1773 , -0.3208 , -0.1021 , -0.1827 , 0.0748 , 0.0057 , 0.0213 , 0.3622 , -0.0636 , -0.1213 , -0.2281 , -0.0496 , 0.0366 , 0.112 , -0.1284 , 0.0052 , -0.0009 , 0.0018 ]  , </v>
      </c>
    </row>
    <row r="350" spans="1:1">
      <c r="A350" s="13" t="str">
        <f>jsRow(remedy_factors!A350:AL350, TRUE )</f>
        <v xml:space="preserve">[ 0.0076 , 0.1976 , -0.1087 , 0.2734 , 0.3035 , -0.009 , -0.2357 , -0.1603 , 0.0997 , -0.1702 , 0.3359 , 0.0494 , 0.0732 , 0.4418 , -0.0027 , 0.0233 , 0.1131 , 0.009 , -0.004 , 0.0691 , -0.123 , -0.0485 , -0.0665 , -0.15 , -0.1284 , 0.0166 , -0.0436 , 0.1109 , 0.0673 , -0.3188 , 0.0242 , -0.0476 , -0.2241 , -0.1971 , -0.0916 , 0.0736 , 0.0489 , -0.1958 ]  , </v>
      </c>
    </row>
    <row r="351" spans="1:1">
      <c r="A351" s="13" t="str">
        <f>jsRow(remedy_factors!A351:AL351, TRUE )</f>
        <v xml:space="preserve">[ 0.2275 , 0.3454 , -0.1269 , -0.2145 , 0.1794 , -0.0718 , 0.0714 , -0.1176 , -0.0522 , 0.1076 , 0.0854 , -0.0562 , -0.23 , 0.0831 , 0.1278 , 0.0917 , -0.1639 , 0.4117 , -0.0535 , -0.1551 , -0.3227 , 0.0867 , -0.135 , -0.1473 , -0.0288 , 0.229 , 0.1908 , -0.1199 , -0.2523 , -0.0783 , -0.1 , 0.0564 , 0.1533 , 0.019 , 0.0152 , -0.0112 , 0.0639 , -0.1053 ]  , </v>
      </c>
    </row>
    <row r="352" spans="1:1">
      <c r="A352" s="13" t="str">
        <f>jsRow(remedy_factors!A352:AL352, TRUE )</f>
        <v xml:space="preserve">[ 0.4163 , -0.339 , 0.057 , -0.1388 , 0.1454 , 0.004 , 0.023 , -0.0031 , -0.1653 , -0.1503 , 0.0164 , 0.2378 , -0.0062 , -0.1215 , 0.0698 , -0.065 , 0.0522 , -0.1047 , -0.0376 , 0.1339 , -0.023 , 0.2753 , -0.1436 , 0.3226 , 0.0522 , -0.0866 , -0.0734 , 0.08 , -0.1078 , -0.2616 , -0.1679 , 0.213 , -0.1724 , -0.1936 , 0.2196 , -0.0389 , 0.1012 , -0.0053 ]  , </v>
      </c>
    </row>
    <row r="353" spans="1:1">
      <c r="A353" s="13" t="str">
        <f>jsRow(remedy_factors!A353:AL353, TRUE )</f>
        <v xml:space="preserve">[ -0.1645 , -0.1847 , 0.1361 , -0.1868 , -0.1736 , 0.0033 , -0.2161 , -0.1167 , 0.5299 , 0.3296 , -0.0638 , 0.1324 , -0.0206 , -0.1528 , 0.1246 , 0.0603 , 0.0764 , 0.2109 , -0.1193 , 0.169 , 0.0542 , 0.0562 , -0.0699 , -0.092 , 0.0636 , -0.0705 , 0.2194 , 0.0805 , -0.2446 , -0.0775 , -0.0221 , 0.0239 , 0.1278 , -0.133 , -0.145 , 0.0818 , -0.0395 , -0.186 ]  , </v>
      </c>
    </row>
    <row r="354" spans="1:1">
      <c r="A354" s="13" t="str">
        <f>jsRow(remedy_factors!A354:AL354, TRUE )</f>
        <v xml:space="preserve">[ 0.0084 , -0.4673 , 0.097 , -0.4593 , 0.0572 , 0.2306 , -0.0051 , -0.0742 , 0.3725 , -0.1045 , -0.0023 , 0.043 , 0.0498 , -0.0433 , -0.03 , -0.2567 , 0.0202 , -0.024 , 0.1068 , -0.0223 , -0.1345 , 0.1934 , 0.145 , 0.0396 , -0.1494 , -0.1029 , 0.0237 , 0.1687 , 0.0035 , -0.0319 , 0.2185 , 0.0072 , 0.0565 , -0.1315 , 0.0428 , -0.0631 , 0.2201 , -0.0086 ]  , </v>
      </c>
    </row>
    <row r="355" spans="1:1">
      <c r="A355" s="13" t="str">
        <f>jsRow(remedy_factors!A355:AL355, TRUE )</f>
        <v xml:space="preserve">[ -0.0154 , 0.1742 , 0.2656 , -0.1327 , 0.3707 , -0.1426 , 0.045 , -0.3166 , 0.0544 , -0.1631 , 0.3254 , 0.0794 , 0.0467 , 0.2756 , -0.043 , -0.0031 , -0.0222 , -0.213 , 0.0083 , -0.0003 , 0.0262 , -0.0814 , 0.0965 , -0.0868 , -0.0928 , 0.0826 , 0.3009 , -0.031 , -0.1033 , -0.2605 , -0.197 , -0.164 , 0.0661 , -0.1614 , -0.1569 , 0.111 , 0.0982 , -0.0342 ]  , </v>
      </c>
    </row>
    <row r="356" spans="1:1">
      <c r="A356" s="13" t="str">
        <f>jsRow(remedy_factors!A356:AL356, TRUE )</f>
        <v xml:space="preserve">[ 0.437 , -0.435 , -0.1252 , 0.1415 , 0.3126 , 0.0496 , -0.1085 , -0.1134 , -0.0293 , 0.2163 , -0.0951 , -0.0378 , -0.0126 , -0.2277 , -0.0691 , -0.0618 , -0.1232 , 0.0114 , -0.0183 , -0.0374 , 0.0854 , 0.0419 , -0.1264 , 0.0272 , -0.1268 , -0.2211 , 0.1094 , 0.122 , 0.0695 , 0.1427 , 0.0098 , -0.1915 , 0.0451 , -0.0683 , -0.1569 , 0.2325 , 0.1655 , 0.1768 ]  , </v>
      </c>
    </row>
    <row r="357" spans="1:1">
      <c r="A357" s="13" t="str">
        <f>jsRow(remedy_factors!A357:AL357, TRUE )</f>
        <v xml:space="preserve">[ 0.0394 , 0.3575 , -0.2418 , 0.135 , -0.058 , 0.0208 , 0.092 , -0.0919 , 0.1846 , 0.0028 , 0.1727 , -0.2081 , -0.2784 , -0.2983 , 0.1605 , 0.1569 , 0.1734 , -0.0955 , 0.1894 , 0.1802 , 0.0916 , -0.0972 , 0.0931 , -0.0616 , -0.1483 , -0.2567 , 0.0391 , 0.0013 , 0.1196 , 0.0492 , -0.2588 , 0.1126 , 0.0913 , -0.0848 , 0.0463 , -0.3284 , 0.0009 , -0.004 ]  , </v>
      </c>
    </row>
    <row r="358" spans="1:1">
      <c r="A358" s="13" t="str">
        <f>jsRow(remedy_factors!A358:AL358, TRUE )</f>
        <v xml:space="preserve">[ 0.2382 , -0.4187 , 0.1249 , -0.4331 , 0.1946 , -0.153 , -0.1714 , 0.0336 , -0.0816 , -0.0473 , 0.2631 , -0.0177 , 0.1256 , 0.0126 , -0.2328 , 0.1032 , -0.0487 , -0.031 , 0.0729 , 0.039 , 0.0029 , -0.1386 , -0.0282 , 0.3043 , 0.1173 , -0.0379 , -0.0621 , -0.0105 , -0.0292 , -0.0025 , 0.079 , 0.3234 , -0.0126 , -0.0054 , -0.1144 , -0.1213 , -0.0235 , 0.1776 ]  , </v>
      </c>
    </row>
    <row r="359" spans="1:1">
      <c r="A359" s="13" t="str">
        <f>jsRow(remedy_factors!A359:AL359, TRUE )</f>
        <v xml:space="preserve">[ 0.4816 , -0.2236 , 0.1979 , -0.2101 , 0.1083 , -0.2719 , -0.2087 , -0.0924 , 0.1149 , 0.1778 , 0.0597 , 0.0427 , -0.1472 , -0.0278 , -0.4049 , -0.0132 , -0.0184 , 0.1969 , 0.0344 , 0.0427 , 0.0389 , -0.1483 , 0.0847 , -0.0045 , 0.1201 , 0.0083 , -0.1542 , -0.1104 , -0.0722 , 0.1705 , 0.2247 , 0.0635 , -0.0031 , -0.1781 , 0.0667 , -0.0504 , 0.0969 , 0.0021 ]  , </v>
      </c>
    </row>
    <row r="360" spans="1:1">
      <c r="A360" s="13" t="str">
        <f>jsRow(remedy_factors!A360:AL360, TRUE )</f>
        <v xml:space="preserve">[ -0.4576 , -0.07 , -0.3325 , -0.1148 , -0.1618 , 0.1907 , 0.1073 , 0.3294 , -0.1974 , -0.0262 , 0.0107 , 0.0488 , 0.0787 , 0.1571 , 0.0008 , -0.0276 , -0.0926 , 0.237 , 0.2559 , -0.0525 , 0.046 , -0.1833 , -0.1261 , 0.1878 , 0.071 , 0.0164 , -0.1114 , 0.0017 , 0.0182 , 0.0725 , 0.2097 , 0.1608 , -0.0227 , 0.1862 , -0.1755 , -0.0919 , -0.1343 , -0.0121 ]  , </v>
      </c>
    </row>
    <row r="361" spans="1:1">
      <c r="A361" s="13" t="str">
        <f>jsRow(remedy_factors!A361:AL361, TRUE )</f>
        <v xml:space="preserve">[ -0.0882 , -0.1065 , -0.243 , -0.0353 , -0.0557 , 0.0687 , -0.2828 , -0.1435 , 0.119 , 0.1861 , 0.0437 , 0.2265 , -0.2659 , -0.0729 , -0.0864 , 0.1708 , 0.1245 , 0.1327 , 0.0113 , -0.0815 , 0.1821 , -0.1148 , -0.368 , 0.1731 , 0.2668 , 0.2391 , 0.0635 , -0.0672 , -0.0053 , -0.0246 , 0.0719 , -0.2805 , -0.121 , -0.0477 , -0.0842 , 0.0815 , 0.2715 , 0.1423 ]  , </v>
      </c>
    </row>
    <row r="362" spans="1:1">
      <c r="A362" s="13" t="str">
        <f>jsRow(remedy_factors!A362:AL362, TRUE )</f>
        <v xml:space="preserve">[ 0.1913 , -0.046 , 0.1622 , -0.2549 , 0.0377 , -0.3211 , -0.0104 , -0.1025 , 0.1093 , 0.2718 , -0.0799 , 0.0567 , 0.1765 , -0.0986 , 0.2947 , 0.0772 , -0.2029 , 0.2742 , -0.0169 , -0.2047 , -0.063 , -0.1506 , -0.1058 , 0.1981 , -0.0841 , 0.2917 , -0.0009 , 0.1251 , 0.0867 , -0.0033 , 0.0514 , 0.027 , -0.2097 , -0.044 , 0.1227 , -0.254 , -0.1435 , -0.1589 ]  , </v>
      </c>
    </row>
    <row r="363" spans="1:1">
      <c r="A363" s="13" t="str">
        <f>jsRow(remedy_factors!A363:AL363, TRUE )</f>
        <v xml:space="preserve">[ 0.1664 , 0.0658 , 0.1716 , 0.0572 , -0.2421 , 0.2777 , 0.0077 , 0.3583 , 0.0745 , -0.1044 , -0.36 , -0.1044 , 0.4753 , -0.085 , -0.0518 , -0.0987 , 0.1516 , 0.0171 , -0.0038 , -0.1507 , -0.0639 , -0.2148 , -0.1199 , 0.0805 , 0.0068 , -0.1108 , 0.1582 , -0.0762 , -0.0289 , -0.1666 , -0.2038 , 0.1285 , -0.0887 , 0.0579 , -0.0722 , 0.0106 , 0.0134 , 0.0699 ]  , </v>
      </c>
    </row>
    <row r="364" spans="1:1">
      <c r="A364" s="13" t="str">
        <f>jsRow(remedy_factors!A364:AL364, TRUE )</f>
        <v xml:space="preserve">[ 0.392 , -0.0831 , 0.1149 , -0.226 , 0.2113 , 0.2672 , 0.0739 , 0.274 , 0.1902 , -0.2676 , -0.2134 , -0.055 , 0.1467 , 0.0067 , -0.136 , -0.2858 , 0.142 , -0.0057 , -0.1607 , -0.0447 , -0.119 , -0.1962 , 0.0126 , -0.063 , 0.1733 , -0.0424 , 0.1983 , -0.2383 , 0.1946 , 0.0327 , -0.0872 , -0.0495 , 0.0675 , -0.051 , -0.0126 , -0.0682 , -0.0824 , -0.0075 ]  , </v>
      </c>
    </row>
    <row r="365" spans="1:1">
      <c r="A365" s="13" t="str">
        <f>jsRow(remedy_factors!A365:AL365, TRUE )</f>
        <v xml:space="preserve">[ 0.0374 , -0.0972 , 0.0132 , 0.1109 , -0.0892 , -0.1046 , 0.2057 , 0.2845 , 0.1358 , -0.0984 , -0.0953 , -0.0693 , 0.0354 , 0.0451 , -0.0086 , 0.4362 , -0.1758 , -0.061 , -0.271 , -0.0354 , 0.1222 , 0.0485 , 0.0388 , 0.019 , -0.2313 , -0.1042 , -0.111 , -0.0832 , 0.363 , -0.0795 , -0.4169 , -0.0998 , 0.1171 , 0.0948 , 0.0559 , 0.1364 , 0.0631 , -0.1287 ]  , </v>
      </c>
    </row>
    <row r="366" spans="1:1">
      <c r="A366" s="13" t="str">
        <f>jsRow(remedy_factors!A366:AL366, TRUE )</f>
        <v xml:space="preserve">[ -0.3419 , -0.0689 , -0.0015 , -0.2757 , -0.23 , 0.4115 , 0.0647 , -0.0151 , 0.2823 , 0.0504 , -0.0781 , 0.1643 , 0 , -0.191 , -0.0124 , 0.1703 , -0.1192 , 0.1368 , -0.0711 , 0.0849 , -0.0949 , -0.075 , -0.072 , 0.0433 , -0.2061 , 0.001 , -0.173 , 0.1867 , -0.0462 , 0.0051 , 0.0942 , -0.175 , 0 , 0.221 , 0.3351 , 0.1093 , -0.0399 , -0.0655 ]  , </v>
      </c>
    </row>
    <row r="367" spans="1:1">
      <c r="A367" s="13" t="str">
        <f>jsRow(remedy_factors!A367:AL367, TRUE )</f>
        <v xml:space="preserve">[ -0.2973 , -0.1599 , 0.2372 , 0.0818 , 0.3808 , 0.3075 , 0.024 , -0.028 , 0.2482 , 0.0079 , -0.1505 , 0.1353 , 0.0182 , -0.2397 , 0.0044 , -0.1209 , 0.1706 , 0.1255 , -0.271 , 0.1119 , -0.0795 , 0.1219 , 0.1587 , -0.0699 , 0.0221 , -0.0871 , 0.1603 , -0.0679 , 0.0236 , 0.0461 , -0.1134 , -0.0628 , -0.1597 , -0.1601 , 0.0967 , -0.2104 , -0.2466 , 0.0407 ]  , </v>
      </c>
    </row>
    <row r="368" spans="1:1">
      <c r="A368" s="13" t="str">
        <f>jsRow(remedy_factors!A368:AL368, TRUE )</f>
        <v xml:space="preserve">[ 0.2386 , -0.0999 , 0.3936 , 0.2604 , -0.0153 , -0.126 , -0.1537 , 0.2278 , -0.3078 , -0.0147 , 0.1005 , 0.2542 , -0.203 , -0.2435 , -0.0078 , -0.1012 , -0.1149 , 0.0767 , 0.0663 , 0.0751 , -0.0398 , 0.0343 , 0.1057 , 0.0313 , 0.0986 , -0.2895 , -0.1648 , 0.0845 , -0.1677 , -0.0751 , 0.2435 , -0.0574 , 0.0698 , -0.0754 , 0.0401 , -0.1332 , 0.1413 , -0.1423 ]  , </v>
      </c>
    </row>
    <row r="369" spans="1:1">
      <c r="A369" s="13" t="str">
        <f>jsRow(remedy_factors!A369:AL369, TRUE )</f>
        <v xml:space="preserve">[ -0.4576 , -0.0097 , -0.2821 , -0.0847 , -0.3428 , 0.2118 , 0.2476 , 0.0697 , 0.0372 , 0.0453 , -0.0622 , -0.0644 , -0.0224 , 0.1786 , 0.0752 , 0.055 , -0.0745 , 0.1255 , 0.2969 , -0.0259 , 0.0427 , -0.0893 , -0.0042 , 0.0961 , -0.099 , 0.0396 , -0.0198 , 0.0207 , -0.1392 , 0.0306 , 0.2687 , -0.0965 , -0.1585 , 0.1983 , 0.1845 , -0.1487 , -0.193 , 0.1469 ]  , </v>
      </c>
    </row>
    <row r="370" spans="1:1">
      <c r="A370" s="13" t="str">
        <f>jsRow(remedy_factors!A370:AL370, TRUE )</f>
        <v xml:space="preserve">[ 0.5006 , -0.0316 , -0.1621 , -0.0332 , 0.005 , -0.1642 , -0.2059 , -0.0857 , -0.0952 , 0.4308 , -0.1835 , 0.1186 , 0.3119 , -0.1178 , 0.005 , -0.0577 , -0.077 , 0.0762 , -0.0422 , 0.1099 , 0.025 , -0.0359 , 0.014 , 0.0243 , -0.1603 , -0.2241 , 0.0214 , -0.0377 , 0.1171 , 0.0148 , -0.1959 , -0.0377 , -0.2309 , 0.0498 , 0.1371 , -0.0293 , 0.0187 , 0.2275 ]  , </v>
      </c>
    </row>
    <row r="371" spans="1:1">
      <c r="A371" s="13" t="str">
        <f>jsRow(remedy_factors!A371:AL371, TRUE )</f>
        <v xml:space="preserve">[ 0.1979 , -0.3419 , -0.1156 , 0.6424 , 0.1332 , 0.0407 , -0.0596 , -0.3479 , -0.1221 , -0.3122 , 0.0698 , -0.0775 , 0.0374 , -0.1383 , 0.0269 , -0.0093 , 0.1281 , 0.0437 , -0.1051 , -0.0739 , 0.0701 , 0.0135 , -0.1691 , 0.0763 , 0.0347 , 0.0428 , 0.041 , 0.0096 , 0.0063 , -0.0371 , 0.118 , 0.0766 , -0.0748 , -0.0231 , 0.0865 , 0.1174 , 0.0296 , -0.0254 ]  , </v>
      </c>
    </row>
    <row r="372" spans="1:1">
      <c r="A372" s="13" t="str">
        <f>jsRow(remedy_factors!A372:AL372, TRUE )</f>
        <v xml:space="preserve">[ 0.3483 , 0.149 , -0.2172 , -0.2707 , -0.1224 , -0.0696 , 0.0671 , 0.2605 , -0.0857 , -0.0052 , -0.1046 , -0.0759 , 0.0056 , -0.335 , -0.1196 , -0.0108 , 0.0273 , 0.1801 , 0.0853 , -0.0364 , 0.0483 , -0.1147 , 0.0521 , 0.0927 , 0.2616 , 0.1843 , 0.0007 , 0.0224 , -0.1948 , 0.1944 , 0.071 , 0.0608 , -0.0084 , -0.3357 , 0.2539 , 0.0738 , -0.1472 , -0.1815 ]  , </v>
      </c>
    </row>
    <row r="373" spans="1:1">
      <c r="A373" s="13" t="str">
        <f>jsRow(remedy_factors!A373:AL373, TRUE )</f>
        <v xml:space="preserve">[ -0.0381 , -0.2262 , 0.036 , -0.1703 , -0.1106 , -0.1686 , -0.0703 , 0.1496 , 0.275 , 0.0364 , -0.1178 , 0.0284 , 0.1063 , 0.0589 , 0.2322 , 0.0619 , -0.3135 , 0.3398 , -0.1885 , 0.0191 , 0.2258 , 0.33 , -0.1186 , -0.1152 , -0.0017 , -0.219 , -0.0949 , 0.039 , 0.0233 , -0.0945 , 0 , -0.033 , 0.2601 , 0.0284 , 0.0818 , -0.0826 , -0.2856 , 0.1241 ]  , </v>
      </c>
    </row>
    <row r="374" spans="1:1">
      <c r="A374" s="13" t="str">
        <f>jsRow(remedy_factors!A374:AL374, TRUE )</f>
        <v xml:space="preserve">[ -0.3663 , 0.2257 , -0.1064 , 0.1326 , 0.0705 , 0.245 , -0.1168 , 0.2197 , -0.0577 , 0.0878 , 0.08 , 0.1022 , 0.1363 , -0.0144 , -0.17 , 0.0003 , 0.0028 , -0.2345 , 0.0623 , -0.1971 , -0.144 , -0.0476 , 0.2428 , -0.0074 , 0.0836 , -0.1647 , -0.1308 , 0.4432 , 0.0704 , -0.141 , -0.1204 , 0.1461 , -0.1565 , 0.1775 , -0.0556 , -0.0253 , -0.1419 , -0.1251 ]  , </v>
      </c>
    </row>
    <row r="375" spans="1:1">
      <c r="A375" s="13" t="str">
        <f>jsRow(remedy_factors!A375:AL375, TRUE )</f>
        <v xml:space="preserve">[ 0.1748 , 0.1983 , -0.1382 , -0.0703 , -0.3343 , 0.1061 , 0.1265 , -0.1528 , 0.1154 , -0.0156 , 0.0509 , 0.0431 , -0.1149 , -0.1443 , -0.1309 , 0.2144 , 0.0357 , 0.1665 , -0.0157 , 0.0804 , -0.0547 , -0.0856 , 0.1201 , -0.09 , 0.3241 , 0.3069 , -0.2588 , -0.1357 , -0.2078 , 0.0923 , 0.0663 , -0.0425 , 0.0912 , -0.2753 , -0.0879 , 0.2541 , 0.0362 , -0.2447 ]  , </v>
      </c>
    </row>
    <row r="376" spans="1:1">
      <c r="A376" s="13" t="str">
        <f>jsRow(remedy_factors!A376:AL376, TRUE )</f>
        <v xml:space="preserve">[ 0.1602 , -0.2052 , 0.3161 , 0.0681 , -0.0372 , -0.0979 , 0.208 , 0.0744 , -0.168 , 0.0791 , -0.0795 , -0.0548 , 0.0086 , -0.1994 , -0.0928 , -0.0427 , 0.2824 , 0.2405 , 0.0121 , 0.141 , 0.1426 , 0.0834 , -0.1206 , 0.018 , -0.1641 , -0.3106 , -0.3443 , 0.0086 , 0.0826 , -0.2558 , 0.1304 , 0.2503 , 0.0431 , 0.0333 , -0.0356 , 0.1543 , -0.1214 , -0.1935 ]  , </v>
      </c>
    </row>
    <row r="377" spans="1:1">
      <c r="A377" s="13" t="str">
        <f>jsRow(remedy_factors!A377:AL377, TRUE )</f>
        <v xml:space="preserve">[ 0.1844 , 0.1639 , 0.0623 , -0.3256 , -0.0918 , -0.1355 , 0.2482 , 0.036 , 0.2486 , -0.0002 , 0.0178 , -0.3336 , 0.0202 , 0.2097 , -0.0673 , -0.1198 , 0.1823 , 0.0767 , -0.0419 , -0.261 , -0.0309 , -0.2334 , -0.2308 , 0.1572 , -0.1149 , 0.1312 , 0.1805 , -0.1143 , -0.0352 , 0.1468 , 0.1171 , 0.1478 , -0.1936 , -0.0325 , -0.0356 , -0.2011 , 0.2018 , 0.0717 ]  , </v>
      </c>
    </row>
    <row r="378" spans="1:1">
      <c r="A378" s="13" t="str">
        <f>jsRow(remedy_factors!A378:AL378, TRUE )</f>
        <v xml:space="preserve">[ 0.5101 , -0.1363 , 0.1308 , -0.026 , 0.0409 , 0.0674 , -0.0534 , -0.005 , -0.0175 , 0.2571 , -0.0314 , -0.1722 , 0.1423 , -0.1213 , -0.4342 , -0.1952 , -0.0794 , 0.1003 , 0.014 , -0.2331 , 0.022 , -0.1148 , 0.1028 , 0.1847 , 0.2511 , -0.1777 , 0.0794 , 0.1867 , 0.0499 , -0.1677 , 0.0175 , -0.0953 , 0.0724 , -0.0459 , -0.0888 , -0.1108 , 0.0434 , 0.0364 ]  , </v>
      </c>
    </row>
    <row r="379" spans="1:1">
      <c r="A379" s="13" t="str">
        <f>jsRow(remedy_factors!A379:AL379, TRUE )</f>
        <v xml:space="preserve">[ 0.1435 , -0.1054 , -0.0045 , 0.1423 , 0.0971 , -0.1908 , 0.0952 , 0.0873 , 0.2256 , -0.1706 , -0.1378 , -0.3486 , -0.0148 , -0.0171 , 0.103 , -0.4642 , -0.0148 , 0.0404 , -0.1535 , 0.1644 , -0.0019 , 0.1085 , 0.0585 , 0.1321 , 0.168 , 0.1397 , 0.1223 , -0.1373 , 0.2567 , -0.355 , 0.0252 , -0.0861 , 0.0504 , 0.1221 , 0.0559 , -0.0552 , 0.1147 , -0.1873 ]  , </v>
      </c>
    </row>
    <row r="380" spans="1:1">
      <c r="A380" s="13" t="str">
        <f>jsRow(remedy_factors!A380:AL380, TRUE )</f>
        <v xml:space="preserve">[ 0.4986 , -0.2885 , -0.1961 , 0.176 , -0.0713 , 0.037 , 0.0026 , -0.0216 , -0.1345 , 0.2246 , -0.2573 , -0.1035 , 0.1936 , -0.1632 , -0.079 , 0.0355 , -0.1708 , -0.0924 , 0.0992 , -0.0685 , 0.056 , -0.0205 , -0.0395 , -0.0099 , 0.1239 , -0.0492 , 0.1231 , 0.0065 , -0.1239 , 0.3923 , -0.0409 , 0.0097 , 0.0111 , -0.1538 , 0.0276 , 0.23 , 0.033 , -0.1868 ]  , </v>
      </c>
    </row>
    <row r="381" spans="1:1">
      <c r="A381" s="13" t="str">
        <f>jsRow(remedy_factors!A381:AL381, TRUE )</f>
        <v xml:space="preserve">[ 0.1359 , 0.153 , 0.2107 , 0.0429 , -0.3326 , 0.2499 , 0.1307 , -0.3431 , 0.1042 , -0.0988 , -0.2727 , 0.0915 , -0.1957 , 0.3478 , -0.0287 , 0.0341 , -0.1258 , -0.3412 , 0.0446 , 0.1452 , 0.0468 , 0.0056 , 0.0645 , -0.1087 , -0.0277 , -0.0638 , 0.0113 , -0.0314 , 0.0093 , 0.1938 , -0.0827 , 0.0248 , -0.1685 , -0.1322 , 0.028 , 0.2041 , -0.0726 , 0.1459 ]  , </v>
      </c>
    </row>
    <row r="382" spans="1:1">
      <c r="A382" s="13" t="str">
        <f>jsRow(remedy_factors!A382:AL382, TRUE )</f>
        <v xml:space="preserve">[ 0.2217 , -0.0459 , -0.0795 , -0.215 , 0.1922 , -0.1992 , 0.295 , 0.0819 , 0.2303 , 0.0121 , 0.1025 , 0.051 , -0.0158 , 0.0174 , -0.1903 , 0.1369 , 0.0778 , 0.033 , -0.1908 , -0.0365 , -0.2845 , 0.0427 , -0.1176 , -0.0483 , 0.2209 , 0.2633 , -0.0462 , -0.1178 , -0.1613 , -0.0311 , -0.0564 , 0.2571 , 0.2735 , -0.3012 , -0.0765 , -0.044 , -0.0142 , -0.2373 ]  , </v>
      </c>
    </row>
    <row r="383" spans="1:1">
      <c r="A383" s="13" t="str">
        <f>jsRow(remedy_factors!A383:AL383, TRUE )</f>
        <v xml:space="preserve">[ 0.3048 , -0.2135 , -0.3162 , 0.1155 , -0.0881 , -0.0487 , 0.0134 , 0.0115 , -0.042 , 0.2971 , -0.0528 , 0.015 , -0.008 , -0.1753 , -0.2294 , 0.1823 , -0.1021 , 0.0942 , -0.028 , 0.1231 , -0.0741 , -0.133 , -0.0143 , -0.1387 , 0.2443 , 0.1969 , 0.0566 , -0.1177 , -0.1756 , 0.2386 , 0.1094 , -0.1037 , 0.2182 , -0.216 , -0.1222 , 0.23 , 0.1517 , -0.1976 ]  , </v>
      </c>
    </row>
    <row r="384" spans="1:1">
      <c r="A384" s="13" t="str">
        <f>jsRow(remedy_factors!A384:AL384, TRUE )</f>
        <v xml:space="preserve">[ -0.2779 , 0.1531 , 0.0292 , -0.1916 , -0.4326 , 0.1316 , 0.1529 , -0.0348 , -0.1436 , 0.0542 , 0.0027 , 0.0048 , 0.1006 , -0.1107 , -0.1175 , 0.0745 , -0.0528 , 0.2692 , 0.096 , -0.1405 , 0.0923 , -0.161 , -0.043 , 0.1881 , -0.1527 , -0.0043 , -0.1035 , 0.2224 , 0.0499 , -0.2365 , 0.1103 , -0.09 , 0.1502 , 0.2504 , 0.313 , -0.1883 , -0.0569 , 0.0863 ]  , </v>
      </c>
    </row>
    <row r="385" spans="1:1">
      <c r="A385" s="13" t="str">
        <f>jsRow(remedy_factors!A385:AL385, TRUE )</f>
        <v xml:space="preserve">[ 0.3942 , -0.3058 , 0.0132 , 0.1763 , 0.1027 , -0.1547 , -0.3658 , -0.1395 , -0.0764 , 0.3426 , -0.046 , 0.032 , 0.0756 , -0.0332 , -0.1343 , 0.1571 , -0.1535 , 0.2199 , -0.0304 , 0.1815 , -0.0684 , -0.2043 , -0.0308 , -0.1371 , 0.0548 , -0.1743 , 0.1387 , 0.0432 , -0.1395 , 0.0648 , 0.1639 , -0.1267 , 0.1519 , 0.0508 , -0.0412 , -0.1463 , 0.0456 , 0.1111 ]  , </v>
      </c>
    </row>
    <row r="386" spans="1:1">
      <c r="A386" s="13" t="str">
        <f>jsRow(remedy_factors!A386:AL386, TRUE )</f>
        <v xml:space="preserve">[ -0.5052 , -0.0613 , 0.0427 , 0.0836 , 0.1724 , 0.0726 , 0.5273 , -0.0798 , -0.2574 , 0.0828 , -0.0111 , -0.2082 , -0.1306 , 0.1552 , 0.0128 , -0.0508 , 0.0093 , 0.1297 , 0.0323 , 0.1139 , -0.0575 , -0.2105 , -0.0506 , 0.0011 , -0.1776 , 0.1269 , -0.0761 , -0.113 , 0.0849 , 0.0116 , -0.0699 , 0.1167 , 0.1086 , 0.0645 , -0.0638 , -0.0286 , -0.0374 , 0.2388 ]  , </v>
      </c>
    </row>
    <row r="387" spans="1:1">
      <c r="A387" s="13" t="str">
        <f>jsRow(remedy_factors!A387:AL387, TRUE )</f>
        <v xml:space="preserve">[ -0.4462 , -0.2926 , 0.1606 , 0.0003 , -0.0134 , -0.0283 , -0.1442 , 0.1198 , -0.2344 , 0.057 , -0.32 , 0.1795 , 0.1051 , -0.1393 , 0.2642 , -0.0777 , -0.0162 , 0.1164 , -0.0567 , 0.0844 , 0.1859 , -0.11 , -0.1612 , 0.0683 , 0.2222 , 0.1167 , -0.0649 , 0.1615 , 0.3112 , 0.0899 , -0.1006 , 0.0259 , 0.0869 , 0.0219 , -0.1076 , -0.1146 , -0.0451 , 0.0951 ]  , </v>
      </c>
    </row>
    <row r="388" spans="1:1">
      <c r="A388" s="13" t="str">
        <f>jsRow(remedy_factors!A388:AL388, TRUE )</f>
        <v xml:space="preserve">[ 0.3403 , -0.2692 , 0.166 , -0.3468 , -0.0945 , -0.3452 , 0.0296 , -0.2807 , -0.1607 , 0.1122 , -0.0185 , 0.1307 , 0.1985 , -0.106 , 0.0879 , -0.157 , -0.0612 , -0.0304 , -0.1475 , 0.0452 , 0.0711 , -0.1151 , 0.1779 , 0.1336 , 0.1266 , -0.2001 , 0.0658 , -0.0119 , 0.0078 , -0.0658 , 0.0242 , 0.2679 , 0.1179 , -0.1118 , 0.0115 , 0.1286 , 0.1751 , 0.0999 ]  , </v>
      </c>
    </row>
    <row r="389" spans="1:1">
      <c r="A389" s="13" t="str">
        <f>jsRow(remedy_factors!A389:AL389, TRUE )</f>
        <v xml:space="preserve">[ 0.1988 , -0.2066 , -0.0328 , 0.1346 , -0.1297 , 0.3561 , -0.2357 , 0.0386 , -0.2185 , 0.0359 , 0.0325 , -0.0136 , -0.0023 , -0.0264 , -0.0873 , -0.1023 , 0.1867 , -0.1247 , -0.2043 , 0.0395 , 0.0634 , 0.1164 , -0.1273 , -0.1671 , 0.0642 , 0.0576 , 0.0841 , -0.0492 , -0.2175 , 0.4523 , -0.1221 , 0.0563 , 0.179 , -0.0952 , 0.0557 , 0.308 , -0.1832 , -0.1178 ]  , </v>
      </c>
    </row>
    <row r="390" spans="1:1">
      <c r="A390" s="13" t="str">
        <f>jsRow(remedy_factors!A390:AL390, TRUE )</f>
        <v xml:space="preserve">[ -0.1244 , 0.1086 , 0.3038 , -0.0288 , -0.3576 , 0.0824 , 0.083 , -0.501 , -0.1815 , 0.0933 , -0.1313 , 0.1616 , -0.0222 , 0.1018 , 0.0909 , -0.2722 , 0.0491 , -0.0578 , -0.1089 , 0.0021 , -0.0024 , -0.2056 , 0.0662 , 0.0401 , -0.0318 , 0.0783 , 0.0043 , 0.105 , 0.2333 , 0.1287 , -0.2338 , 0.1738 , 0.1219 , 0.1648 , 0.0135 , 0.0117 , -0.0909 , 0.1351 ]  , </v>
      </c>
    </row>
    <row r="391" spans="1:1">
      <c r="A391" s="13" t="str">
        <f>jsRow(remedy_factors!A391:AL391, TRUE )</f>
        <v xml:space="preserve">[ 0.3808 , 0.1269 , -0.3479 , 0.1256 , 0.4113 , 0.0417 , 0.1395 , -0.0679 , -0.1212 , 0.1738 , -0.208 , 0.0041 , 0.0041 , -0.2152 , 0.1079 , -0.0166 , 0.0611 , -0.2637 , 0.1744 , -0.0024 , 0.1256 , 0.0003 , 0.0241 , 0.0652 , -0.1432 , -0.2335 , 0.0373 , 0.017 , 0.0543 , 0.1069 , -0.1083 , -0.1293 , -0.1035 , -0.171 , -0.2365 , -0.0081 , 0.095 , 0.1089 ]  , </v>
      </c>
    </row>
    <row r="392" spans="1:1">
      <c r="A392" s="13" t="str">
        <f>jsRow(remedy_factors!A392:AL392, TRUE )</f>
        <v xml:space="preserve">[ 0.3238 , -0.0959 , 0.0233 , -0.2825 , -0.0329 , -0.0722 , -0.0654 , -0.0088 , 0.2223 , 0.2424 , 0.0967 , -0.0365 , 0.1766 , -0.0955 , -0.0072 , -0.2849 , -0.2645 , 0.1055 , 0.071 , -0.0815 , 0.071 , -0.0453 , -0.0265 , 0.2219 , 0.3632 , -0.175 , 0 , -0.0173 , 0.0453 , -0.3058 , -0.0333 , 0.0899 , 0.0132 , 0.0325 , -0.0333 , 0.0694 , 0.1401 , -0.3323 ]  , </v>
      </c>
    </row>
    <row r="393" spans="1:1">
      <c r="A393" s="13" t="str">
        <f>jsRow(remedy_factors!A393:AL393, TRUE )</f>
        <v xml:space="preserve">[ 0.5511 , -0.0856 , -0.3944 , -0.0592 , 0.1395 , 0.0347 , -0.0133 , -0.1411 , -0.0459 , 0.2574 , -0.1994 , 0.0372 , 0.0453 , -0.2561 , 0.1194 , -0.107 , -0.1231 , -0.0481 , 0.1135 , 0.0363 , 0.0161 , -0.0189 , 0.0735 , 0.0068 , -0.0177 , -0.3408 , 0.035 , 0.0685 , 0.0515 , 0.1938 , 0.1402 , -0.1451 , -0.0785 , -0.0369 , -0.0937 , 0.0809 , 0.1002 , 0.1113 ]  , </v>
      </c>
    </row>
    <row r="394" spans="1:1">
      <c r="A394" s="13" t="str">
        <f>jsRow(remedy_factors!A394:AL394, TRUE )</f>
        <v xml:space="preserve">[ 0.1653 , -0.412 , 0.3801 , 0.3155 , 0.1817 , 0.0822 , -0.1428 , 0.133 , -0.0454 , 0.1563 , -0.1227 , 0.0683 , -0.187 , -0.1121 , -0.1862 , -0.061 , -0.3502 , -0.0311 , 0.0974 , -0.1342 , 0.0311 , 0.0679 , 0.079 , 0.1808 , -0.0102 , -0.0581 , -0.1571 , -0.1203 , 0.0835 , -0.0495 , -0.1158 , 0.1379 , 0.081 , -0.1358 , 0.0094 , -0.0282 , 0.207 , 0.007 ]  , </v>
      </c>
    </row>
    <row r="395" spans="1:1">
      <c r="A395" s="13" t="str">
        <f>jsRow(remedy_factors!A395:AL395, TRUE )</f>
        <v xml:space="preserve">[ -0.4107 , 0.0573 , 0.0274 , -0.0554 , -0.0085 , 0.1553 , -0.1005 , -0.2485 , 0.1433 , 0.1446 , -0.2809 , 0.3477 , 0.1959 , -0.2031 , -0.0098 , 0.0309 , -0.0101 , 0.2097 , 0.1868 , -0.0787 , 0.2639 , 0.1105 , -0.1386 , 0.1442 , 0.0107 , 0.0318 , 0.0951 , -0.0787 , -0.1855 , 0.0208 , -0.1968 , -0.2718 , -0.1279 , 0.0321 , 0.0986 , -0.0205 , 0.022 , 0.0863 ]  , </v>
      </c>
    </row>
    <row r="396" spans="1:1">
      <c r="A396" s="13" t="str">
        <f>jsRow(remedy_factors!A396:AL396, TRUE )</f>
        <v xml:space="preserve">[ 0.0125 , -0.0474 , 0.2373 , -0.0466 , -0.4134 , -0.0338 , 0.0064 , -0.4366 , 0.0397 , 0.2592 , -0.2062 , 0.147 , -0.0439 , 0.3274 , -0.135 , -0.0687 , 0.0746 , -0.0368 , -0.0924 , 0.1225 , -0.0205 , -0.0775 , 0.0589 , -0.0525 , 0.0554 , -0.0421 , -0.037 , -0.057 , -0.0029 , 0.277 , -0.1502 , 0.1068 , 0.0812 , -0.028 , 0.0269 , 0.3513 , -0.0312 , -0.1255 ]  , </v>
      </c>
    </row>
    <row r="397" spans="1:1">
      <c r="A397" s="13" t="str">
        <f>jsRow(remedy_factors!A397:AL397, TRUE )</f>
        <v xml:space="preserve">[ -0.3315 , 0.3598 , -0.16 , 0.0242 , 0.0335 , -0.2221 , 0.1223 , 0.1078 , 0.0188 , -0.0123 , -0.0155 , 0.0062 , 0.1231 , 0.0003 , -0.2135 , 0.1884 , -0.0807 , -0.0442 , -0.2534 , -0.1593 , -0.2496 , 0.3303 , -0.1122 , -0.1735 , -0.1033 , -0.0009 , 0.2289 , 0.1229 , 0.0484 , 0.2022 , 0.1422 , 0.0897 , 0.0641 , -0.1879 , 0.0986 , 0.1821 , -0.1122 , -0.0615 ]  , </v>
      </c>
    </row>
    <row r="398" spans="1:1">
      <c r="A398" s="13" t="str">
        <f>jsRow(remedy_factors!A398:AL398, TRUE )</f>
        <v xml:space="preserve">[ 0.291 , -0.1614 , 0.2742 , -0.0084 , 0.043 , -0.0327 , 0.3083 , -0.0941 , -0.134 , -0.0989 , 0.1332 , -0.1798 , 0.0098 , -0.1737 , 0.1474 , -0.0128 , 0.0246 , 0.1349 , -0.0489 , 0.2527 , 0.1944 , 0.1145 , 0.0279 , -0.2287 , -0.0067 , -0.167 , -0.3055 , -0.0838 , 0.0919 , -0.2025 , 0.0927 , -0.0148 , -0.1103 , -0.0849 , 0.0006 , 0.3354 , -0.062 , -0.2569 ]  , </v>
      </c>
    </row>
    <row r="399" spans="1:1">
      <c r="A399" s="13" t="str">
        <f>jsRow(remedy_factors!A399:AL399, TRUE )</f>
        <v xml:space="preserve">[ -0.1825 , 0.1384 , -0.2161 , -0.1793 , -0.1516 , 0.2869 , 0.0864 , 0.1006 , -0.1582 , -0.0389 , 0.0191 , 0.0527 , 0.0735 , -0.0486 , 0.0045 , 0.026 , -0.35 , 0.1759 , 0.0656 , 0.0069 , 0.1596 , -0.0503 , 0.026 , 0.171 , -0.0125 , -0.0673 , -0.188 , 0.0565 , -0.0746 , -0.2706 , 0.2397 , -0.257 , -0.0142 , 0.1079 , 0.4759 , -0.0742 , 0.0288 , 0.0423 ]  , </v>
      </c>
    </row>
    <row r="400" spans="1:1">
      <c r="A400" s="13" t="s">
        <v>1</v>
      </c>
    </row>
    <row r="401" spans="1:1">
      <c r="A401" s="13"/>
    </row>
    <row r="402" spans="1:1">
      <c r="A402" s="13"/>
    </row>
    <row r="403" spans="1:1">
      <c r="A403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A279"/>
  <sheetViews>
    <sheetView workbookViewId="0">
      <selection activeCell="A2" sqref="A2"/>
    </sheetView>
  </sheetViews>
  <sheetFormatPr defaultRowHeight="12.75"/>
  <sheetData>
    <row r="1" spans="1:1">
      <c r="A1" s="19" t="s">
        <v>806</v>
      </c>
    </row>
    <row r="2" spans="1:1">
      <c r="A2" s="25" t="s">
        <v>805</v>
      </c>
    </row>
    <row r="3" spans="1:1">
      <c r="A3" s="25">
        <v>3</v>
      </c>
    </row>
    <row r="4" spans="1:1">
      <c r="A4" s="25">
        <v>5</v>
      </c>
    </row>
    <row r="5" spans="1:1">
      <c r="A5" s="25">
        <v>0</v>
      </c>
    </row>
    <row r="6" spans="1:1">
      <c r="A6" s="25">
        <v>3</v>
      </c>
    </row>
    <row r="7" spans="1:1">
      <c r="A7" s="25">
        <v>3</v>
      </c>
    </row>
    <row r="8" spans="1:1">
      <c r="A8" s="25">
        <v>0</v>
      </c>
    </row>
    <row r="9" spans="1:1">
      <c r="A9" s="25">
        <v>0</v>
      </c>
    </row>
    <row r="10" spans="1:1">
      <c r="A10" s="25">
        <v>0</v>
      </c>
    </row>
    <row r="11" spans="1:1">
      <c r="A11" s="25">
        <v>3</v>
      </c>
    </row>
    <row r="12" spans="1:1">
      <c r="A12" s="25">
        <v>5</v>
      </c>
    </row>
    <row r="13" spans="1:1">
      <c r="A13" s="25">
        <v>0</v>
      </c>
    </row>
    <row r="14" spans="1:1">
      <c r="A14" s="25">
        <v>0</v>
      </c>
    </row>
    <row r="15" spans="1:1">
      <c r="A15" s="25">
        <v>7</v>
      </c>
    </row>
    <row r="16" spans="1:1">
      <c r="A16" s="25">
        <v>4</v>
      </c>
    </row>
    <row r="17" spans="1:1">
      <c r="A17" s="25">
        <v>0</v>
      </c>
    </row>
    <row r="18" spans="1:1">
      <c r="A18" s="25">
        <v>0</v>
      </c>
    </row>
    <row r="19" spans="1:1">
      <c r="A19" s="25">
        <v>0</v>
      </c>
    </row>
    <row r="20" spans="1:1">
      <c r="A20" s="25">
        <v>6</v>
      </c>
    </row>
    <row r="21" spans="1:1">
      <c r="A21" s="25">
        <v>0</v>
      </c>
    </row>
    <row r="22" spans="1:1">
      <c r="A22" s="25">
        <v>2</v>
      </c>
    </row>
    <row r="23" spans="1:1">
      <c r="A23" s="25">
        <v>0</v>
      </c>
    </row>
    <row r="24" spans="1:1">
      <c r="A24" s="25">
        <v>0</v>
      </c>
    </row>
    <row r="25" spans="1:1">
      <c r="A25" s="25">
        <v>2</v>
      </c>
    </row>
    <row r="26" spans="1:1">
      <c r="A26" s="25">
        <v>0</v>
      </c>
    </row>
    <row r="27" spans="1:1">
      <c r="A27" s="25">
        <v>0</v>
      </c>
    </row>
    <row r="28" spans="1:1">
      <c r="A28" s="25">
        <v>4</v>
      </c>
    </row>
    <row r="29" spans="1:1">
      <c r="A29" s="25">
        <v>3</v>
      </c>
    </row>
    <row r="30" spans="1:1">
      <c r="A30" s="25">
        <v>8</v>
      </c>
    </row>
    <row r="31" spans="1:1">
      <c r="A31" s="25">
        <v>0</v>
      </c>
    </row>
    <row r="32" spans="1:1">
      <c r="A32" s="25">
        <v>0</v>
      </c>
    </row>
    <row r="33" spans="1:1">
      <c r="A33" s="25">
        <v>2</v>
      </c>
    </row>
    <row r="34" spans="1:1">
      <c r="A34" s="25">
        <v>0</v>
      </c>
    </row>
    <row r="35" spans="1:1">
      <c r="A35" s="25">
        <v>5</v>
      </c>
    </row>
    <row r="36" spans="1:1">
      <c r="A36" s="25">
        <v>4</v>
      </c>
    </row>
    <row r="37" spans="1:1">
      <c r="A37" s="25">
        <v>6</v>
      </c>
    </row>
    <row r="38" spans="1:1">
      <c r="A38" s="25">
        <v>0</v>
      </c>
    </row>
    <row r="39" spans="1:1">
      <c r="A39" s="25">
        <v>0</v>
      </c>
    </row>
    <row r="40" spans="1:1">
      <c r="A40" s="25">
        <v>0</v>
      </c>
    </row>
    <row r="41" spans="1:1">
      <c r="A41" s="25">
        <v>5</v>
      </c>
    </row>
    <row r="42" spans="1:1">
      <c r="A42" s="25">
        <v>0</v>
      </c>
    </row>
    <row r="43" spans="1:1">
      <c r="A43" s="25">
        <v>0</v>
      </c>
    </row>
    <row r="44" spans="1:1">
      <c r="A44" s="25">
        <v>0</v>
      </c>
    </row>
    <row r="45" spans="1:1">
      <c r="A45" s="25">
        <v>0</v>
      </c>
    </row>
    <row r="46" spans="1:1">
      <c r="A46" s="25">
        <v>0</v>
      </c>
    </row>
    <row r="47" spans="1:1">
      <c r="A47" s="25">
        <v>0</v>
      </c>
    </row>
    <row r="48" spans="1:1">
      <c r="A48" s="25">
        <v>0</v>
      </c>
    </row>
    <row r="49" spans="1:1">
      <c r="A49" s="25">
        <v>0</v>
      </c>
    </row>
    <row r="50" spans="1:1">
      <c r="A50" s="25">
        <v>0</v>
      </c>
    </row>
    <row r="51" spans="1:1">
      <c r="A51" s="25">
        <v>0</v>
      </c>
    </row>
    <row r="52" spans="1:1">
      <c r="A52" s="25">
        <v>0</v>
      </c>
    </row>
    <row r="53" spans="1:1">
      <c r="A53" s="25">
        <v>0</v>
      </c>
    </row>
    <row r="54" spans="1:1">
      <c r="A54" s="25">
        <v>0</v>
      </c>
    </row>
    <row r="55" spans="1:1">
      <c r="A55" s="25">
        <v>5</v>
      </c>
    </row>
    <row r="56" spans="1:1">
      <c r="A56" s="25">
        <v>0</v>
      </c>
    </row>
    <row r="57" spans="1:1">
      <c r="A57" s="25">
        <v>0</v>
      </c>
    </row>
    <row r="58" spans="1:1">
      <c r="A58" s="25">
        <v>0</v>
      </c>
    </row>
    <row r="59" spans="1:1">
      <c r="A59" s="25">
        <v>0</v>
      </c>
    </row>
    <row r="60" spans="1:1">
      <c r="A60" s="25">
        <v>0</v>
      </c>
    </row>
    <row r="61" spans="1:1">
      <c r="A61" s="25">
        <v>6</v>
      </c>
    </row>
    <row r="62" spans="1:1">
      <c r="A62" s="25">
        <v>0</v>
      </c>
    </row>
    <row r="63" spans="1:1">
      <c r="A63" s="25">
        <v>0</v>
      </c>
    </row>
    <row r="64" spans="1:1">
      <c r="A64" s="25">
        <v>5</v>
      </c>
    </row>
    <row r="65" spans="1:1">
      <c r="A65" s="25">
        <v>0</v>
      </c>
    </row>
    <row r="66" spans="1:1">
      <c r="A66" s="25">
        <v>0</v>
      </c>
    </row>
    <row r="67" spans="1:1">
      <c r="A67" s="25">
        <v>0</v>
      </c>
    </row>
    <row r="68" spans="1:1">
      <c r="A68" s="25">
        <v>0</v>
      </c>
    </row>
    <row r="69" spans="1:1">
      <c r="A69" s="25">
        <v>0</v>
      </c>
    </row>
    <row r="70" spans="1:1">
      <c r="A70" s="25">
        <v>0</v>
      </c>
    </row>
    <row r="71" spans="1:1">
      <c r="A71" s="25">
        <v>0</v>
      </c>
    </row>
    <row r="72" spans="1:1">
      <c r="A72" s="25">
        <v>0</v>
      </c>
    </row>
    <row r="73" spans="1:1">
      <c r="A73" s="25">
        <v>0</v>
      </c>
    </row>
    <row r="74" spans="1:1">
      <c r="A74" s="25">
        <v>0</v>
      </c>
    </row>
    <row r="75" spans="1:1">
      <c r="A75" s="25">
        <v>0</v>
      </c>
    </row>
    <row r="76" spans="1:1">
      <c r="A76" s="25">
        <v>0</v>
      </c>
    </row>
    <row r="77" spans="1:1">
      <c r="A77" s="25">
        <v>0</v>
      </c>
    </row>
    <row r="78" spans="1:1">
      <c r="A78" s="25">
        <v>0</v>
      </c>
    </row>
    <row r="79" spans="1:1">
      <c r="A79" s="25">
        <v>0</v>
      </c>
    </row>
    <row r="80" spans="1:1">
      <c r="A80" s="25">
        <v>0</v>
      </c>
    </row>
    <row r="81" spans="1:1">
      <c r="A81" s="25">
        <v>0</v>
      </c>
    </row>
    <row r="82" spans="1:1">
      <c r="A82" s="25">
        <v>0</v>
      </c>
    </row>
    <row r="83" spans="1:1">
      <c r="A83" s="25">
        <v>0</v>
      </c>
    </row>
    <row r="84" spans="1:1">
      <c r="A84" s="25">
        <v>0</v>
      </c>
    </row>
    <row r="85" spans="1:1">
      <c r="A85" s="25">
        <v>0</v>
      </c>
    </row>
    <row r="86" spans="1:1">
      <c r="A86" s="25">
        <v>0</v>
      </c>
    </row>
    <row r="87" spans="1:1">
      <c r="A87" s="25">
        <v>0</v>
      </c>
    </row>
    <row r="88" spans="1:1">
      <c r="A88" s="25">
        <v>0</v>
      </c>
    </row>
    <row r="89" spans="1:1">
      <c r="A89" s="25">
        <v>0</v>
      </c>
    </row>
    <row r="90" spans="1:1">
      <c r="A90" s="25">
        <v>0</v>
      </c>
    </row>
    <row r="91" spans="1:1">
      <c r="A91" s="25">
        <v>0</v>
      </c>
    </row>
    <row r="92" spans="1:1">
      <c r="A92" s="25">
        <v>0</v>
      </c>
    </row>
    <row r="93" spans="1:1">
      <c r="A93" s="25">
        <v>0</v>
      </c>
    </row>
    <row r="94" spans="1:1">
      <c r="A94" s="25">
        <v>0</v>
      </c>
    </row>
    <row r="95" spans="1:1">
      <c r="A95" s="25">
        <v>0</v>
      </c>
    </row>
    <row r="96" spans="1:1">
      <c r="A96" s="25">
        <v>0</v>
      </c>
    </row>
    <row r="97" spans="1:1">
      <c r="A97" s="25">
        <v>0</v>
      </c>
    </row>
    <row r="98" spans="1:1">
      <c r="A98" s="25">
        <v>0</v>
      </c>
    </row>
    <row r="99" spans="1:1">
      <c r="A99" s="25">
        <v>0</v>
      </c>
    </row>
    <row r="100" spans="1:1">
      <c r="A100" s="25">
        <v>0</v>
      </c>
    </row>
    <row r="101" spans="1:1">
      <c r="A101" s="25">
        <v>0</v>
      </c>
    </row>
    <row r="102" spans="1:1">
      <c r="A102" s="25">
        <v>0</v>
      </c>
    </row>
    <row r="103" spans="1:1">
      <c r="A103" s="25">
        <v>0</v>
      </c>
    </row>
    <row r="104" spans="1:1">
      <c r="A104" s="25">
        <v>0</v>
      </c>
    </row>
    <row r="105" spans="1:1">
      <c r="A105" s="25">
        <v>0</v>
      </c>
    </row>
    <row r="106" spans="1:1">
      <c r="A106" s="25">
        <v>0</v>
      </c>
    </row>
    <row r="107" spans="1:1">
      <c r="A107" s="25">
        <v>0</v>
      </c>
    </row>
    <row r="108" spans="1:1">
      <c r="A108" s="25">
        <v>0</v>
      </c>
    </row>
    <row r="109" spans="1:1">
      <c r="A109" s="25">
        <v>0</v>
      </c>
    </row>
    <row r="110" spans="1:1">
      <c r="A110" s="25">
        <v>0</v>
      </c>
    </row>
    <row r="111" spans="1:1">
      <c r="A111" s="25">
        <v>0</v>
      </c>
    </row>
    <row r="112" spans="1:1">
      <c r="A112" s="25">
        <v>0</v>
      </c>
    </row>
    <row r="113" spans="1:1">
      <c r="A113" s="25">
        <v>0</v>
      </c>
    </row>
    <row r="114" spans="1:1">
      <c r="A114" s="25">
        <v>0</v>
      </c>
    </row>
    <row r="115" spans="1:1">
      <c r="A115" s="25">
        <v>0</v>
      </c>
    </row>
    <row r="116" spans="1:1">
      <c r="A116" s="25">
        <v>0</v>
      </c>
    </row>
    <row r="117" spans="1:1">
      <c r="A117" s="25">
        <v>0</v>
      </c>
    </row>
    <row r="118" spans="1:1">
      <c r="A118" s="25">
        <v>0</v>
      </c>
    </row>
    <row r="119" spans="1:1">
      <c r="A119" s="25">
        <v>0</v>
      </c>
    </row>
    <row r="120" spans="1:1">
      <c r="A120" s="25">
        <v>0</v>
      </c>
    </row>
    <row r="121" spans="1:1">
      <c r="A121" s="25">
        <v>0</v>
      </c>
    </row>
    <row r="122" spans="1:1">
      <c r="A122" s="25">
        <v>0</v>
      </c>
    </row>
    <row r="123" spans="1:1">
      <c r="A123" s="25">
        <v>0</v>
      </c>
    </row>
    <row r="124" spans="1:1">
      <c r="A124" s="25">
        <v>0</v>
      </c>
    </row>
    <row r="125" spans="1:1">
      <c r="A125" s="25">
        <v>0</v>
      </c>
    </row>
    <row r="126" spans="1:1">
      <c r="A126" s="25">
        <v>0</v>
      </c>
    </row>
    <row r="127" spans="1:1">
      <c r="A127" s="25">
        <v>0</v>
      </c>
    </row>
    <row r="128" spans="1:1">
      <c r="A128" s="25">
        <v>0</v>
      </c>
    </row>
    <row r="129" spans="1:1">
      <c r="A129" s="25">
        <v>0</v>
      </c>
    </row>
    <row r="130" spans="1:1">
      <c r="A130" s="25">
        <v>0</v>
      </c>
    </row>
    <row r="131" spans="1:1">
      <c r="A131" s="25">
        <v>3</v>
      </c>
    </row>
    <row r="132" spans="1:1">
      <c r="A132" s="25">
        <v>0</v>
      </c>
    </row>
    <row r="133" spans="1:1">
      <c r="A133" s="25">
        <v>0</v>
      </c>
    </row>
    <row r="134" spans="1:1">
      <c r="A134" s="25">
        <v>7</v>
      </c>
    </row>
    <row r="135" spans="1:1">
      <c r="A135" s="25">
        <v>0</v>
      </c>
    </row>
    <row r="136" spans="1:1">
      <c r="A136" s="25">
        <v>0</v>
      </c>
    </row>
    <row r="137" spans="1:1">
      <c r="A137" s="25">
        <v>0</v>
      </c>
    </row>
    <row r="138" spans="1:1">
      <c r="A138" s="25">
        <v>0</v>
      </c>
    </row>
    <row r="139" spans="1:1">
      <c r="A139" s="25">
        <v>0</v>
      </c>
    </row>
    <row r="140" spans="1:1">
      <c r="A140" s="25">
        <v>0</v>
      </c>
    </row>
    <row r="141" spans="1:1">
      <c r="A141" s="25">
        <v>0</v>
      </c>
    </row>
    <row r="142" spans="1:1">
      <c r="A142" s="25">
        <v>0</v>
      </c>
    </row>
    <row r="143" spans="1:1">
      <c r="A143" s="25">
        <v>0</v>
      </c>
    </row>
    <row r="144" spans="1:1">
      <c r="A144" s="25">
        <v>0</v>
      </c>
    </row>
    <row r="145" spans="1:1">
      <c r="A145" s="25">
        <v>0</v>
      </c>
    </row>
    <row r="146" spans="1:1">
      <c r="A146" s="25">
        <v>0</v>
      </c>
    </row>
    <row r="147" spans="1:1">
      <c r="A147" s="25">
        <v>0</v>
      </c>
    </row>
    <row r="148" spans="1:1">
      <c r="A148" s="25">
        <v>0</v>
      </c>
    </row>
    <row r="149" spans="1:1">
      <c r="A149" s="25">
        <v>0</v>
      </c>
    </row>
    <row r="150" spans="1:1">
      <c r="A150" s="25">
        <v>0</v>
      </c>
    </row>
    <row r="151" spans="1:1">
      <c r="A151" s="25">
        <v>0</v>
      </c>
    </row>
    <row r="152" spans="1:1">
      <c r="A152" s="25">
        <v>0</v>
      </c>
    </row>
    <row r="153" spans="1:1">
      <c r="A153" s="25">
        <v>0</v>
      </c>
    </row>
    <row r="154" spans="1:1">
      <c r="A154" s="25">
        <v>0</v>
      </c>
    </row>
    <row r="155" spans="1:1">
      <c r="A155" s="25">
        <v>0</v>
      </c>
    </row>
    <row r="156" spans="1:1">
      <c r="A156" s="25">
        <v>0</v>
      </c>
    </row>
    <row r="157" spans="1:1">
      <c r="A157" s="25">
        <v>0</v>
      </c>
    </row>
    <row r="158" spans="1:1">
      <c r="A158" s="25">
        <v>0</v>
      </c>
    </row>
    <row r="159" spans="1:1">
      <c r="A159" s="25">
        <v>0</v>
      </c>
    </row>
    <row r="160" spans="1:1">
      <c r="A160" s="25">
        <v>0</v>
      </c>
    </row>
    <row r="161" spans="1:1">
      <c r="A161" s="25">
        <v>0</v>
      </c>
    </row>
    <row r="162" spans="1:1">
      <c r="A162" s="25">
        <v>0</v>
      </c>
    </row>
    <row r="163" spans="1:1">
      <c r="A163" s="25">
        <v>0</v>
      </c>
    </row>
    <row r="164" spans="1:1">
      <c r="A164" s="25">
        <v>0</v>
      </c>
    </row>
    <row r="165" spans="1:1">
      <c r="A165" s="25">
        <v>0</v>
      </c>
    </row>
    <row r="166" spans="1:1">
      <c r="A166" s="25">
        <v>0</v>
      </c>
    </row>
    <row r="167" spans="1:1">
      <c r="A167" s="25">
        <v>0</v>
      </c>
    </row>
    <row r="168" spans="1:1">
      <c r="A168" s="25">
        <v>0</v>
      </c>
    </row>
    <row r="169" spans="1:1">
      <c r="A169" s="25">
        <v>0</v>
      </c>
    </row>
    <row r="170" spans="1:1">
      <c r="A170" s="25">
        <v>0</v>
      </c>
    </row>
    <row r="171" spans="1:1">
      <c r="A171" s="25">
        <v>0</v>
      </c>
    </row>
    <row r="172" spans="1:1">
      <c r="A172" s="25">
        <v>0</v>
      </c>
    </row>
    <row r="173" spans="1:1">
      <c r="A173" s="25">
        <v>0</v>
      </c>
    </row>
    <row r="174" spans="1:1">
      <c r="A174" s="25">
        <v>0</v>
      </c>
    </row>
    <row r="175" spans="1:1">
      <c r="A175" s="25">
        <v>0</v>
      </c>
    </row>
    <row r="176" spans="1:1">
      <c r="A176" s="25">
        <v>0</v>
      </c>
    </row>
    <row r="177" spans="1:1">
      <c r="A177" s="25">
        <v>0</v>
      </c>
    </row>
    <row r="178" spans="1:1">
      <c r="A178" s="25">
        <v>0</v>
      </c>
    </row>
    <row r="179" spans="1:1">
      <c r="A179" s="25">
        <v>0</v>
      </c>
    </row>
    <row r="180" spans="1:1">
      <c r="A180" s="25">
        <v>0</v>
      </c>
    </row>
    <row r="181" spans="1:1">
      <c r="A181" s="25">
        <v>0</v>
      </c>
    </row>
    <row r="182" spans="1:1">
      <c r="A182" s="25">
        <v>0</v>
      </c>
    </row>
    <row r="183" spans="1:1">
      <c r="A183" s="25">
        <v>0</v>
      </c>
    </row>
    <row r="184" spans="1:1">
      <c r="A184" s="25">
        <v>3</v>
      </c>
    </row>
    <row r="185" spans="1:1">
      <c r="A185" s="25">
        <v>0</v>
      </c>
    </row>
    <row r="186" spans="1:1">
      <c r="A186" s="25">
        <v>0</v>
      </c>
    </row>
    <row r="187" spans="1:1">
      <c r="A187" s="25">
        <v>0</v>
      </c>
    </row>
    <row r="188" spans="1:1">
      <c r="A188" s="25">
        <v>5</v>
      </c>
    </row>
    <row r="189" spans="1:1">
      <c r="A189" s="25">
        <v>0</v>
      </c>
    </row>
    <row r="190" spans="1:1">
      <c r="A190" s="25">
        <v>7</v>
      </c>
    </row>
    <row r="191" spans="1:1">
      <c r="A191" s="25">
        <v>0</v>
      </c>
    </row>
    <row r="192" spans="1:1">
      <c r="A192" s="25">
        <v>0</v>
      </c>
    </row>
    <row r="193" spans="1:1">
      <c r="A193" s="25">
        <v>0</v>
      </c>
    </row>
    <row r="194" spans="1:1">
      <c r="A194" s="25">
        <v>0</v>
      </c>
    </row>
    <row r="195" spans="1:1">
      <c r="A195" s="25">
        <v>0</v>
      </c>
    </row>
    <row r="196" spans="1:1">
      <c r="A196" s="25">
        <v>0</v>
      </c>
    </row>
    <row r="197" spans="1:1">
      <c r="A197" s="25">
        <v>0</v>
      </c>
    </row>
    <row r="198" spans="1:1">
      <c r="A198" s="25">
        <v>0</v>
      </c>
    </row>
    <row r="199" spans="1:1">
      <c r="A199" s="25">
        <v>0</v>
      </c>
    </row>
    <row r="200" spans="1:1">
      <c r="A200" s="25">
        <v>4</v>
      </c>
    </row>
    <row r="201" spans="1:1">
      <c r="A201" s="25">
        <v>0</v>
      </c>
    </row>
    <row r="202" spans="1:1">
      <c r="A202" s="25">
        <v>5</v>
      </c>
    </row>
    <row r="203" spans="1:1">
      <c r="A203" s="25">
        <v>0</v>
      </c>
    </row>
    <row r="204" spans="1:1">
      <c r="A204" s="25">
        <v>0</v>
      </c>
    </row>
    <row r="205" spans="1:1">
      <c r="A205" s="25">
        <v>0</v>
      </c>
    </row>
    <row r="206" spans="1:1">
      <c r="A206" s="25">
        <v>0</v>
      </c>
    </row>
    <row r="207" spans="1:1">
      <c r="A207" s="25">
        <v>0</v>
      </c>
    </row>
    <row r="208" spans="1:1">
      <c r="A208" s="25">
        <v>0</v>
      </c>
    </row>
    <row r="209" spans="1:1">
      <c r="A209" s="25">
        <v>0</v>
      </c>
    </row>
    <row r="210" spans="1:1">
      <c r="A210" s="25">
        <v>0</v>
      </c>
    </row>
    <row r="211" spans="1:1">
      <c r="A211" s="25">
        <v>2</v>
      </c>
    </row>
    <row r="212" spans="1:1">
      <c r="A212" s="25">
        <v>0</v>
      </c>
    </row>
    <row r="213" spans="1:1">
      <c r="A213" s="25">
        <v>0</v>
      </c>
    </row>
    <row r="214" spans="1:1">
      <c r="A214" s="25">
        <v>0</v>
      </c>
    </row>
    <row r="215" spans="1:1">
      <c r="A215" s="25">
        <v>0</v>
      </c>
    </row>
    <row r="216" spans="1:1">
      <c r="A216" s="25">
        <v>0</v>
      </c>
    </row>
    <row r="217" spans="1:1">
      <c r="A217" s="25">
        <v>0</v>
      </c>
    </row>
    <row r="218" spans="1:1">
      <c r="A218" s="25">
        <v>0</v>
      </c>
    </row>
    <row r="219" spans="1:1">
      <c r="A219" s="25">
        <v>0</v>
      </c>
    </row>
    <row r="220" spans="1:1">
      <c r="A220" s="25">
        <v>0</v>
      </c>
    </row>
    <row r="221" spans="1:1">
      <c r="A221" s="25">
        <v>0</v>
      </c>
    </row>
    <row r="222" spans="1:1">
      <c r="A222" s="25">
        <v>0</v>
      </c>
    </row>
    <row r="223" spans="1:1">
      <c r="A223" s="25">
        <v>0</v>
      </c>
    </row>
    <row r="224" spans="1:1">
      <c r="A224" s="25">
        <v>0</v>
      </c>
    </row>
    <row r="225" spans="1:1">
      <c r="A225" s="25">
        <v>0</v>
      </c>
    </row>
    <row r="226" spans="1:1">
      <c r="A226" s="25">
        <v>0</v>
      </c>
    </row>
    <row r="227" spans="1:1">
      <c r="A227" s="25">
        <v>0</v>
      </c>
    </row>
    <row r="228" spans="1:1">
      <c r="A228" s="25">
        <v>0</v>
      </c>
    </row>
    <row r="229" spans="1:1">
      <c r="A229" s="25">
        <v>0</v>
      </c>
    </row>
    <row r="230" spans="1:1">
      <c r="A230" s="25">
        <v>0</v>
      </c>
    </row>
    <row r="231" spans="1:1">
      <c r="A231" s="25">
        <v>0</v>
      </c>
    </row>
    <row r="232" spans="1:1">
      <c r="A232" s="25">
        <v>0</v>
      </c>
    </row>
    <row r="233" spans="1:1">
      <c r="A233" s="25">
        <v>0</v>
      </c>
    </row>
    <row r="234" spans="1:1">
      <c r="A234" s="25">
        <v>0</v>
      </c>
    </row>
    <row r="235" spans="1:1">
      <c r="A235" s="25">
        <v>0</v>
      </c>
    </row>
    <row r="236" spans="1:1">
      <c r="A236" s="25">
        <v>0</v>
      </c>
    </row>
    <row r="237" spans="1:1">
      <c r="A237" s="25">
        <v>0</v>
      </c>
    </row>
    <row r="238" spans="1:1">
      <c r="A238" s="25">
        <v>0</v>
      </c>
    </row>
    <row r="239" spans="1:1">
      <c r="A239" s="25">
        <v>0</v>
      </c>
    </row>
    <row r="240" spans="1:1">
      <c r="A240" s="25">
        <v>0</v>
      </c>
    </row>
    <row r="241" spans="1:1">
      <c r="A241" s="25">
        <v>4</v>
      </c>
    </row>
    <row r="242" spans="1:1">
      <c r="A242" s="25">
        <v>0</v>
      </c>
    </row>
    <row r="243" spans="1:1">
      <c r="A243" s="25">
        <v>0</v>
      </c>
    </row>
    <row r="244" spans="1:1">
      <c r="A244" s="25">
        <v>0</v>
      </c>
    </row>
    <row r="245" spans="1:1">
      <c r="A245" s="25">
        <v>0</v>
      </c>
    </row>
    <row r="246" spans="1:1">
      <c r="A246" s="25">
        <v>0</v>
      </c>
    </row>
    <row r="247" spans="1:1">
      <c r="A247" s="25">
        <v>0</v>
      </c>
    </row>
    <row r="248" spans="1:1">
      <c r="A248" s="25">
        <v>0</v>
      </c>
    </row>
    <row r="249" spans="1:1">
      <c r="A249" s="25">
        <v>0</v>
      </c>
    </row>
    <row r="250" spans="1:1">
      <c r="A250" s="25">
        <v>0</v>
      </c>
    </row>
    <row r="251" spans="1:1">
      <c r="A251" s="25">
        <v>0</v>
      </c>
    </row>
    <row r="252" spans="1:1">
      <c r="A252" s="25">
        <v>0</v>
      </c>
    </row>
    <row r="253" spans="1:1">
      <c r="A253" s="25">
        <v>0</v>
      </c>
    </row>
    <row r="254" spans="1:1">
      <c r="A254" s="25">
        <v>0</v>
      </c>
    </row>
    <row r="255" spans="1:1">
      <c r="A255" s="25">
        <v>0</v>
      </c>
    </row>
    <row r="256" spans="1:1">
      <c r="A256" s="25">
        <v>0</v>
      </c>
    </row>
    <row r="257" spans="1:1">
      <c r="A257" s="25">
        <v>0</v>
      </c>
    </row>
    <row r="258" spans="1:1">
      <c r="A258" s="25">
        <v>8</v>
      </c>
    </row>
    <row r="259" spans="1:1">
      <c r="A259" s="25">
        <v>0</v>
      </c>
    </row>
    <row r="260" spans="1:1">
      <c r="A260" s="25">
        <v>7</v>
      </c>
    </row>
    <row r="261" spans="1:1">
      <c r="A261" s="25">
        <v>0</v>
      </c>
    </row>
    <row r="262" spans="1:1">
      <c r="A262" s="25">
        <v>0</v>
      </c>
    </row>
    <row r="263" spans="1:1">
      <c r="A263" s="25">
        <v>0</v>
      </c>
    </row>
    <row r="264" spans="1:1">
      <c r="A264" s="25">
        <v>0</v>
      </c>
    </row>
    <row r="265" spans="1:1">
      <c r="A265" s="25">
        <v>0</v>
      </c>
    </row>
    <row r="266" spans="1:1">
      <c r="A266" s="25">
        <v>0</v>
      </c>
    </row>
    <row r="267" spans="1:1">
      <c r="A267" s="25">
        <v>0</v>
      </c>
    </row>
    <row r="268" spans="1:1">
      <c r="A268" s="25">
        <v>0</v>
      </c>
    </row>
    <row r="269" spans="1:1">
      <c r="A269" s="25">
        <v>0</v>
      </c>
    </row>
    <row r="270" spans="1:1">
      <c r="A270" s="25">
        <v>0</v>
      </c>
    </row>
    <row r="271" spans="1:1">
      <c r="A271" s="25">
        <v>0</v>
      </c>
    </row>
    <row r="272" spans="1:1">
      <c r="A272" s="25">
        <v>0</v>
      </c>
    </row>
    <row r="273" spans="1:1">
      <c r="A273" s="25">
        <v>6</v>
      </c>
    </row>
    <row r="274" spans="1:1">
      <c r="A274" s="25">
        <v>0</v>
      </c>
    </row>
    <row r="275" spans="1:1">
      <c r="A275" s="25">
        <v>0</v>
      </c>
    </row>
    <row r="276" spans="1:1">
      <c r="A276" s="25">
        <v>6</v>
      </c>
    </row>
    <row r="277" spans="1:1">
      <c r="A277" s="25">
        <v>0</v>
      </c>
    </row>
    <row r="278" spans="1:1">
      <c r="A278" s="25">
        <v>0</v>
      </c>
    </row>
    <row r="279" spans="1:1">
      <c r="A279" s="2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A280"/>
  <sheetViews>
    <sheetView workbookViewId="0">
      <selection activeCell="E259" sqref="E259"/>
    </sheetView>
  </sheetViews>
  <sheetFormatPr defaultRowHeight="12.75"/>
  <sheetData>
    <row r="1" spans="1:1">
      <c r="A1" t="s">
        <v>807</v>
      </c>
    </row>
    <row r="2" spans="1:1">
      <c r="A2" t="str">
        <f>CONCATENATE( "'",      'demo symptoms'!A2,"' ,  ")</f>
        <v xml:space="preserve">'?' ,  </v>
      </c>
    </row>
    <row r="3" spans="1:1">
      <c r="A3" t="str">
        <f>CONCATENATE( "'",      'demo symptoms'!A3,"' ,  ")</f>
        <v xml:space="preserve">'3' ,  </v>
      </c>
    </row>
    <row r="4" spans="1:1">
      <c r="A4" t="str">
        <f>CONCATENATE( "'",      'demo symptoms'!A4,"' ,  ")</f>
        <v xml:space="preserve">'5' ,  </v>
      </c>
    </row>
    <row r="5" spans="1:1">
      <c r="A5" t="str">
        <f>CONCATENATE( "'",      'demo symptoms'!A5,"' ,  ")</f>
        <v xml:space="preserve">'0' ,  </v>
      </c>
    </row>
    <row r="6" spans="1:1">
      <c r="A6" t="str">
        <f>CONCATENATE( "'",      'demo symptoms'!A6,"' ,  ")</f>
        <v xml:space="preserve">'3' ,  </v>
      </c>
    </row>
    <row r="7" spans="1:1">
      <c r="A7" t="str">
        <f>CONCATENATE( "'",      'demo symptoms'!A7,"' ,  ")</f>
        <v xml:space="preserve">'3' ,  </v>
      </c>
    </row>
    <row r="8" spans="1:1">
      <c r="A8" t="str">
        <f>CONCATENATE( "'",      'demo symptoms'!A8,"' ,  ")</f>
        <v xml:space="preserve">'0' ,  </v>
      </c>
    </row>
    <row r="9" spans="1:1">
      <c r="A9" t="str">
        <f>CONCATENATE( "'",      'demo symptoms'!A9,"' ,  ")</f>
        <v xml:space="preserve">'0' ,  </v>
      </c>
    </row>
    <row r="10" spans="1:1">
      <c r="A10" t="str">
        <f>CONCATENATE( "'",      'demo symptoms'!A10,"' ,  ")</f>
        <v xml:space="preserve">'0' ,  </v>
      </c>
    </row>
    <row r="11" spans="1:1">
      <c r="A11" t="str">
        <f>CONCATENATE( "'",      'demo symptoms'!A11,"' ,  ")</f>
        <v xml:space="preserve">'3' ,  </v>
      </c>
    </row>
    <row r="12" spans="1:1">
      <c r="A12" t="str">
        <f>CONCATENATE( "'",      'demo symptoms'!A12,"' ,  ")</f>
        <v xml:space="preserve">'5' ,  </v>
      </c>
    </row>
    <row r="13" spans="1:1">
      <c r="A13" t="str">
        <f>CONCATENATE( "'",      'demo symptoms'!A13,"' ,  ")</f>
        <v xml:space="preserve">'0' ,  </v>
      </c>
    </row>
    <row r="14" spans="1:1">
      <c r="A14" t="str">
        <f>CONCATENATE( "'",      'demo symptoms'!A14,"' ,  ")</f>
        <v xml:space="preserve">'0' ,  </v>
      </c>
    </row>
    <row r="15" spans="1:1">
      <c r="A15" t="str">
        <f>CONCATENATE( "'",      'demo symptoms'!A15,"' ,  ")</f>
        <v xml:space="preserve">'7' ,  </v>
      </c>
    </row>
    <row r="16" spans="1:1">
      <c r="A16" t="str">
        <f>CONCATENATE( "'",      'demo symptoms'!A16,"' ,  ")</f>
        <v xml:space="preserve">'4' ,  </v>
      </c>
    </row>
    <row r="17" spans="1:1">
      <c r="A17" t="str">
        <f>CONCATENATE( "'",      'demo symptoms'!A17,"' ,  ")</f>
        <v xml:space="preserve">'0' ,  </v>
      </c>
    </row>
    <row r="18" spans="1:1">
      <c r="A18" t="str">
        <f>CONCATENATE( "'",      'demo symptoms'!A18,"' ,  ")</f>
        <v xml:space="preserve">'0' ,  </v>
      </c>
    </row>
    <row r="19" spans="1:1">
      <c r="A19" t="str">
        <f>CONCATENATE( "'",      'demo symptoms'!A19,"' ,  ")</f>
        <v xml:space="preserve">'0' ,  </v>
      </c>
    </row>
    <row r="20" spans="1:1">
      <c r="A20" t="str">
        <f>CONCATENATE( "'",      'demo symptoms'!A20,"' ,  ")</f>
        <v xml:space="preserve">'6' ,  </v>
      </c>
    </row>
    <row r="21" spans="1:1">
      <c r="A21" t="str">
        <f>CONCATENATE( "'",      'demo symptoms'!A21,"' ,  ")</f>
        <v xml:space="preserve">'0' ,  </v>
      </c>
    </row>
    <row r="22" spans="1:1">
      <c r="A22" t="str">
        <f>CONCATENATE( "'",      'demo symptoms'!A22,"' ,  ")</f>
        <v xml:space="preserve">'2' ,  </v>
      </c>
    </row>
    <row r="23" spans="1:1">
      <c r="A23" t="str">
        <f>CONCATENATE( "'",      'demo symptoms'!A23,"' ,  ")</f>
        <v xml:space="preserve">'0' ,  </v>
      </c>
    </row>
    <row r="24" spans="1:1">
      <c r="A24" t="str">
        <f>CONCATENATE( "'",      'demo symptoms'!A24,"' ,  ")</f>
        <v xml:space="preserve">'0' ,  </v>
      </c>
    </row>
    <row r="25" spans="1:1">
      <c r="A25" t="str">
        <f>CONCATENATE( "'",      'demo symptoms'!A25,"' ,  ")</f>
        <v xml:space="preserve">'2' ,  </v>
      </c>
    </row>
    <row r="26" spans="1:1">
      <c r="A26" t="str">
        <f>CONCATENATE( "'",      'demo symptoms'!A26,"' ,  ")</f>
        <v xml:space="preserve">'0' ,  </v>
      </c>
    </row>
    <row r="27" spans="1:1">
      <c r="A27" t="str">
        <f>CONCATENATE( "'",      'demo symptoms'!A27,"' ,  ")</f>
        <v xml:space="preserve">'0' ,  </v>
      </c>
    </row>
    <row r="28" spans="1:1">
      <c r="A28" t="str">
        <f>CONCATENATE( "'",      'demo symptoms'!A28,"' ,  ")</f>
        <v xml:space="preserve">'4' ,  </v>
      </c>
    </row>
    <row r="29" spans="1:1">
      <c r="A29" t="str">
        <f>CONCATENATE( "'",      'demo symptoms'!A29,"' ,  ")</f>
        <v xml:space="preserve">'3' ,  </v>
      </c>
    </row>
    <row r="30" spans="1:1">
      <c r="A30" t="str">
        <f>CONCATENATE( "'",      'demo symptoms'!A30,"' ,  ")</f>
        <v xml:space="preserve">'8' ,  </v>
      </c>
    </row>
    <row r="31" spans="1:1">
      <c r="A31" t="str">
        <f>CONCATENATE( "'",      'demo symptoms'!A31,"' ,  ")</f>
        <v xml:space="preserve">'0' ,  </v>
      </c>
    </row>
    <row r="32" spans="1:1">
      <c r="A32" t="str">
        <f>CONCATENATE( "'",      'demo symptoms'!A32,"' ,  ")</f>
        <v xml:space="preserve">'0' ,  </v>
      </c>
    </row>
    <row r="33" spans="1:1">
      <c r="A33" t="str">
        <f>CONCATENATE( "'",      'demo symptoms'!A33,"' ,  ")</f>
        <v xml:space="preserve">'2' ,  </v>
      </c>
    </row>
    <row r="34" spans="1:1">
      <c r="A34" t="str">
        <f>CONCATENATE( "'",      'demo symptoms'!A34,"' ,  ")</f>
        <v xml:space="preserve">'0' ,  </v>
      </c>
    </row>
    <row r="35" spans="1:1">
      <c r="A35" t="str">
        <f>CONCATENATE( "'",      'demo symptoms'!A35,"' ,  ")</f>
        <v xml:space="preserve">'5' ,  </v>
      </c>
    </row>
    <row r="36" spans="1:1">
      <c r="A36" t="str">
        <f>CONCATENATE( "'",      'demo symptoms'!A36,"' ,  ")</f>
        <v xml:space="preserve">'4' ,  </v>
      </c>
    </row>
    <row r="37" spans="1:1">
      <c r="A37" t="str">
        <f>CONCATENATE( "'",      'demo symptoms'!A37,"' ,  ")</f>
        <v xml:space="preserve">'6' ,  </v>
      </c>
    </row>
    <row r="38" spans="1:1">
      <c r="A38" t="str">
        <f>CONCATENATE( "'",      'demo symptoms'!A38,"' ,  ")</f>
        <v xml:space="preserve">'0' ,  </v>
      </c>
    </row>
    <row r="39" spans="1:1">
      <c r="A39" t="str">
        <f>CONCATENATE( "'",      'demo symptoms'!A39,"' ,  ")</f>
        <v xml:space="preserve">'0' ,  </v>
      </c>
    </row>
    <row r="40" spans="1:1">
      <c r="A40" t="str">
        <f>CONCATENATE( "'",      'demo symptoms'!A40,"' ,  ")</f>
        <v xml:space="preserve">'0' ,  </v>
      </c>
    </row>
    <row r="41" spans="1:1">
      <c r="A41" t="str">
        <f>CONCATENATE( "'",      'demo symptoms'!A41,"' ,  ")</f>
        <v xml:space="preserve">'5' ,  </v>
      </c>
    </row>
    <row r="42" spans="1:1">
      <c r="A42" t="str">
        <f>CONCATENATE( "'",      'demo symptoms'!A42,"' ,  ")</f>
        <v xml:space="preserve">'0' ,  </v>
      </c>
    </row>
    <row r="43" spans="1:1">
      <c r="A43" t="str">
        <f>CONCATENATE( "'",      'demo symptoms'!A43,"' ,  ")</f>
        <v xml:space="preserve">'0' ,  </v>
      </c>
    </row>
    <row r="44" spans="1:1">
      <c r="A44" t="str">
        <f>CONCATENATE( "'",      'demo symptoms'!A44,"' ,  ")</f>
        <v xml:space="preserve">'0' ,  </v>
      </c>
    </row>
    <row r="45" spans="1:1">
      <c r="A45" t="str">
        <f>CONCATENATE( "'",      'demo symptoms'!A45,"' ,  ")</f>
        <v xml:space="preserve">'0' ,  </v>
      </c>
    </row>
    <row r="46" spans="1:1">
      <c r="A46" t="str">
        <f>CONCATENATE( "'",      'demo symptoms'!A46,"' ,  ")</f>
        <v xml:space="preserve">'0' ,  </v>
      </c>
    </row>
    <row r="47" spans="1:1">
      <c r="A47" t="str">
        <f>CONCATENATE( "'",      'demo symptoms'!A47,"' ,  ")</f>
        <v xml:space="preserve">'0' ,  </v>
      </c>
    </row>
    <row r="48" spans="1:1">
      <c r="A48" t="str">
        <f>CONCATENATE( "'",      'demo symptoms'!A48,"' ,  ")</f>
        <v xml:space="preserve">'0' ,  </v>
      </c>
    </row>
    <row r="49" spans="1:1">
      <c r="A49" t="str">
        <f>CONCATENATE( "'",      'demo symptoms'!A49,"' ,  ")</f>
        <v xml:space="preserve">'0' ,  </v>
      </c>
    </row>
    <row r="50" spans="1:1">
      <c r="A50" t="str">
        <f>CONCATENATE( "'",      'demo symptoms'!A50,"' ,  ")</f>
        <v xml:space="preserve">'0' ,  </v>
      </c>
    </row>
    <row r="51" spans="1:1">
      <c r="A51" t="str">
        <f>CONCATENATE( "'",      'demo symptoms'!A51,"' ,  ")</f>
        <v xml:space="preserve">'0' ,  </v>
      </c>
    </row>
    <row r="52" spans="1:1">
      <c r="A52" t="str">
        <f>CONCATENATE( "'",      'demo symptoms'!A52,"' ,  ")</f>
        <v xml:space="preserve">'0' ,  </v>
      </c>
    </row>
    <row r="53" spans="1:1">
      <c r="A53" t="str">
        <f>CONCATENATE( "'",      'demo symptoms'!A53,"' ,  ")</f>
        <v xml:space="preserve">'0' ,  </v>
      </c>
    </row>
    <row r="54" spans="1:1">
      <c r="A54" t="str">
        <f>CONCATENATE( "'",      'demo symptoms'!A54,"' ,  ")</f>
        <v xml:space="preserve">'0' ,  </v>
      </c>
    </row>
    <row r="55" spans="1:1">
      <c r="A55" t="str">
        <f>CONCATENATE( "'",      'demo symptoms'!A55,"' ,  ")</f>
        <v xml:space="preserve">'5' ,  </v>
      </c>
    </row>
    <row r="56" spans="1:1">
      <c r="A56" t="str">
        <f>CONCATENATE( "'",      'demo symptoms'!A56,"' ,  ")</f>
        <v xml:space="preserve">'0' ,  </v>
      </c>
    </row>
    <row r="57" spans="1:1">
      <c r="A57" t="str">
        <f>CONCATENATE( "'",      'demo symptoms'!A57,"' ,  ")</f>
        <v xml:space="preserve">'0' ,  </v>
      </c>
    </row>
    <row r="58" spans="1:1">
      <c r="A58" t="str">
        <f>CONCATENATE( "'",      'demo symptoms'!A58,"' ,  ")</f>
        <v xml:space="preserve">'0' ,  </v>
      </c>
    </row>
    <row r="59" spans="1:1">
      <c r="A59" t="str">
        <f>CONCATENATE( "'",      'demo symptoms'!A59,"' ,  ")</f>
        <v xml:space="preserve">'0' ,  </v>
      </c>
    </row>
    <row r="60" spans="1:1">
      <c r="A60" t="str">
        <f>CONCATENATE( "'",      'demo symptoms'!A60,"' ,  ")</f>
        <v xml:space="preserve">'0' ,  </v>
      </c>
    </row>
    <row r="61" spans="1:1">
      <c r="A61" t="str">
        <f>CONCATENATE( "'",      'demo symptoms'!A61,"' ,  ")</f>
        <v xml:space="preserve">'6' ,  </v>
      </c>
    </row>
    <row r="62" spans="1:1">
      <c r="A62" t="str">
        <f>CONCATENATE( "'",      'demo symptoms'!A62,"' ,  ")</f>
        <v xml:space="preserve">'0' ,  </v>
      </c>
    </row>
    <row r="63" spans="1:1">
      <c r="A63" t="str">
        <f>CONCATENATE( "'",      'demo symptoms'!A63,"' ,  ")</f>
        <v xml:space="preserve">'0' ,  </v>
      </c>
    </row>
    <row r="64" spans="1:1">
      <c r="A64" t="str">
        <f>CONCATENATE( "'",      'demo symptoms'!A64,"' ,  ")</f>
        <v xml:space="preserve">'5' ,  </v>
      </c>
    </row>
    <row r="65" spans="1:1">
      <c r="A65" t="str">
        <f>CONCATENATE( "'",      'demo symptoms'!A65,"' ,  ")</f>
        <v xml:space="preserve">'0' ,  </v>
      </c>
    </row>
    <row r="66" spans="1:1">
      <c r="A66" t="str">
        <f>CONCATENATE( "'",      'demo symptoms'!A66,"' ,  ")</f>
        <v xml:space="preserve">'0' ,  </v>
      </c>
    </row>
    <row r="67" spans="1:1">
      <c r="A67" t="str">
        <f>CONCATENATE( "'",      'demo symptoms'!A67,"' ,  ")</f>
        <v xml:space="preserve">'0' ,  </v>
      </c>
    </row>
    <row r="68" spans="1:1">
      <c r="A68" t="str">
        <f>CONCATENATE( "'",      'demo symptoms'!A68,"' ,  ")</f>
        <v xml:space="preserve">'0' ,  </v>
      </c>
    </row>
    <row r="69" spans="1:1">
      <c r="A69" t="str">
        <f>CONCATENATE( "'",      'demo symptoms'!A69,"' ,  ")</f>
        <v xml:space="preserve">'0' ,  </v>
      </c>
    </row>
    <row r="70" spans="1:1">
      <c r="A70" t="str">
        <f>CONCATENATE( "'",      'demo symptoms'!A70,"' ,  ")</f>
        <v xml:space="preserve">'0' ,  </v>
      </c>
    </row>
    <row r="71" spans="1:1">
      <c r="A71" t="str">
        <f>CONCATENATE( "'",      'demo symptoms'!A71,"' ,  ")</f>
        <v xml:space="preserve">'0' ,  </v>
      </c>
    </row>
    <row r="72" spans="1:1">
      <c r="A72" t="str">
        <f>CONCATENATE( "'",      'demo symptoms'!A72,"' ,  ")</f>
        <v xml:space="preserve">'0' ,  </v>
      </c>
    </row>
    <row r="73" spans="1:1">
      <c r="A73" t="str">
        <f>CONCATENATE( "'",      'demo symptoms'!A73,"' ,  ")</f>
        <v xml:space="preserve">'0' ,  </v>
      </c>
    </row>
    <row r="74" spans="1:1">
      <c r="A74" t="str">
        <f>CONCATENATE( "'",      'demo symptoms'!A74,"' ,  ")</f>
        <v xml:space="preserve">'0' ,  </v>
      </c>
    </row>
    <row r="75" spans="1:1">
      <c r="A75" t="str">
        <f>CONCATENATE( "'",      'demo symptoms'!A75,"' ,  ")</f>
        <v xml:space="preserve">'0' ,  </v>
      </c>
    </row>
    <row r="76" spans="1:1">
      <c r="A76" t="str">
        <f>CONCATENATE( "'",      'demo symptoms'!A76,"' ,  ")</f>
        <v xml:space="preserve">'0' ,  </v>
      </c>
    </row>
    <row r="77" spans="1:1">
      <c r="A77" t="str">
        <f>CONCATENATE( "'",      'demo symptoms'!A77,"' ,  ")</f>
        <v xml:space="preserve">'0' ,  </v>
      </c>
    </row>
    <row r="78" spans="1:1">
      <c r="A78" t="str">
        <f>CONCATENATE( "'",      'demo symptoms'!A78,"' ,  ")</f>
        <v xml:space="preserve">'0' ,  </v>
      </c>
    </row>
    <row r="79" spans="1:1">
      <c r="A79" t="str">
        <f>CONCATENATE( "'",      'demo symptoms'!A79,"' ,  ")</f>
        <v xml:space="preserve">'0' ,  </v>
      </c>
    </row>
    <row r="80" spans="1:1">
      <c r="A80" t="str">
        <f>CONCATENATE( "'",      'demo symptoms'!A80,"' ,  ")</f>
        <v xml:space="preserve">'0' ,  </v>
      </c>
    </row>
    <row r="81" spans="1:1">
      <c r="A81" t="str">
        <f>CONCATENATE( "'",      'demo symptoms'!A81,"' ,  ")</f>
        <v xml:space="preserve">'0' ,  </v>
      </c>
    </row>
    <row r="82" spans="1:1">
      <c r="A82" t="str">
        <f>CONCATENATE( "'",      'demo symptoms'!A82,"' ,  ")</f>
        <v xml:space="preserve">'0' ,  </v>
      </c>
    </row>
    <row r="83" spans="1:1">
      <c r="A83" t="str">
        <f>CONCATENATE( "'",      'demo symptoms'!A83,"' ,  ")</f>
        <v xml:space="preserve">'0' ,  </v>
      </c>
    </row>
    <row r="84" spans="1:1">
      <c r="A84" t="str">
        <f>CONCATENATE( "'",      'demo symptoms'!A84,"' ,  ")</f>
        <v xml:space="preserve">'0' ,  </v>
      </c>
    </row>
    <row r="85" spans="1:1">
      <c r="A85" t="str">
        <f>CONCATENATE( "'",      'demo symptoms'!A85,"' ,  ")</f>
        <v xml:space="preserve">'0' ,  </v>
      </c>
    </row>
    <row r="86" spans="1:1">
      <c r="A86" t="str">
        <f>CONCATENATE( "'",      'demo symptoms'!A86,"' ,  ")</f>
        <v xml:space="preserve">'0' ,  </v>
      </c>
    </row>
    <row r="87" spans="1:1">
      <c r="A87" t="str">
        <f>CONCATENATE( "'",      'demo symptoms'!A87,"' ,  ")</f>
        <v xml:space="preserve">'0' ,  </v>
      </c>
    </row>
    <row r="88" spans="1:1">
      <c r="A88" t="str">
        <f>CONCATENATE( "'",      'demo symptoms'!A88,"' ,  ")</f>
        <v xml:space="preserve">'0' ,  </v>
      </c>
    </row>
    <row r="89" spans="1:1">
      <c r="A89" t="str">
        <f>CONCATENATE( "'",      'demo symptoms'!A89,"' ,  ")</f>
        <v xml:space="preserve">'0' ,  </v>
      </c>
    </row>
    <row r="90" spans="1:1">
      <c r="A90" t="str">
        <f>CONCATENATE( "'",      'demo symptoms'!A90,"' ,  ")</f>
        <v xml:space="preserve">'0' ,  </v>
      </c>
    </row>
    <row r="91" spans="1:1">
      <c r="A91" t="str">
        <f>CONCATENATE( "'",      'demo symptoms'!A91,"' ,  ")</f>
        <v xml:space="preserve">'0' ,  </v>
      </c>
    </row>
    <row r="92" spans="1:1">
      <c r="A92" t="str">
        <f>CONCATENATE( "'",      'demo symptoms'!A92,"' ,  ")</f>
        <v xml:space="preserve">'0' ,  </v>
      </c>
    </row>
    <row r="93" spans="1:1">
      <c r="A93" t="str">
        <f>CONCATENATE( "'",      'demo symptoms'!A93,"' ,  ")</f>
        <v xml:space="preserve">'0' ,  </v>
      </c>
    </row>
    <row r="94" spans="1:1">
      <c r="A94" t="str">
        <f>CONCATENATE( "'",      'demo symptoms'!A94,"' ,  ")</f>
        <v xml:space="preserve">'0' ,  </v>
      </c>
    </row>
    <row r="95" spans="1:1">
      <c r="A95" t="str">
        <f>CONCATENATE( "'",      'demo symptoms'!A95,"' ,  ")</f>
        <v xml:space="preserve">'0' ,  </v>
      </c>
    </row>
    <row r="96" spans="1:1">
      <c r="A96" t="str">
        <f>CONCATENATE( "'",      'demo symptoms'!A96,"' ,  ")</f>
        <v xml:space="preserve">'0' ,  </v>
      </c>
    </row>
    <row r="97" spans="1:1">
      <c r="A97" t="str">
        <f>CONCATENATE( "'",      'demo symptoms'!A97,"' ,  ")</f>
        <v xml:space="preserve">'0' ,  </v>
      </c>
    </row>
    <row r="98" spans="1:1">
      <c r="A98" t="str">
        <f>CONCATENATE( "'",      'demo symptoms'!A98,"' ,  ")</f>
        <v xml:space="preserve">'0' ,  </v>
      </c>
    </row>
    <row r="99" spans="1:1">
      <c r="A99" t="str">
        <f>CONCATENATE( "'",      'demo symptoms'!A99,"' ,  ")</f>
        <v xml:space="preserve">'0' ,  </v>
      </c>
    </row>
    <row r="100" spans="1:1">
      <c r="A100" t="str">
        <f>CONCATENATE( "'",      'demo symptoms'!A100,"' ,  ")</f>
        <v xml:space="preserve">'0' ,  </v>
      </c>
    </row>
    <row r="101" spans="1:1">
      <c r="A101" t="str">
        <f>CONCATENATE( "'",      'demo symptoms'!A101,"' ,  ")</f>
        <v xml:space="preserve">'0' ,  </v>
      </c>
    </row>
    <row r="102" spans="1:1">
      <c r="A102" t="str">
        <f>CONCATENATE( "'",      'demo symptoms'!A102,"' ,  ")</f>
        <v xml:space="preserve">'0' ,  </v>
      </c>
    </row>
    <row r="103" spans="1:1">
      <c r="A103" t="str">
        <f>CONCATENATE( "'",      'demo symptoms'!A103,"' ,  ")</f>
        <v xml:space="preserve">'0' ,  </v>
      </c>
    </row>
    <row r="104" spans="1:1">
      <c r="A104" t="str">
        <f>CONCATENATE( "'",      'demo symptoms'!A104,"' ,  ")</f>
        <v xml:space="preserve">'0' ,  </v>
      </c>
    </row>
    <row r="105" spans="1:1">
      <c r="A105" t="str">
        <f>CONCATENATE( "'",      'demo symptoms'!A105,"' ,  ")</f>
        <v xml:space="preserve">'0' ,  </v>
      </c>
    </row>
    <row r="106" spans="1:1">
      <c r="A106" t="str">
        <f>CONCATENATE( "'",      'demo symptoms'!A106,"' ,  ")</f>
        <v xml:space="preserve">'0' ,  </v>
      </c>
    </row>
    <row r="107" spans="1:1">
      <c r="A107" t="str">
        <f>CONCATENATE( "'",      'demo symptoms'!A107,"' ,  ")</f>
        <v xml:space="preserve">'0' ,  </v>
      </c>
    </row>
    <row r="108" spans="1:1">
      <c r="A108" t="str">
        <f>CONCATENATE( "'",      'demo symptoms'!A108,"' ,  ")</f>
        <v xml:space="preserve">'0' ,  </v>
      </c>
    </row>
    <row r="109" spans="1:1">
      <c r="A109" t="str">
        <f>CONCATENATE( "'",      'demo symptoms'!A109,"' ,  ")</f>
        <v xml:space="preserve">'0' ,  </v>
      </c>
    </row>
    <row r="110" spans="1:1">
      <c r="A110" t="str">
        <f>CONCATENATE( "'",      'demo symptoms'!A110,"' ,  ")</f>
        <v xml:space="preserve">'0' ,  </v>
      </c>
    </row>
    <row r="111" spans="1:1">
      <c r="A111" t="str">
        <f>CONCATENATE( "'",      'demo symptoms'!A111,"' ,  ")</f>
        <v xml:space="preserve">'0' ,  </v>
      </c>
    </row>
    <row r="112" spans="1:1">
      <c r="A112" t="str">
        <f>CONCATENATE( "'",      'demo symptoms'!A112,"' ,  ")</f>
        <v xml:space="preserve">'0' ,  </v>
      </c>
    </row>
    <row r="113" spans="1:1">
      <c r="A113" t="str">
        <f>CONCATENATE( "'",      'demo symptoms'!A113,"' ,  ")</f>
        <v xml:space="preserve">'0' ,  </v>
      </c>
    </row>
    <row r="114" spans="1:1">
      <c r="A114" t="str">
        <f>CONCATENATE( "'",      'demo symptoms'!A114,"' ,  ")</f>
        <v xml:space="preserve">'0' ,  </v>
      </c>
    </row>
    <row r="115" spans="1:1">
      <c r="A115" t="str">
        <f>CONCATENATE( "'",      'demo symptoms'!A115,"' ,  ")</f>
        <v xml:space="preserve">'0' ,  </v>
      </c>
    </row>
    <row r="116" spans="1:1">
      <c r="A116" t="str">
        <f>CONCATENATE( "'",      'demo symptoms'!A116,"' ,  ")</f>
        <v xml:space="preserve">'0' ,  </v>
      </c>
    </row>
    <row r="117" spans="1:1">
      <c r="A117" t="str">
        <f>CONCATENATE( "'",      'demo symptoms'!A117,"' ,  ")</f>
        <v xml:space="preserve">'0' ,  </v>
      </c>
    </row>
    <row r="118" spans="1:1">
      <c r="A118" t="str">
        <f>CONCATENATE( "'",      'demo symptoms'!A118,"' ,  ")</f>
        <v xml:space="preserve">'0' ,  </v>
      </c>
    </row>
    <row r="119" spans="1:1">
      <c r="A119" t="str">
        <f>CONCATENATE( "'",      'demo symptoms'!A119,"' ,  ")</f>
        <v xml:space="preserve">'0' ,  </v>
      </c>
    </row>
    <row r="120" spans="1:1">
      <c r="A120" t="str">
        <f>CONCATENATE( "'",      'demo symptoms'!A120,"' ,  ")</f>
        <v xml:space="preserve">'0' ,  </v>
      </c>
    </row>
    <row r="121" spans="1:1">
      <c r="A121" t="str">
        <f>CONCATENATE( "'",      'demo symptoms'!A121,"' ,  ")</f>
        <v xml:space="preserve">'0' ,  </v>
      </c>
    </row>
    <row r="122" spans="1:1">
      <c r="A122" t="str">
        <f>CONCATENATE( "'",      'demo symptoms'!A122,"' ,  ")</f>
        <v xml:space="preserve">'0' ,  </v>
      </c>
    </row>
    <row r="123" spans="1:1">
      <c r="A123" t="str">
        <f>CONCATENATE( "'",      'demo symptoms'!A123,"' ,  ")</f>
        <v xml:space="preserve">'0' ,  </v>
      </c>
    </row>
    <row r="124" spans="1:1">
      <c r="A124" t="str">
        <f>CONCATENATE( "'",      'demo symptoms'!A124,"' ,  ")</f>
        <v xml:space="preserve">'0' ,  </v>
      </c>
    </row>
    <row r="125" spans="1:1">
      <c r="A125" t="str">
        <f>CONCATENATE( "'",      'demo symptoms'!A125,"' ,  ")</f>
        <v xml:space="preserve">'0' ,  </v>
      </c>
    </row>
    <row r="126" spans="1:1">
      <c r="A126" t="str">
        <f>CONCATENATE( "'",      'demo symptoms'!A126,"' ,  ")</f>
        <v xml:space="preserve">'0' ,  </v>
      </c>
    </row>
    <row r="127" spans="1:1">
      <c r="A127" t="str">
        <f>CONCATENATE( "'",      'demo symptoms'!A127,"' ,  ")</f>
        <v xml:space="preserve">'0' ,  </v>
      </c>
    </row>
    <row r="128" spans="1:1">
      <c r="A128" t="str">
        <f>CONCATENATE( "'",      'demo symptoms'!A128,"' ,  ")</f>
        <v xml:space="preserve">'0' ,  </v>
      </c>
    </row>
    <row r="129" spans="1:1">
      <c r="A129" t="str">
        <f>CONCATENATE( "'",      'demo symptoms'!A129,"' ,  ")</f>
        <v xml:space="preserve">'0' ,  </v>
      </c>
    </row>
    <row r="130" spans="1:1">
      <c r="A130" t="str">
        <f>CONCATENATE( "'",      'demo symptoms'!A130,"' ,  ")</f>
        <v xml:space="preserve">'0' ,  </v>
      </c>
    </row>
    <row r="131" spans="1:1">
      <c r="A131" t="str">
        <f>CONCATENATE( "'",      'demo symptoms'!A131,"' ,  ")</f>
        <v xml:space="preserve">'3' ,  </v>
      </c>
    </row>
    <row r="132" spans="1:1">
      <c r="A132" t="str">
        <f>CONCATENATE( "'",      'demo symptoms'!A132,"' ,  ")</f>
        <v xml:space="preserve">'0' ,  </v>
      </c>
    </row>
    <row r="133" spans="1:1">
      <c r="A133" t="str">
        <f>CONCATENATE( "'",      'demo symptoms'!A133,"' ,  ")</f>
        <v xml:space="preserve">'0' ,  </v>
      </c>
    </row>
    <row r="134" spans="1:1">
      <c r="A134" t="str">
        <f>CONCATENATE( "'",      'demo symptoms'!A134,"' ,  ")</f>
        <v xml:space="preserve">'7' ,  </v>
      </c>
    </row>
    <row r="135" spans="1:1">
      <c r="A135" t="str">
        <f>CONCATENATE( "'",      'demo symptoms'!A135,"' ,  ")</f>
        <v xml:space="preserve">'0' ,  </v>
      </c>
    </row>
    <row r="136" spans="1:1">
      <c r="A136" t="str">
        <f>CONCATENATE( "'",      'demo symptoms'!A136,"' ,  ")</f>
        <v xml:space="preserve">'0' ,  </v>
      </c>
    </row>
    <row r="137" spans="1:1">
      <c r="A137" t="str">
        <f>CONCATENATE( "'",      'demo symptoms'!A137,"' ,  ")</f>
        <v xml:space="preserve">'0' ,  </v>
      </c>
    </row>
    <row r="138" spans="1:1">
      <c r="A138" t="str">
        <f>CONCATENATE( "'",      'demo symptoms'!A138,"' ,  ")</f>
        <v xml:space="preserve">'0' ,  </v>
      </c>
    </row>
    <row r="139" spans="1:1">
      <c r="A139" t="str">
        <f>CONCATENATE( "'",      'demo symptoms'!A139,"' ,  ")</f>
        <v xml:space="preserve">'0' ,  </v>
      </c>
    </row>
    <row r="140" spans="1:1">
      <c r="A140" t="str">
        <f>CONCATENATE( "'",      'demo symptoms'!A140,"' ,  ")</f>
        <v xml:space="preserve">'0' ,  </v>
      </c>
    </row>
    <row r="141" spans="1:1">
      <c r="A141" t="str">
        <f>CONCATENATE( "'",      'demo symptoms'!A141,"' ,  ")</f>
        <v xml:space="preserve">'0' ,  </v>
      </c>
    </row>
    <row r="142" spans="1:1">
      <c r="A142" t="str">
        <f>CONCATENATE( "'",      'demo symptoms'!A142,"' ,  ")</f>
        <v xml:space="preserve">'0' ,  </v>
      </c>
    </row>
    <row r="143" spans="1:1">
      <c r="A143" t="str">
        <f>CONCATENATE( "'",      'demo symptoms'!A143,"' ,  ")</f>
        <v xml:space="preserve">'0' ,  </v>
      </c>
    </row>
    <row r="144" spans="1:1">
      <c r="A144" t="str">
        <f>CONCATENATE( "'",      'demo symptoms'!A144,"' ,  ")</f>
        <v xml:space="preserve">'0' ,  </v>
      </c>
    </row>
    <row r="145" spans="1:1">
      <c r="A145" t="str">
        <f>CONCATENATE( "'",      'demo symptoms'!A145,"' ,  ")</f>
        <v xml:space="preserve">'0' ,  </v>
      </c>
    </row>
    <row r="146" spans="1:1">
      <c r="A146" t="str">
        <f>CONCATENATE( "'",      'demo symptoms'!A146,"' ,  ")</f>
        <v xml:space="preserve">'0' ,  </v>
      </c>
    </row>
    <row r="147" spans="1:1">
      <c r="A147" t="str">
        <f>CONCATENATE( "'",      'demo symptoms'!A147,"' ,  ")</f>
        <v xml:space="preserve">'0' ,  </v>
      </c>
    </row>
    <row r="148" spans="1:1">
      <c r="A148" t="str">
        <f>CONCATENATE( "'",      'demo symptoms'!A148,"' ,  ")</f>
        <v xml:space="preserve">'0' ,  </v>
      </c>
    </row>
    <row r="149" spans="1:1">
      <c r="A149" t="str">
        <f>CONCATENATE( "'",      'demo symptoms'!A149,"' ,  ")</f>
        <v xml:space="preserve">'0' ,  </v>
      </c>
    </row>
    <row r="150" spans="1:1">
      <c r="A150" t="str">
        <f>CONCATENATE( "'",      'demo symptoms'!A150,"' ,  ")</f>
        <v xml:space="preserve">'0' ,  </v>
      </c>
    </row>
    <row r="151" spans="1:1">
      <c r="A151" t="str">
        <f>CONCATENATE( "'",      'demo symptoms'!A151,"' ,  ")</f>
        <v xml:space="preserve">'0' ,  </v>
      </c>
    </row>
    <row r="152" spans="1:1">
      <c r="A152" t="str">
        <f>CONCATENATE( "'",      'demo symptoms'!A152,"' ,  ")</f>
        <v xml:space="preserve">'0' ,  </v>
      </c>
    </row>
    <row r="153" spans="1:1">
      <c r="A153" t="str">
        <f>CONCATENATE( "'",      'demo symptoms'!A153,"' ,  ")</f>
        <v xml:space="preserve">'0' ,  </v>
      </c>
    </row>
    <row r="154" spans="1:1">
      <c r="A154" t="str">
        <f>CONCATENATE( "'",      'demo symptoms'!A154,"' ,  ")</f>
        <v xml:space="preserve">'0' ,  </v>
      </c>
    </row>
    <row r="155" spans="1:1">
      <c r="A155" t="str">
        <f>CONCATENATE( "'",      'demo symptoms'!A155,"' ,  ")</f>
        <v xml:space="preserve">'0' ,  </v>
      </c>
    </row>
    <row r="156" spans="1:1">
      <c r="A156" t="str">
        <f>CONCATENATE( "'",      'demo symptoms'!A156,"' ,  ")</f>
        <v xml:space="preserve">'0' ,  </v>
      </c>
    </row>
    <row r="157" spans="1:1">
      <c r="A157" t="str">
        <f>CONCATENATE( "'",      'demo symptoms'!A157,"' ,  ")</f>
        <v xml:space="preserve">'0' ,  </v>
      </c>
    </row>
    <row r="158" spans="1:1">
      <c r="A158" t="str">
        <f>CONCATENATE( "'",      'demo symptoms'!A158,"' ,  ")</f>
        <v xml:space="preserve">'0' ,  </v>
      </c>
    </row>
    <row r="159" spans="1:1">
      <c r="A159" t="str">
        <f>CONCATENATE( "'",      'demo symptoms'!A159,"' ,  ")</f>
        <v xml:space="preserve">'0' ,  </v>
      </c>
    </row>
    <row r="160" spans="1:1">
      <c r="A160" t="str">
        <f>CONCATENATE( "'",      'demo symptoms'!A160,"' ,  ")</f>
        <v xml:space="preserve">'0' ,  </v>
      </c>
    </row>
    <row r="161" spans="1:1">
      <c r="A161" t="str">
        <f>CONCATENATE( "'",      'demo symptoms'!A161,"' ,  ")</f>
        <v xml:space="preserve">'0' ,  </v>
      </c>
    </row>
    <row r="162" spans="1:1">
      <c r="A162" t="str">
        <f>CONCATENATE( "'",      'demo symptoms'!A162,"' ,  ")</f>
        <v xml:space="preserve">'0' ,  </v>
      </c>
    </row>
    <row r="163" spans="1:1">
      <c r="A163" t="str">
        <f>CONCATENATE( "'",      'demo symptoms'!A163,"' ,  ")</f>
        <v xml:space="preserve">'0' ,  </v>
      </c>
    </row>
    <row r="164" spans="1:1">
      <c r="A164" t="str">
        <f>CONCATENATE( "'",      'demo symptoms'!A164,"' ,  ")</f>
        <v xml:space="preserve">'0' ,  </v>
      </c>
    </row>
    <row r="165" spans="1:1">
      <c r="A165" t="str">
        <f>CONCATENATE( "'",      'demo symptoms'!A165,"' ,  ")</f>
        <v xml:space="preserve">'0' ,  </v>
      </c>
    </row>
    <row r="166" spans="1:1">
      <c r="A166" t="str">
        <f>CONCATENATE( "'",      'demo symptoms'!A166,"' ,  ")</f>
        <v xml:space="preserve">'0' ,  </v>
      </c>
    </row>
    <row r="167" spans="1:1">
      <c r="A167" t="str">
        <f>CONCATENATE( "'",      'demo symptoms'!A167,"' ,  ")</f>
        <v xml:space="preserve">'0' ,  </v>
      </c>
    </row>
    <row r="168" spans="1:1">
      <c r="A168" t="str">
        <f>CONCATENATE( "'",      'demo symptoms'!A168,"' ,  ")</f>
        <v xml:space="preserve">'0' ,  </v>
      </c>
    </row>
    <row r="169" spans="1:1">
      <c r="A169" t="str">
        <f>CONCATENATE( "'",      'demo symptoms'!A169,"' ,  ")</f>
        <v xml:space="preserve">'0' ,  </v>
      </c>
    </row>
    <row r="170" spans="1:1">
      <c r="A170" t="str">
        <f>CONCATENATE( "'",      'demo symptoms'!A170,"' ,  ")</f>
        <v xml:space="preserve">'0' ,  </v>
      </c>
    </row>
    <row r="171" spans="1:1">
      <c r="A171" t="str">
        <f>CONCATENATE( "'",      'demo symptoms'!A171,"' ,  ")</f>
        <v xml:space="preserve">'0' ,  </v>
      </c>
    </row>
    <row r="172" spans="1:1">
      <c r="A172" t="str">
        <f>CONCATENATE( "'",      'demo symptoms'!A172,"' ,  ")</f>
        <v xml:space="preserve">'0' ,  </v>
      </c>
    </row>
    <row r="173" spans="1:1">
      <c r="A173" t="str">
        <f>CONCATENATE( "'",      'demo symptoms'!A173,"' ,  ")</f>
        <v xml:space="preserve">'0' ,  </v>
      </c>
    </row>
    <row r="174" spans="1:1">
      <c r="A174" t="str">
        <f>CONCATENATE( "'",      'demo symptoms'!A174,"' ,  ")</f>
        <v xml:space="preserve">'0' ,  </v>
      </c>
    </row>
    <row r="175" spans="1:1">
      <c r="A175" t="str">
        <f>CONCATENATE( "'",      'demo symptoms'!A175,"' ,  ")</f>
        <v xml:space="preserve">'0' ,  </v>
      </c>
    </row>
    <row r="176" spans="1:1">
      <c r="A176" t="str">
        <f>CONCATENATE( "'",      'demo symptoms'!A176,"' ,  ")</f>
        <v xml:space="preserve">'0' ,  </v>
      </c>
    </row>
    <row r="177" spans="1:1">
      <c r="A177" t="str">
        <f>CONCATENATE( "'",      'demo symptoms'!A177,"' ,  ")</f>
        <v xml:space="preserve">'0' ,  </v>
      </c>
    </row>
    <row r="178" spans="1:1">
      <c r="A178" t="str">
        <f>CONCATENATE( "'",      'demo symptoms'!A178,"' ,  ")</f>
        <v xml:space="preserve">'0' ,  </v>
      </c>
    </row>
    <row r="179" spans="1:1">
      <c r="A179" t="str">
        <f>CONCATENATE( "'",      'demo symptoms'!A179,"' ,  ")</f>
        <v xml:space="preserve">'0' ,  </v>
      </c>
    </row>
    <row r="180" spans="1:1">
      <c r="A180" t="str">
        <f>CONCATENATE( "'",      'demo symptoms'!A180,"' ,  ")</f>
        <v xml:space="preserve">'0' ,  </v>
      </c>
    </row>
    <row r="181" spans="1:1">
      <c r="A181" t="str">
        <f>CONCATENATE( "'",      'demo symptoms'!A181,"' ,  ")</f>
        <v xml:space="preserve">'0' ,  </v>
      </c>
    </row>
    <row r="182" spans="1:1">
      <c r="A182" t="str">
        <f>CONCATENATE( "'",      'demo symptoms'!A182,"' ,  ")</f>
        <v xml:space="preserve">'0' ,  </v>
      </c>
    </row>
    <row r="183" spans="1:1">
      <c r="A183" t="str">
        <f>CONCATENATE( "'",      'demo symptoms'!A183,"' ,  ")</f>
        <v xml:space="preserve">'0' ,  </v>
      </c>
    </row>
    <row r="184" spans="1:1">
      <c r="A184" t="str">
        <f>CONCATENATE( "'",      'demo symptoms'!A184,"' ,  ")</f>
        <v xml:space="preserve">'3' ,  </v>
      </c>
    </row>
    <row r="185" spans="1:1">
      <c r="A185" t="str">
        <f>CONCATENATE( "'",      'demo symptoms'!A185,"' ,  ")</f>
        <v xml:space="preserve">'0' ,  </v>
      </c>
    </row>
    <row r="186" spans="1:1">
      <c r="A186" t="str">
        <f>CONCATENATE( "'",      'demo symptoms'!A186,"' ,  ")</f>
        <v xml:space="preserve">'0' ,  </v>
      </c>
    </row>
    <row r="187" spans="1:1">
      <c r="A187" t="str">
        <f>CONCATENATE( "'",      'demo symptoms'!A187,"' ,  ")</f>
        <v xml:space="preserve">'0' ,  </v>
      </c>
    </row>
    <row r="188" spans="1:1">
      <c r="A188" t="str">
        <f>CONCATENATE( "'",      'demo symptoms'!A188,"' ,  ")</f>
        <v xml:space="preserve">'5' ,  </v>
      </c>
    </row>
    <row r="189" spans="1:1">
      <c r="A189" t="str">
        <f>CONCATENATE( "'",      'demo symptoms'!A189,"' ,  ")</f>
        <v xml:space="preserve">'0' ,  </v>
      </c>
    </row>
    <row r="190" spans="1:1">
      <c r="A190" t="str">
        <f>CONCATENATE( "'",      'demo symptoms'!A190,"' ,  ")</f>
        <v xml:space="preserve">'7' ,  </v>
      </c>
    </row>
    <row r="191" spans="1:1">
      <c r="A191" t="str">
        <f>CONCATENATE( "'",      'demo symptoms'!A191,"' ,  ")</f>
        <v xml:space="preserve">'0' ,  </v>
      </c>
    </row>
    <row r="192" spans="1:1">
      <c r="A192" t="str">
        <f>CONCATENATE( "'",      'demo symptoms'!A192,"' ,  ")</f>
        <v xml:space="preserve">'0' ,  </v>
      </c>
    </row>
    <row r="193" spans="1:1">
      <c r="A193" t="str">
        <f>CONCATENATE( "'",      'demo symptoms'!A193,"' ,  ")</f>
        <v xml:space="preserve">'0' ,  </v>
      </c>
    </row>
    <row r="194" spans="1:1">
      <c r="A194" t="str">
        <f>CONCATENATE( "'",      'demo symptoms'!A194,"' ,  ")</f>
        <v xml:space="preserve">'0' ,  </v>
      </c>
    </row>
    <row r="195" spans="1:1">
      <c r="A195" t="str">
        <f>CONCATENATE( "'",      'demo symptoms'!A195,"' ,  ")</f>
        <v xml:space="preserve">'0' ,  </v>
      </c>
    </row>
    <row r="196" spans="1:1">
      <c r="A196" t="str">
        <f>CONCATENATE( "'",      'demo symptoms'!A196,"' ,  ")</f>
        <v xml:space="preserve">'0' ,  </v>
      </c>
    </row>
    <row r="197" spans="1:1">
      <c r="A197" t="str">
        <f>CONCATENATE( "'",      'demo symptoms'!A197,"' ,  ")</f>
        <v xml:space="preserve">'0' ,  </v>
      </c>
    </row>
    <row r="198" spans="1:1">
      <c r="A198" t="str">
        <f>CONCATENATE( "'",      'demo symptoms'!A198,"' ,  ")</f>
        <v xml:space="preserve">'0' ,  </v>
      </c>
    </row>
    <row r="199" spans="1:1">
      <c r="A199" t="str">
        <f>CONCATENATE( "'",      'demo symptoms'!A199,"' ,  ")</f>
        <v xml:space="preserve">'0' ,  </v>
      </c>
    </row>
    <row r="200" spans="1:1">
      <c r="A200" t="str">
        <f>CONCATENATE( "'",      'demo symptoms'!A200,"' ,  ")</f>
        <v xml:space="preserve">'4' ,  </v>
      </c>
    </row>
    <row r="201" spans="1:1">
      <c r="A201" t="str">
        <f>CONCATENATE( "'",      'demo symptoms'!A201,"' ,  ")</f>
        <v xml:space="preserve">'0' ,  </v>
      </c>
    </row>
    <row r="202" spans="1:1">
      <c r="A202" t="str">
        <f>CONCATENATE( "'",      'demo symptoms'!A202,"' ,  ")</f>
        <v xml:space="preserve">'5' ,  </v>
      </c>
    </row>
    <row r="203" spans="1:1">
      <c r="A203" t="str">
        <f>CONCATENATE( "'",      'demo symptoms'!A203,"' ,  ")</f>
        <v xml:space="preserve">'0' ,  </v>
      </c>
    </row>
    <row r="204" spans="1:1">
      <c r="A204" t="str">
        <f>CONCATENATE( "'",      'demo symptoms'!A204,"' ,  ")</f>
        <v xml:space="preserve">'0' ,  </v>
      </c>
    </row>
    <row r="205" spans="1:1">
      <c r="A205" t="str">
        <f>CONCATENATE( "'",      'demo symptoms'!A205,"' ,  ")</f>
        <v xml:space="preserve">'0' ,  </v>
      </c>
    </row>
    <row r="206" spans="1:1">
      <c r="A206" t="str">
        <f>CONCATENATE( "'",      'demo symptoms'!A206,"' ,  ")</f>
        <v xml:space="preserve">'0' ,  </v>
      </c>
    </row>
    <row r="207" spans="1:1">
      <c r="A207" t="str">
        <f>CONCATENATE( "'",      'demo symptoms'!A207,"' ,  ")</f>
        <v xml:space="preserve">'0' ,  </v>
      </c>
    </row>
    <row r="208" spans="1:1">
      <c r="A208" t="str">
        <f>CONCATENATE( "'",      'demo symptoms'!A208,"' ,  ")</f>
        <v xml:space="preserve">'0' ,  </v>
      </c>
    </row>
    <row r="209" spans="1:1">
      <c r="A209" t="str">
        <f>CONCATENATE( "'",      'demo symptoms'!A209,"' ,  ")</f>
        <v xml:space="preserve">'0' ,  </v>
      </c>
    </row>
    <row r="210" spans="1:1">
      <c r="A210" t="str">
        <f>CONCATENATE( "'",      'demo symptoms'!A210,"' ,  ")</f>
        <v xml:space="preserve">'0' ,  </v>
      </c>
    </row>
    <row r="211" spans="1:1">
      <c r="A211" t="str">
        <f>CONCATENATE( "'",      'demo symptoms'!A211,"' ,  ")</f>
        <v xml:space="preserve">'2' ,  </v>
      </c>
    </row>
    <row r="212" spans="1:1">
      <c r="A212" t="str">
        <f>CONCATENATE( "'",      'demo symptoms'!A212,"' ,  ")</f>
        <v xml:space="preserve">'0' ,  </v>
      </c>
    </row>
    <row r="213" spans="1:1">
      <c r="A213" t="str">
        <f>CONCATENATE( "'",      'demo symptoms'!A213,"' ,  ")</f>
        <v xml:space="preserve">'0' ,  </v>
      </c>
    </row>
    <row r="214" spans="1:1">
      <c r="A214" t="str">
        <f>CONCATENATE( "'",      'demo symptoms'!A214,"' ,  ")</f>
        <v xml:space="preserve">'0' ,  </v>
      </c>
    </row>
    <row r="215" spans="1:1">
      <c r="A215" t="str">
        <f>CONCATENATE( "'",      'demo symptoms'!A215,"' ,  ")</f>
        <v xml:space="preserve">'0' ,  </v>
      </c>
    </row>
    <row r="216" spans="1:1">
      <c r="A216" t="str">
        <f>CONCATENATE( "'",      'demo symptoms'!A216,"' ,  ")</f>
        <v xml:space="preserve">'0' ,  </v>
      </c>
    </row>
    <row r="217" spans="1:1">
      <c r="A217" t="str">
        <f>CONCATENATE( "'",      'demo symptoms'!A217,"' ,  ")</f>
        <v xml:space="preserve">'0' ,  </v>
      </c>
    </row>
    <row r="218" spans="1:1">
      <c r="A218" t="str">
        <f>CONCATENATE( "'",      'demo symptoms'!A218,"' ,  ")</f>
        <v xml:space="preserve">'0' ,  </v>
      </c>
    </row>
    <row r="219" spans="1:1">
      <c r="A219" t="str">
        <f>CONCATENATE( "'",      'demo symptoms'!A219,"' ,  ")</f>
        <v xml:space="preserve">'0' ,  </v>
      </c>
    </row>
    <row r="220" spans="1:1">
      <c r="A220" t="str">
        <f>CONCATENATE( "'",      'demo symptoms'!A220,"' ,  ")</f>
        <v xml:space="preserve">'0' ,  </v>
      </c>
    </row>
    <row r="221" spans="1:1">
      <c r="A221" t="str">
        <f>CONCATENATE( "'",      'demo symptoms'!A221,"' ,  ")</f>
        <v xml:space="preserve">'0' ,  </v>
      </c>
    </row>
    <row r="222" spans="1:1">
      <c r="A222" t="str">
        <f>CONCATENATE( "'",      'demo symptoms'!A222,"' ,  ")</f>
        <v xml:space="preserve">'0' ,  </v>
      </c>
    </row>
    <row r="223" spans="1:1">
      <c r="A223" t="str">
        <f>CONCATENATE( "'",      'demo symptoms'!A223,"' ,  ")</f>
        <v xml:space="preserve">'0' ,  </v>
      </c>
    </row>
    <row r="224" spans="1:1">
      <c r="A224" t="str">
        <f>CONCATENATE( "'",      'demo symptoms'!A224,"' ,  ")</f>
        <v xml:space="preserve">'0' ,  </v>
      </c>
    </row>
    <row r="225" spans="1:1">
      <c r="A225" t="str">
        <f>CONCATENATE( "'",      'demo symptoms'!A225,"' ,  ")</f>
        <v xml:space="preserve">'0' ,  </v>
      </c>
    </row>
    <row r="226" spans="1:1">
      <c r="A226" t="str">
        <f>CONCATENATE( "'",      'demo symptoms'!A226,"' ,  ")</f>
        <v xml:space="preserve">'0' ,  </v>
      </c>
    </row>
    <row r="227" spans="1:1">
      <c r="A227" t="str">
        <f>CONCATENATE( "'",      'demo symptoms'!A227,"' ,  ")</f>
        <v xml:space="preserve">'0' ,  </v>
      </c>
    </row>
    <row r="228" spans="1:1">
      <c r="A228" t="str">
        <f>CONCATENATE( "'",      'demo symptoms'!A228,"' ,  ")</f>
        <v xml:space="preserve">'0' ,  </v>
      </c>
    </row>
    <row r="229" spans="1:1">
      <c r="A229" t="str">
        <f>CONCATENATE( "'",      'demo symptoms'!A229,"' ,  ")</f>
        <v xml:space="preserve">'0' ,  </v>
      </c>
    </row>
    <row r="230" spans="1:1">
      <c r="A230" t="str">
        <f>CONCATENATE( "'",      'demo symptoms'!A230,"' ,  ")</f>
        <v xml:space="preserve">'0' ,  </v>
      </c>
    </row>
    <row r="231" spans="1:1">
      <c r="A231" t="str">
        <f>CONCATENATE( "'",      'demo symptoms'!A231,"' ,  ")</f>
        <v xml:space="preserve">'0' ,  </v>
      </c>
    </row>
    <row r="232" spans="1:1">
      <c r="A232" t="str">
        <f>CONCATENATE( "'",      'demo symptoms'!A232,"' ,  ")</f>
        <v xml:space="preserve">'0' ,  </v>
      </c>
    </row>
    <row r="233" spans="1:1">
      <c r="A233" t="str">
        <f>CONCATENATE( "'",      'demo symptoms'!A233,"' ,  ")</f>
        <v xml:space="preserve">'0' ,  </v>
      </c>
    </row>
    <row r="234" spans="1:1">
      <c r="A234" t="str">
        <f>CONCATENATE( "'",      'demo symptoms'!A234,"' ,  ")</f>
        <v xml:space="preserve">'0' ,  </v>
      </c>
    </row>
    <row r="235" spans="1:1">
      <c r="A235" t="str">
        <f>CONCATENATE( "'",      'demo symptoms'!A235,"' ,  ")</f>
        <v xml:space="preserve">'0' ,  </v>
      </c>
    </row>
    <row r="236" spans="1:1">
      <c r="A236" t="str">
        <f>CONCATENATE( "'",      'demo symptoms'!A236,"' ,  ")</f>
        <v xml:space="preserve">'0' ,  </v>
      </c>
    </row>
    <row r="237" spans="1:1">
      <c r="A237" t="str">
        <f>CONCATENATE( "'",      'demo symptoms'!A237,"' ,  ")</f>
        <v xml:space="preserve">'0' ,  </v>
      </c>
    </row>
    <row r="238" spans="1:1">
      <c r="A238" t="str">
        <f>CONCATENATE( "'",      'demo symptoms'!A238,"' ,  ")</f>
        <v xml:space="preserve">'0' ,  </v>
      </c>
    </row>
    <row r="239" spans="1:1">
      <c r="A239" t="str">
        <f>CONCATENATE( "'",      'demo symptoms'!A239,"' ,  ")</f>
        <v xml:space="preserve">'0' ,  </v>
      </c>
    </row>
    <row r="240" spans="1:1">
      <c r="A240" t="str">
        <f>CONCATENATE( "'",      'demo symptoms'!A240,"' ,  ")</f>
        <v xml:space="preserve">'0' ,  </v>
      </c>
    </row>
    <row r="241" spans="1:1">
      <c r="A241" t="str">
        <f>CONCATENATE( "'",      'demo symptoms'!A241,"' ,  ")</f>
        <v xml:space="preserve">'4' ,  </v>
      </c>
    </row>
    <row r="242" spans="1:1">
      <c r="A242" t="str">
        <f>CONCATENATE( "'",      'demo symptoms'!A242,"' ,  ")</f>
        <v xml:space="preserve">'0' ,  </v>
      </c>
    </row>
    <row r="243" spans="1:1">
      <c r="A243" t="str">
        <f>CONCATENATE( "'",      'demo symptoms'!A243,"' ,  ")</f>
        <v xml:space="preserve">'0' ,  </v>
      </c>
    </row>
    <row r="244" spans="1:1">
      <c r="A244" t="str">
        <f>CONCATENATE( "'",      'demo symptoms'!A244,"' ,  ")</f>
        <v xml:space="preserve">'0' ,  </v>
      </c>
    </row>
    <row r="245" spans="1:1">
      <c r="A245" t="str">
        <f>CONCATENATE( "'",      'demo symptoms'!A245,"' ,  ")</f>
        <v xml:space="preserve">'0' ,  </v>
      </c>
    </row>
    <row r="246" spans="1:1">
      <c r="A246" t="str">
        <f>CONCATENATE( "'",      'demo symptoms'!A246,"' ,  ")</f>
        <v xml:space="preserve">'0' ,  </v>
      </c>
    </row>
    <row r="247" spans="1:1">
      <c r="A247" t="str">
        <f>CONCATENATE( "'",      'demo symptoms'!A247,"' ,  ")</f>
        <v xml:space="preserve">'0' ,  </v>
      </c>
    </row>
    <row r="248" spans="1:1">
      <c r="A248" t="str">
        <f>CONCATENATE( "'",      'demo symptoms'!A248,"' ,  ")</f>
        <v xml:space="preserve">'0' ,  </v>
      </c>
    </row>
    <row r="249" spans="1:1">
      <c r="A249" t="str">
        <f>CONCATENATE( "'",      'demo symptoms'!A249,"' ,  ")</f>
        <v xml:space="preserve">'0' ,  </v>
      </c>
    </row>
    <row r="250" spans="1:1">
      <c r="A250" t="str">
        <f>CONCATENATE( "'",      'demo symptoms'!A250,"' ,  ")</f>
        <v xml:space="preserve">'0' ,  </v>
      </c>
    </row>
    <row r="251" spans="1:1">
      <c r="A251" t="str">
        <f>CONCATENATE( "'",      'demo symptoms'!A251,"' ,  ")</f>
        <v xml:space="preserve">'0' ,  </v>
      </c>
    </row>
    <row r="252" spans="1:1">
      <c r="A252" t="str">
        <f>CONCATENATE( "'",      'demo symptoms'!A252,"' ,  ")</f>
        <v xml:space="preserve">'0' ,  </v>
      </c>
    </row>
    <row r="253" spans="1:1">
      <c r="A253" t="str">
        <f>CONCATENATE( "'",      'demo symptoms'!A253,"' ,  ")</f>
        <v xml:space="preserve">'0' ,  </v>
      </c>
    </row>
    <row r="254" spans="1:1">
      <c r="A254" t="str">
        <f>CONCATENATE( "'",      'demo symptoms'!A254,"' ,  ")</f>
        <v xml:space="preserve">'0' ,  </v>
      </c>
    </row>
    <row r="255" spans="1:1">
      <c r="A255" t="str">
        <f>CONCATENATE( "'",      'demo symptoms'!A255,"' ,  ")</f>
        <v xml:space="preserve">'0' ,  </v>
      </c>
    </row>
    <row r="256" spans="1:1">
      <c r="A256" t="str">
        <f>CONCATENATE( "'",      'demo symptoms'!A256,"' ,  ")</f>
        <v xml:space="preserve">'0' ,  </v>
      </c>
    </row>
    <row r="257" spans="1:1">
      <c r="A257" t="str">
        <f>CONCATENATE( "'",      'demo symptoms'!A257,"' ,  ")</f>
        <v xml:space="preserve">'0' ,  </v>
      </c>
    </row>
    <row r="258" spans="1:1">
      <c r="A258" t="str">
        <f>CONCATENATE( "'",      'demo symptoms'!A258,"' ,  ")</f>
        <v xml:space="preserve">'8' ,  </v>
      </c>
    </row>
    <row r="259" spans="1:1">
      <c r="A259" t="str">
        <f>CONCATENATE( "'",      'demo symptoms'!A259,"' ,  ")</f>
        <v xml:space="preserve">'0' ,  </v>
      </c>
    </row>
    <row r="260" spans="1:1">
      <c r="A260" t="str">
        <f>CONCATENATE( "'",      'demo symptoms'!A260,"' ,  ")</f>
        <v xml:space="preserve">'7' ,  </v>
      </c>
    </row>
    <row r="261" spans="1:1">
      <c r="A261" t="str">
        <f>CONCATENATE( "'",      'demo symptoms'!A261,"' ,  ")</f>
        <v xml:space="preserve">'0' ,  </v>
      </c>
    </row>
    <row r="262" spans="1:1">
      <c r="A262" t="str">
        <f>CONCATENATE( "'",      'demo symptoms'!A262,"' ,  ")</f>
        <v xml:space="preserve">'0' ,  </v>
      </c>
    </row>
    <row r="263" spans="1:1">
      <c r="A263" t="str">
        <f>CONCATENATE( "'",      'demo symptoms'!A263,"' ,  ")</f>
        <v xml:space="preserve">'0' ,  </v>
      </c>
    </row>
    <row r="264" spans="1:1">
      <c r="A264" t="str">
        <f>CONCATENATE( "'",      'demo symptoms'!A264,"' ,  ")</f>
        <v xml:space="preserve">'0' ,  </v>
      </c>
    </row>
    <row r="265" spans="1:1">
      <c r="A265" t="str">
        <f>CONCATENATE( "'",      'demo symptoms'!A265,"' ,  ")</f>
        <v xml:space="preserve">'0' ,  </v>
      </c>
    </row>
    <row r="266" spans="1:1">
      <c r="A266" t="str">
        <f>CONCATENATE( "'",      'demo symptoms'!A266,"' ,  ")</f>
        <v xml:space="preserve">'0' ,  </v>
      </c>
    </row>
    <row r="267" spans="1:1">
      <c r="A267" t="str">
        <f>CONCATENATE( "'",      'demo symptoms'!A267,"' ,  ")</f>
        <v xml:space="preserve">'0' ,  </v>
      </c>
    </row>
    <row r="268" spans="1:1">
      <c r="A268" t="str">
        <f>CONCATENATE( "'",      'demo symptoms'!A268,"' ,  ")</f>
        <v xml:space="preserve">'0' ,  </v>
      </c>
    </row>
    <row r="269" spans="1:1">
      <c r="A269" t="str">
        <f>CONCATENATE( "'",      'demo symptoms'!A269,"' ,  ")</f>
        <v xml:space="preserve">'0' ,  </v>
      </c>
    </row>
    <row r="270" spans="1:1">
      <c r="A270" t="str">
        <f>CONCATENATE( "'",      'demo symptoms'!A270,"' ,  ")</f>
        <v xml:space="preserve">'0' ,  </v>
      </c>
    </row>
    <row r="271" spans="1:1">
      <c r="A271" t="str">
        <f>CONCATENATE( "'",      'demo symptoms'!A271,"' ,  ")</f>
        <v xml:space="preserve">'0' ,  </v>
      </c>
    </row>
    <row r="272" spans="1:1">
      <c r="A272" t="str">
        <f>CONCATENATE( "'",      'demo symptoms'!A272,"' ,  ")</f>
        <v xml:space="preserve">'0' ,  </v>
      </c>
    </row>
    <row r="273" spans="1:1">
      <c r="A273" t="str">
        <f>CONCATENATE( "'",      'demo symptoms'!A273,"' ,  ")</f>
        <v xml:space="preserve">'6' ,  </v>
      </c>
    </row>
    <row r="274" spans="1:1">
      <c r="A274" t="str">
        <f>CONCATENATE( "'",      'demo symptoms'!A274,"' ,  ")</f>
        <v xml:space="preserve">'0' ,  </v>
      </c>
    </row>
    <row r="275" spans="1:1">
      <c r="A275" t="str">
        <f>CONCATENATE( "'",      'demo symptoms'!A275,"' ,  ")</f>
        <v xml:space="preserve">'0' ,  </v>
      </c>
    </row>
    <row r="276" spans="1:1">
      <c r="A276" t="str">
        <f>CONCATENATE( "'",      'demo symptoms'!A276,"' ,  ")</f>
        <v xml:space="preserve">'6' ,  </v>
      </c>
    </row>
    <row r="277" spans="1:1">
      <c r="A277" t="str">
        <f>CONCATENATE( "'",      'demo symptoms'!A277,"' ,  ")</f>
        <v xml:space="preserve">'0' ,  </v>
      </c>
    </row>
    <row r="278" spans="1:1">
      <c r="A278" t="str">
        <f>CONCATENATE( "'",      'demo symptoms'!A278,"' ,  ")</f>
        <v xml:space="preserve">'0' ,  </v>
      </c>
    </row>
    <row r="279" spans="1:1">
      <c r="A279" t="str">
        <f>CONCATENATE( "'",      'demo symptoms'!A279,"' ,  ")</f>
        <v xml:space="preserve">'0' ,  </v>
      </c>
    </row>
    <row r="280" spans="1:1">
      <c r="A280" t="s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C283"/>
  <sheetViews>
    <sheetView tabSelected="1" workbookViewId="0">
      <selection activeCell="F11" sqref="F11"/>
    </sheetView>
  </sheetViews>
  <sheetFormatPr defaultRowHeight="12.75"/>
  <sheetData>
    <row r="1" spans="1:3">
      <c r="C1" t="s">
        <v>811</v>
      </c>
    </row>
    <row r="2" spans="1:3">
      <c r="C2" t="s">
        <v>808</v>
      </c>
    </row>
    <row r="3" spans="1:3">
      <c r="A3" t="str">
        <f>remedies_names!A2</f>
        <v>R001</v>
      </c>
      <c r="B3" t="str">
        <f>REPLACE(A3,1,1,"Q")</f>
        <v>Q001</v>
      </c>
      <c r="C3" t="str">
        <f>CONCATENATE("req.body.",B3, " , ")</f>
        <v xml:space="preserve">req.body.Q001 , </v>
      </c>
    </row>
    <row r="4" spans="1:3">
      <c r="A4" t="str">
        <f>remedies_names!A3</f>
        <v>R002</v>
      </c>
      <c r="B4" t="str">
        <f t="shared" ref="B4:B67" si="0">REPLACE(A4,1,1,"Q")</f>
        <v>Q002</v>
      </c>
      <c r="C4" t="str">
        <f t="shared" ref="C4:C67" si="1">CONCATENATE("req.body.",B4, " , ")</f>
        <v xml:space="preserve">req.body.Q002 , </v>
      </c>
    </row>
    <row r="5" spans="1:3">
      <c r="A5" t="str">
        <f>remedies_names!A4</f>
        <v>R003</v>
      </c>
      <c r="B5" t="str">
        <f t="shared" si="0"/>
        <v>Q003</v>
      </c>
      <c r="C5" t="str">
        <f t="shared" si="1"/>
        <v xml:space="preserve">req.body.Q003 , </v>
      </c>
    </row>
    <row r="6" spans="1:3">
      <c r="A6" t="str">
        <f>remedies_names!A5</f>
        <v>R004</v>
      </c>
      <c r="B6" t="str">
        <f t="shared" si="0"/>
        <v>Q004</v>
      </c>
      <c r="C6" t="str">
        <f t="shared" si="1"/>
        <v xml:space="preserve">req.body.Q004 , </v>
      </c>
    </row>
    <row r="7" spans="1:3">
      <c r="A7" t="str">
        <f>remedies_names!A6</f>
        <v>R005</v>
      </c>
      <c r="B7" t="str">
        <f t="shared" si="0"/>
        <v>Q005</v>
      </c>
      <c r="C7" t="str">
        <f t="shared" si="1"/>
        <v xml:space="preserve">req.body.Q005 , </v>
      </c>
    </row>
    <row r="8" spans="1:3">
      <c r="A8" t="str">
        <f>remedies_names!A7</f>
        <v>R006</v>
      </c>
      <c r="B8" t="str">
        <f t="shared" si="0"/>
        <v>Q006</v>
      </c>
      <c r="C8" t="str">
        <f t="shared" si="1"/>
        <v xml:space="preserve">req.body.Q006 , </v>
      </c>
    </row>
    <row r="9" spans="1:3">
      <c r="A9" t="str">
        <f>remedies_names!A8</f>
        <v>R007</v>
      </c>
      <c r="B9" t="str">
        <f t="shared" si="0"/>
        <v>Q007</v>
      </c>
      <c r="C9" t="str">
        <f t="shared" si="1"/>
        <v xml:space="preserve">req.body.Q007 , </v>
      </c>
    </row>
    <row r="10" spans="1:3">
      <c r="A10" t="str">
        <f>remedies_names!A9</f>
        <v>R008</v>
      </c>
      <c r="B10" t="str">
        <f t="shared" si="0"/>
        <v>Q008</v>
      </c>
      <c r="C10" t="str">
        <f t="shared" si="1"/>
        <v xml:space="preserve">req.body.Q008 , </v>
      </c>
    </row>
    <row r="11" spans="1:3">
      <c r="A11" t="str">
        <f>remedies_names!A10</f>
        <v>R009</v>
      </c>
      <c r="B11" t="str">
        <f t="shared" si="0"/>
        <v>Q009</v>
      </c>
      <c r="C11" t="str">
        <f t="shared" si="1"/>
        <v xml:space="preserve">req.body.Q009 , </v>
      </c>
    </row>
    <row r="12" spans="1:3">
      <c r="A12" t="str">
        <f>remedies_names!A11</f>
        <v>R010</v>
      </c>
      <c r="B12" t="str">
        <f t="shared" si="0"/>
        <v>Q010</v>
      </c>
      <c r="C12" t="str">
        <f t="shared" si="1"/>
        <v xml:space="preserve">req.body.Q010 , </v>
      </c>
    </row>
    <row r="13" spans="1:3">
      <c r="A13" t="str">
        <f>remedies_names!A12</f>
        <v>R011</v>
      </c>
      <c r="B13" t="str">
        <f t="shared" si="0"/>
        <v>Q011</v>
      </c>
      <c r="C13" t="str">
        <f t="shared" si="1"/>
        <v xml:space="preserve">req.body.Q011 , </v>
      </c>
    </row>
    <row r="14" spans="1:3">
      <c r="A14" t="str">
        <f>remedies_names!A13</f>
        <v>R012</v>
      </c>
      <c r="B14" t="str">
        <f t="shared" si="0"/>
        <v>Q012</v>
      </c>
      <c r="C14" t="str">
        <f t="shared" si="1"/>
        <v xml:space="preserve">req.body.Q012 , </v>
      </c>
    </row>
    <row r="15" spans="1:3">
      <c r="A15" t="str">
        <f>remedies_names!A14</f>
        <v>R013</v>
      </c>
      <c r="B15" t="str">
        <f t="shared" si="0"/>
        <v>Q013</v>
      </c>
      <c r="C15" t="str">
        <f t="shared" si="1"/>
        <v xml:space="preserve">req.body.Q013 , </v>
      </c>
    </row>
    <row r="16" spans="1:3">
      <c r="A16" t="str">
        <f>remedies_names!A15</f>
        <v>R014</v>
      </c>
      <c r="B16" t="str">
        <f t="shared" si="0"/>
        <v>Q014</v>
      </c>
      <c r="C16" t="str">
        <f t="shared" si="1"/>
        <v xml:space="preserve">req.body.Q014 , </v>
      </c>
    </row>
    <row r="17" spans="1:3">
      <c r="A17" t="str">
        <f>remedies_names!A16</f>
        <v>R015</v>
      </c>
      <c r="B17" t="str">
        <f t="shared" si="0"/>
        <v>Q015</v>
      </c>
      <c r="C17" t="str">
        <f t="shared" si="1"/>
        <v xml:space="preserve">req.body.Q015 , </v>
      </c>
    </row>
    <row r="18" spans="1:3">
      <c r="A18" t="str">
        <f>remedies_names!A17</f>
        <v>R016</v>
      </c>
      <c r="B18" t="str">
        <f t="shared" si="0"/>
        <v>Q016</v>
      </c>
      <c r="C18" t="str">
        <f t="shared" si="1"/>
        <v xml:space="preserve">req.body.Q016 , </v>
      </c>
    </row>
    <row r="19" spans="1:3">
      <c r="A19" t="str">
        <f>remedies_names!A18</f>
        <v>R017</v>
      </c>
      <c r="B19" t="str">
        <f t="shared" si="0"/>
        <v>Q017</v>
      </c>
      <c r="C19" t="str">
        <f t="shared" si="1"/>
        <v xml:space="preserve">req.body.Q017 , </v>
      </c>
    </row>
    <row r="20" spans="1:3">
      <c r="A20" t="str">
        <f>remedies_names!A19</f>
        <v>R018</v>
      </c>
      <c r="B20" t="str">
        <f t="shared" si="0"/>
        <v>Q018</v>
      </c>
      <c r="C20" t="str">
        <f t="shared" si="1"/>
        <v xml:space="preserve">req.body.Q018 , </v>
      </c>
    </row>
    <row r="21" spans="1:3">
      <c r="A21" t="str">
        <f>remedies_names!A20</f>
        <v>R019</v>
      </c>
      <c r="B21" t="str">
        <f t="shared" si="0"/>
        <v>Q019</v>
      </c>
      <c r="C21" t="str">
        <f t="shared" si="1"/>
        <v xml:space="preserve">req.body.Q019 , </v>
      </c>
    </row>
    <row r="22" spans="1:3">
      <c r="A22" t="str">
        <f>remedies_names!A21</f>
        <v>R020</v>
      </c>
      <c r="B22" t="str">
        <f t="shared" si="0"/>
        <v>Q020</v>
      </c>
      <c r="C22" t="str">
        <f t="shared" si="1"/>
        <v xml:space="preserve">req.body.Q020 , </v>
      </c>
    </row>
    <row r="23" spans="1:3">
      <c r="A23" t="str">
        <f>remedies_names!A22</f>
        <v>R021</v>
      </c>
      <c r="B23" t="str">
        <f t="shared" si="0"/>
        <v>Q021</v>
      </c>
      <c r="C23" t="str">
        <f t="shared" si="1"/>
        <v xml:space="preserve">req.body.Q021 , </v>
      </c>
    </row>
    <row r="24" spans="1:3">
      <c r="A24" t="str">
        <f>remedies_names!A23</f>
        <v>R022</v>
      </c>
      <c r="B24" t="str">
        <f t="shared" si="0"/>
        <v>Q022</v>
      </c>
      <c r="C24" t="str">
        <f t="shared" si="1"/>
        <v xml:space="preserve">req.body.Q022 , </v>
      </c>
    </row>
    <row r="25" spans="1:3">
      <c r="A25" t="str">
        <f>remedies_names!A24</f>
        <v>R023</v>
      </c>
      <c r="B25" t="str">
        <f t="shared" si="0"/>
        <v>Q023</v>
      </c>
      <c r="C25" t="str">
        <f t="shared" si="1"/>
        <v xml:space="preserve">req.body.Q023 , </v>
      </c>
    </row>
    <row r="26" spans="1:3">
      <c r="A26" t="str">
        <f>remedies_names!A25</f>
        <v>R024</v>
      </c>
      <c r="B26" t="str">
        <f t="shared" si="0"/>
        <v>Q024</v>
      </c>
      <c r="C26" t="str">
        <f t="shared" si="1"/>
        <v xml:space="preserve">req.body.Q024 , </v>
      </c>
    </row>
    <row r="27" spans="1:3">
      <c r="A27" t="str">
        <f>remedies_names!A26</f>
        <v>R025</v>
      </c>
      <c r="B27" t="str">
        <f t="shared" si="0"/>
        <v>Q025</v>
      </c>
      <c r="C27" t="str">
        <f t="shared" si="1"/>
        <v xml:space="preserve">req.body.Q025 , </v>
      </c>
    </row>
    <row r="28" spans="1:3">
      <c r="A28" t="str">
        <f>remedies_names!A27</f>
        <v>R026</v>
      </c>
      <c r="B28" t="str">
        <f t="shared" si="0"/>
        <v>Q026</v>
      </c>
      <c r="C28" t="str">
        <f t="shared" si="1"/>
        <v xml:space="preserve">req.body.Q026 , </v>
      </c>
    </row>
    <row r="29" spans="1:3">
      <c r="A29" t="str">
        <f>remedies_names!A28</f>
        <v>R027</v>
      </c>
      <c r="B29" t="str">
        <f t="shared" si="0"/>
        <v>Q027</v>
      </c>
      <c r="C29" t="str">
        <f t="shared" si="1"/>
        <v xml:space="preserve">req.body.Q027 , </v>
      </c>
    </row>
    <row r="30" spans="1:3">
      <c r="A30" t="str">
        <f>remedies_names!A29</f>
        <v>R028</v>
      </c>
      <c r="B30" t="str">
        <f t="shared" si="0"/>
        <v>Q028</v>
      </c>
      <c r="C30" t="str">
        <f t="shared" si="1"/>
        <v xml:space="preserve">req.body.Q028 , </v>
      </c>
    </row>
    <row r="31" spans="1:3">
      <c r="A31" t="str">
        <f>remedies_names!A30</f>
        <v>R029</v>
      </c>
      <c r="B31" t="str">
        <f t="shared" si="0"/>
        <v>Q029</v>
      </c>
      <c r="C31" t="str">
        <f t="shared" si="1"/>
        <v xml:space="preserve">req.body.Q029 , </v>
      </c>
    </row>
    <row r="32" spans="1:3">
      <c r="A32" t="str">
        <f>remedies_names!A31</f>
        <v>R030</v>
      </c>
      <c r="B32" t="str">
        <f t="shared" si="0"/>
        <v>Q030</v>
      </c>
      <c r="C32" t="str">
        <f t="shared" si="1"/>
        <v xml:space="preserve">req.body.Q030 , </v>
      </c>
    </row>
    <row r="33" spans="1:3">
      <c r="A33" t="str">
        <f>remedies_names!A32</f>
        <v>R031</v>
      </c>
      <c r="B33" t="str">
        <f t="shared" si="0"/>
        <v>Q031</v>
      </c>
      <c r="C33" t="str">
        <f t="shared" si="1"/>
        <v xml:space="preserve">req.body.Q031 , </v>
      </c>
    </row>
    <row r="34" spans="1:3">
      <c r="A34" t="str">
        <f>remedies_names!A33</f>
        <v>R032</v>
      </c>
      <c r="B34" t="str">
        <f t="shared" si="0"/>
        <v>Q032</v>
      </c>
      <c r="C34" t="str">
        <f t="shared" si="1"/>
        <v xml:space="preserve">req.body.Q032 , </v>
      </c>
    </row>
    <row r="35" spans="1:3">
      <c r="A35" t="str">
        <f>remedies_names!A34</f>
        <v>R033</v>
      </c>
      <c r="B35" t="str">
        <f t="shared" si="0"/>
        <v>Q033</v>
      </c>
      <c r="C35" t="str">
        <f t="shared" si="1"/>
        <v xml:space="preserve">req.body.Q033 , </v>
      </c>
    </row>
    <row r="36" spans="1:3">
      <c r="A36" t="str">
        <f>remedies_names!A35</f>
        <v>R034</v>
      </c>
      <c r="B36" t="str">
        <f t="shared" si="0"/>
        <v>Q034</v>
      </c>
      <c r="C36" t="str">
        <f t="shared" si="1"/>
        <v xml:space="preserve">req.body.Q034 , </v>
      </c>
    </row>
    <row r="37" spans="1:3">
      <c r="A37" t="str">
        <f>remedies_names!A36</f>
        <v>R035</v>
      </c>
      <c r="B37" t="str">
        <f t="shared" si="0"/>
        <v>Q035</v>
      </c>
      <c r="C37" t="str">
        <f t="shared" si="1"/>
        <v xml:space="preserve">req.body.Q035 , </v>
      </c>
    </row>
    <row r="38" spans="1:3">
      <c r="A38" t="str">
        <f>remedies_names!A37</f>
        <v>R036</v>
      </c>
      <c r="B38" t="str">
        <f t="shared" si="0"/>
        <v>Q036</v>
      </c>
      <c r="C38" t="str">
        <f t="shared" si="1"/>
        <v xml:space="preserve">req.body.Q036 , </v>
      </c>
    </row>
    <row r="39" spans="1:3">
      <c r="A39" t="str">
        <f>remedies_names!A38</f>
        <v>R037</v>
      </c>
      <c r="B39" t="str">
        <f t="shared" si="0"/>
        <v>Q037</v>
      </c>
      <c r="C39" t="str">
        <f t="shared" si="1"/>
        <v xml:space="preserve">req.body.Q037 , </v>
      </c>
    </row>
    <row r="40" spans="1:3">
      <c r="A40" t="str">
        <f>remedies_names!A39</f>
        <v>R038</v>
      </c>
      <c r="B40" t="str">
        <f t="shared" si="0"/>
        <v>Q038</v>
      </c>
      <c r="C40" t="str">
        <f t="shared" si="1"/>
        <v xml:space="preserve">req.body.Q038 , </v>
      </c>
    </row>
    <row r="41" spans="1:3">
      <c r="A41" t="str">
        <f>remedies_names!A40</f>
        <v>R039</v>
      </c>
      <c r="B41" t="str">
        <f t="shared" si="0"/>
        <v>Q039</v>
      </c>
      <c r="C41" t="str">
        <f t="shared" si="1"/>
        <v xml:space="preserve">req.body.Q039 , </v>
      </c>
    </row>
    <row r="42" spans="1:3">
      <c r="A42" t="str">
        <f>remedies_names!A41</f>
        <v>R040</v>
      </c>
      <c r="B42" t="str">
        <f t="shared" si="0"/>
        <v>Q040</v>
      </c>
      <c r="C42" t="str">
        <f t="shared" si="1"/>
        <v xml:space="preserve">req.body.Q040 , </v>
      </c>
    </row>
    <row r="43" spans="1:3">
      <c r="A43" t="str">
        <f>remedies_names!A42</f>
        <v>R041</v>
      </c>
      <c r="B43" t="str">
        <f t="shared" si="0"/>
        <v>Q041</v>
      </c>
      <c r="C43" t="str">
        <f t="shared" si="1"/>
        <v xml:space="preserve">req.body.Q041 , </v>
      </c>
    </row>
    <row r="44" spans="1:3">
      <c r="A44" t="str">
        <f>remedies_names!A43</f>
        <v>R042</v>
      </c>
      <c r="B44" t="str">
        <f t="shared" si="0"/>
        <v>Q042</v>
      </c>
      <c r="C44" t="str">
        <f t="shared" si="1"/>
        <v xml:space="preserve">req.body.Q042 , </v>
      </c>
    </row>
    <row r="45" spans="1:3">
      <c r="A45" t="str">
        <f>remedies_names!A44</f>
        <v>R043</v>
      </c>
      <c r="B45" t="str">
        <f t="shared" si="0"/>
        <v>Q043</v>
      </c>
      <c r="C45" t="str">
        <f t="shared" si="1"/>
        <v xml:space="preserve">req.body.Q043 , </v>
      </c>
    </row>
    <row r="46" spans="1:3">
      <c r="A46" t="str">
        <f>remedies_names!A45</f>
        <v>R044</v>
      </c>
      <c r="B46" t="str">
        <f t="shared" si="0"/>
        <v>Q044</v>
      </c>
      <c r="C46" t="str">
        <f t="shared" si="1"/>
        <v xml:space="preserve">req.body.Q044 , </v>
      </c>
    </row>
    <row r="47" spans="1:3">
      <c r="A47" t="str">
        <f>remedies_names!A46</f>
        <v>R045</v>
      </c>
      <c r="B47" t="str">
        <f t="shared" si="0"/>
        <v>Q045</v>
      </c>
      <c r="C47" t="str">
        <f t="shared" si="1"/>
        <v xml:space="preserve">req.body.Q045 , </v>
      </c>
    </row>
    <row r="48" spans="1:3">
      <c r="A48" t="str">
        <f>remedies_names!A47</f>
        <v>R046</v>
      </c>
      <c r="B48" t="str">
        <f t="shared" si="0"/>
        <v>Q046</v>
      </c>
      <c r="C48" t="str">
        <f t="shared" si="1"/>
        <v xml:space="preserve">req.body.Q046 , </v>
      </c>
    </row>
    <row r="49" spans="1:3">
      <c r="A49" t="str">
        <f>remedies_names!A48</f>
        <v>R047</v>
      </c>
      <c r="B49" t="str">
        <f t="shared" si="0"/>
        <v>Q047</v>
      </c>
      <c r="C49" t="str">
        <f t="shared" si="1"/>
        <v xml:space="preserve">req.body.Q047 , </v>
      </c>
    </row>
    <row r="50" spans="1:3">
      <c r="A50" t="str">
        <f>remedies_names!A49</f>
        <v>R048</v>
      </c>
      <c r="B50" t="str">
        <f t="shared" si="0"/>
        <v>Q048</v>
      </c>
      <c r="C50" t="str">
        <f t="shared" si="1"/>
        <v xml:space="preserve">req.body.Q048 , </v>
      </c>
    </row>
    <row r="51" spans="1:3">
      <c r="A51" t="str">
        <f>remedies_names!A50</f>
        <v>R049</v>
      </c>
      <c r="B51" t="str">
        <f t="shared" si="0"/>
        <v>Q049</v>
      </c>
      <c r="C51" t="str">
        <f t="shared" si="1"/>
        <v xml:space="preserve">req.body.Q049 , </v>
      </c>
    </row>
    <row r="52" spans="1:3">
      <c r="A52" t="str">
        <f>remedies_names!A51</f>
        <v>R050</v>
      </c>
      <c r="B52" t="str">
        <f t="shared" si="0"/>
        <v>Q050</v>
      </c>
      <c r="C52" t="str">
        <f t="shared" si="1"/>
        <v xml:space="preserve">req.body.Q050 , </v>
      </c>
    </row>
    <row r="53" spans="1:3">
      <c r="A53" t="str">
        <f>remedies_names!A52</f>
        <v>R051</v>
      </c>
      <c r="B53" t="str">
        <f t="shared" si="0"/>
        <v>Q051</v>
      </c>
      <c r="C53" t="str">
        <f t="shared" si="1"/>
        <v xml:space="preserve">req.body.Q051 , </v>
      </c>
    </row>
    <row r="54" spans="1:3">
      <c r="A54" t="str">
        <f>remedies_names!A53</f>
        <v>R052</v>
      </c>
      <c r="B54" t="str">
        <f t="shared" si="0"/>
        <v>Q052</v>
      </c>
      <c r="C54" t="str">
        <f t="shared" si="1"/>
        <v xml:space="preserve">req.body.Q052 , </v>
      </c>
    </row>
    <row r="55" spans="1:3">
      <c r="A55" t="str">
        <f>remedies_names!A54</f>
        <v>R053</v>
      </c>
      <c r="B55" t="str">
        <f t="shared" si="0"/>
        <v>Q053</v>
      </c>
      <c r="C55" t="str">
        <f t="shared" si="1"/>
        <v xml:space="preserve">req.body.Q053 , </v>
      </c>
    </row>
    <row r="56" spans="1:3">
      <c r="A56" t="str">
        <f>remedies_names!A55</f>
        <v>R054</v>
      </c>
      <c r="B56" t="str">
        <f t="shared" si="0"/>
        <v>Q054</v>
      </c>
      <c r="C56" t="str">
        <f t="shared" si="1"/>
        <v xml:space="preserve">req.body.Q054 , </v>
      </c>
    </row>
    <row r="57" spans="1:3">
      <c r="A57" t="str">
        <f>remedies_names!A56</f>
        <v>R055</v>
      </c>
      <c r="B57" t="str">
        <f t="shared" si="0"/>
        <v>Q055</v>
      </c>
      <c r="C57" t="str">
        <f t="shared" si="1"/>
        <v xml:space="preserve">req.body.Q055 , </v>
      </c>
    </row>
    <row r="58" spans="1:3">
      <c r="A58" t="str">
        <f>remedies_names!A57</f>
        <v>R056</v>
      </c>
      <c r="B58" t="str">
        <f t="shared" si="0"/>
        <v>Q056</v>
      </c>
      <c r="C58" t="str">
        <f t="shared" si="1"/>
        <v xml:space="preserve">req.body.Q056 , </v>
      </c>
    </row>
    <row r="59" spans="1:3">
      <c r="A59" t="str">
        <f>remedies_names!A58</f>
        <v>R057</v>
      </c>
      <c r="B59" t="str">
        <f t="shared" si="0"/>
        <v>Q057</v>
      </c>
      <c r="C59" t="str">
        <f t="shared" si="1"/>
        <v xml:space="preserve">req.body.Q057 , </v>
      </c>
    </row>
    <row r="60" spans="1:3">
      <c r="A60" t="str">
        <f>remedies_names!A59</f>
        <v>R058</v>
      </c>
      <c r="B60" t="str">
        <f t="shared" si="0"/>
        <v>Q058</v>
      </c>
      <c r="C60" t="str">
        <f t="shared" si="1"/>
        <v xml:space="preserve">req.body.Q058 , </v>
      </c>
    </row>
    <row r="61" spans="1:3">
      <c r="A61" t="str">
        <f>remedies_names!A60</f>
        <v>R059</v>
      </c>
      <c r="B61" t="str">
        <f t="shared" si="0"/>
        <v>Q059</v>
      </c>
      <c r="C61" t="str">
        <f t="shared" si="1"/>
        <v xml:space="preserve">req.body.Q059 , </v>
      </c>
    </row>
    <row r="62" spans="1:3">
      <c r="A62" t="str">
        <f>remedies_names!A61</f>
        <v>R060</v>
      </c>
      <c r="B62" t="str">
        <f t="shared" si="0"/>
        <v>Q060</v>
      </c>
      <c r="C62" t="str">
        <f t="shared" si="1"/>
        <v xml:space="preserve">req.body.Q060 , </v>
      </c>
    </row>
    <row r="63" spans="1:3">
      <c r="A63" t="str">
        <f>remedies_names!A62</f>
        <v>R061</v>
      </c>
      <c r="B63" t="str">
        <f t="shared" si="0"/>
        <v>Q061</v>
      </c>
      <c r="C63" t="str">
        <f t="shared" si="1"/>
        <v xml:space="preserve">req.body.Q061 , </v>
      </c>
    </row>
    <row r="64" spans="1:3">
      <c r="A64" t="str">
        <f>remedies_names!A63</f>
        <v>R062</v>
      </c>
      <c r="B64" t="str">
        <f t="shared" si="0"/>
        <v>Q062</v>
      </c>
      <c r="C64" t="str">
        <f t="shared" si="1"/>
        <v xml:space="preserve">req.body.Q062 , </v>
      </c>
    </row>
    <row r="65" spans="1:3">
      <c r="A65" t="str">
        <f>remedies_names!A64</f>
        <v>R063</v>
      </c>
      <c r="B65" t="str">
        <f t="shared" si="0"/>
        <v>Q063</v>
      </c>
      <c r="C65" t="str">
        <f t="shared" si="1"/>
        <v xml:space="preserve">req.body.Q063 , </v>
      </c>
    </row>
    <row r="66" spans="1:3">
      <c r="A66" t="str">
        <f>remedies_names!A65</f>
        <v>R064</v>
      </c>
      <c r="B66" t="str">
        <f t="shared" si="0"/>
        <v>Q064</v>
      </c>
      <c r="C66" t="str">
        <f t="shared" si="1"/>
        <v xml:space="preserve">req.body.Q064 , </v>
      </c>
    </row>
    <row r="67" spans="1:3">
      <c r="A67" t="str">
        <f>remedies_names!A66</f>
        <v>R065</v>
      </c>
      <c r="B67" t="str">
        <f t="shared" si="0"/>
        <v>Q065</v>
      </c>
      <c r="C67" t="str">
        <f t="shared" si="1"/>
        <v xml:space="preserve">req.body.Q065 , </v>
      </c>
    </row>
    <row r="68" spans="1:3">
      <c r="A68" t="str">
        <f>remedies_names!A67</f>
        <v>R066</v>
      </c>
      <c r="B68" t="str">
        <f t="shared" ref="B68:B131" si="2">REPLACE(A68,1,1,"Q")</f>
        <v>Q066</v>
      </c>
      <c r="C68" t="str">
        <f t="shared" ref="C68:C131" si="3">CONCATENATE("req.body.",B68, " , ")</f>
        <v xml:space="preserve">req.body.Q066 , </v>
      </c>
    </row>
    <row r="69" spans="1:3">
      <c r="A69" t="str">
        <f>remedies_names!A68</f>
        <v>R067</v>
      </c>
      <c r="B69" t="str">
        <f t="shared" si="2"/>
        <v>Q067</v>
      </c>
      <c r="C69" t="str">
        <f t="shared" si="3"/>
        <v xml:space="preserve">req.body.Q067 , </v>
      </c>
    </row>
    <row r="70" spans="1:3">
      <c r="A70" t="str">
        <f>remedies_names!A69</f>
        <v>R068</v>
      </c>
      <c r="B70" t="str">
        <f t="shared" si="2"/>
        <v>Q068</v>
      </c>
      <c r="C70" t="str">
        <f t="shared" si="3"/>
        <v xml:space="preserve">req.body.Q068 , </v>
      </c>
    </row>
    <row r="71" spans="1:3">
      <c r="A71" t="str">
        <f>remedies_names!A70</f>
        <v>R069</v>
      </c>
      <c r="B71" t="str">
        <f t="shared" si="2"/>
        <v>Q069</v>
      </c>
      <c r="C71" t="str">
        <f t="shared" si="3"/>
        <v xml:space="preserve">req.body.Q069 , </v>
      </c>
    </row>
    <row r="72" spans="1:3">
      <c r="A72" t="str">
        <f>remedies_names!A71</f>
        <v>R070</v>
      </c>
      <c r="B72" t="str">
        <f t="shared" si="2"/>
        <v>Q070</v>
      </c>
      <c r="C72" t="str">
        <f t="shared" si="3"/>
        <v xml:space="preserve">req.body.Q070 , </v>
      </c>
    </row>
    <row r="73" spans="1:3">
      <c r="A73" t="str">
        <f>remedies_names!A72</f>
        <v>R071</v>
      </c>
      <c r="B73" t="str">
        <f t="shared" si="2"/>
        <v>Q071</v>
      </c>
      <c r="C73" t="str">
        <f t="shared" si="3"/>
        <v xml:space="preserve">req.body.Q071 , </v>
      </c>
    </row>
    <row r="74" spans="1:3">
      <c r="A74" t="str">
        <f>remedies_names!A73</f>
        <v>R072</v>
      </c>
      <c r="B74" t="str">
        <f t="shared" si="2"/>
        <v>Q072</v>
      </c>
      <c r="C74" t="str">
        <f t="shared" si="3"/>
        <v xml:space="preserve">req.body.Q072 , </v>
      </c>
    </row>
    <row r="75" spans="1:3">
      <c r="A75" t="str">
        <f>remedies_names!A74</f>
        <v>R073</v>
      </c>
      <c r="B75" t="str">
        <f t="shared" si="2"/>
        <v>Q073</v>
      </c>
      <c r="C75" t="str">
        <f t="shared" si="3"/>
        <v xml:space="preserve">req.body.Q073 , </v>
      </c>
    </row>
    <row r="76" spans="1:3">
      <c r="A76" t="str">
        <f>remedies_names!A75</f>
        <v>R074</v>
      </c>
      <c r="B76" t="str">
        <f t="shared" si="2"/>
        <v>Q074</v>
      </c>
      <c r="C76" t="str">
        <f t="shared" si="3"/>
        <v xml:space="preserve">req.body.Q074 , </v>
      </c>
    </row>
    <row r="77" spans="1:3">
      <c r="A77" t="str">
        <f>remedies_names!A76</f>
        <v>R075</v>
      </c>
      <c r="B77" t="str">
        <f t="shared" si="2"/>
        <v>Q075</v>
      </c>
      <c r="C77" t="str">
        <f t="shared" si="3"/>
        <v xml:space="preserve">req.body.Q075 , </v>
      </c>
    </row>
    <row r="78" spans="1:3">
      <c r="A78" t="str">
        <f>remedies_names!A77</f>
        <v>R076</v>
      </c>
      <c r="B78" t="str">
        <f t="shared" si="2"/>
        <v>Q076</v>
      </c>
      <c r="C78" t="str">
        <f t="shared" si="3"/>
        <v xml:space="preserve">req.body.Q076 , </v>
      </c>
    </row>
    <row r="79" spans="1:3">
      <c r="A79" t="str">
        <f>remedies_names!A78</f>
        <v>R077</v>
      </c>
      <c r="B79" t="str">
        <f t="shared" si="2"/>
        <v>Q077</v>
      </c>
      <c r="C79" t="str">
        <f t="shared" si="3"/>
        <v xml:space="preserve">req.body.Q077 , </v>
      </c>
    </row>
    <row r="80" spans="1:3">
      <c r="A80" t="str">
        <f>remedies_names!A79</f>
        <v>R078</v>
      </c>
      <c r="B80" t="str">
        <f t="shared" si="2"/>
        <v>Q078</v>
      </c>
      <c r="C80" t="str">
        <f t="shared" si="3"/>
        <v xml:space="preserve">req.body.Q078 , </v>
      </c>
    </row>
    <row r="81" spans="1:3">
      <c r="A81" t="str">
        <f>remedies_names!A80</f>
        <v>R079</v>
      </c>
      <c r="B81" t="str">
        <f t="shared" si="2"/>
        <v>Q079</v>
      </c>
      <c r="C81" t="str">
        <f t="shared" si="3"/>
        <v xml:space="preserve">req.body.Q079 , </v>
      </c>
    </row>
    <row r="82" spans="1:3">
      <c r="A82" t="str">
        <f>remedies_names!A81</f>
        <v>R080</v>
      </c>
      <c r="B82" t="str">
        <f t="shared" si="2"/>
        <v>Q080</v>
      </c>
      <c r="C82" t="str">
        <f t="shared" si="3"/>
        <v xml:space="preserve">req.body.Q080 , </v>
      </c>
    </row>
    <row r="83" spans="1:3">
      <c r="A83" t="str">
        <f>remedies_names!A82</f>
        <v>R081</v>
      </c>
      <c r="B83" t="str">
        <f t="shared" si="2"/>
        <v>Q081</v>
      </c>
      <c r="C83" t="str">
        <f t="shared" si="3"/>
        <v xml:space="preserve">req.body.Q081 , </v>
      </c>
    </row>
    <row r="84" spans="1:3">
      <c r="A84" t="str">
        <f>remedies_names!A83</f>
        <v>R082</v>
      </c>
      <c r="B84" t="str">
        <f t="shared" si="2"/>
        <v>Q082</v>
      </c>
      <c r="C84" t="str">
        <f t="shared" si="3"/>
        <v xml:space="preserve">req.body.Q082 , </v>
      </c>
    </row>
    <row r="85" spans="1:3">
      <c r="A85" t="str">
        <f>remedies_names!A84</f>
        <v>R083</v>
      </c>
      <c r="B85" t="str">
        <f t="shared" si="2"/>
        <v>Q083</v>
      </c>
      <c r="C85" t="str">
        <f t="shared" si="3"/>
        <v xml:space="preserve">req.body.Q083 , </v>
      </c>
    </row>
    <row r="86" spans="1:3">
      <c r="A86" t="str">
        <f>remedies_names!A85</f>
        <v>R084</v>
      </c>
      <c r="B86" t="str">
        <f t="shared" si="2"/>
        <v>Q084</v>
      </c>
      <c r="C86" t="str">
        <f t="shared" si="3"/>
        <v xml:space="preserve">req.body.Q084 , </v>
      </c>
    </row>
    <row r="87" spans="1:3">
      <c r="A87" t="str">
        <f>remedies_names!A86</f>
        <v>R085</v>
      </c>
      <c r="B87" t="str">
        <f t="shared" si="2"/>
        <v>Q085</v>
      </c>
      <c r="C87" t="str">
        <f t="shared" si="3"/>
        <v xml:space="preserve">req.body.Q085 , </v>
      </c>
    </row>
    <row r="88" spans="1:3">
      <c r="A88" t="str">
        <f>remedies_names!A87</f>
        <v>R086</v>
      </c>
      <c r="B88" t="str">
        <f t="shared" si="2"/>
        <v>Q086</v>
      </c>
      <c r="C88" t="str">
        <f t="shared" si="3"/>
        <v xml:space="preserve">req.body.Q086 , </v>
      </c>
    </row>
    <row r="89" spans="1:3">
      <c r="A89" t="str">
        <f>remedies_names!A88</f>
        <v>R087</v>
      </c>
      <c r="B89" t="str">
        <f t="shared" si="2"/>
        <v>Q087</v>
      </c>
      <c r="C89" t="str">
        <f t="shared" si="3"/>
        <v xml:space="preserve">req.body.Q087 , </v>
      </c>
    </row>
    <row r="90" spans="1:3">
      <c r="A90" t="str">
        <f>remedies_names!A89</f>
        <v>R088</v>
      </c>
      <c r="B90" t="str">
        <f t="shared" si="2"/>
        <v>Q088</v>
      </c>
      <c r="C90" t="str">
        <f t="shared" si="3"/>
        <v xml:space="preserve">req.body.Q088 , </v>
      </c>
    </row>
    <row r="91" spans="1:3">
      <c r="A91" t="str">
        <f>remedies_names!A90</f>
        <v>R089</v>
      </c>
      <c r="B91" t="str">
        <f t="shared" si="2"/>
        <v>Q089</v>
      </c>
      <c r="C91" t="str">
        <f t="shared" si="3"/>
        <v xml:space="preserve">req.body.Q089 , </v>
      </c>
    </row>
    <row r="92" spans="1:3">
      <c r="A92" t="str">
        <f>remedies_names!A91</f>
        <v>R090</v>
      </c>
      <c r="B92" t="str">
        <f t="shared" si="2"/>
        <v>Q090</v>
      </c>
      <c r="C92" t="str">
        <f t="shared" si="3"/>
        <v xml:space="preserve">req.body.Q090 , </v>
      </c>
    </row>
    <row r="93" spans="1:3">
      <c r="A93" t="str">
        <f>remedies_names!A92</f>
        <v>R091</v>
      </c>
      <c r="B93" t="str">
        <f t="shared" si="2"/>
        <v>Q091</v>
      </c>
      <c r="C93" t="str">
        <f t="shared" si="3"/>
        <v xml:space="preserve">req.body.Q091 , </v>
      </c>
    </row>
    <row r="94" spans="1:3">
      <c r="A94" t="str">
        <f>remedies_names!A93</f>
        <v>R092</v>
      </c>
      <c r="B94" t="str">
        <f t="shared" si="2"/>
        <v>Q092</v>
      </c>
      <c r="C94" t="str">
        <f t="shared" si="3"/>
        <v xml:space="preserve">req.body.Q092 , </v>
      </c>
    </row>
    <row r="95" spans="1:3">
      <c r="A95" t="str">
        <f>remedies_names!A94</f>
        <v>R093</v>
      </c>
      <c r="B95" t="str">
        <f t="shared" si="2"/>
        <v>Q093</v>
      </c>
      <c r="C95" t="str">
        <f t="shared" si="3"/>
        <v xml:space="preserve">req.body.Q093 , </v>
      </c>
    </row>
    <row r="96" spans="1:3">
      <c r="A96" t="str">
        <f>remedies_names!A95</f>
        <v>R094</v>
      </c>
      <c r="B96" t="str">
        <f t="shared" si="2"/>
        <v>Q094</v>
      </c>
      <c r="C96" t="str">
        <f t="shared" si="3"/>
        <v xml:space="preserve">req.body.Q094 , </v>
      </c>
    </row>
    <row r="97" spans="1:3">
      <c r="A97" t="str">
        <f>remedies_names!A96</f>
        <v>R095</v>
      </c>
      <c r="B97" t="str">
        <f t="shared" si="2"/>
        <v>Q095</v>
      </c>
      <c r="C97" t="str">
        <f t="shared" si="3"/>
        <v xml:space="preserve">req.body.Q095 , </v>
      </c>
    </row>
    <row r="98" spans="1:3">
      <c r="A98" t="str">
        <f>remedies_names!A97</f>
        <v>R096</v>
      </c>
      <c r="B98" t="str">
        <f t="shared" si="2"/>
        <v>Q096</v>
      </c>
      <c r="C98" t="str">
        <f t="shared" si="3"/>
        <v xml:space="preserve">req.body.Q096 , </v>
      </c>
    </row>
    <row r="99" spans="1:3">
      <c r="A99" t="str">
        <f>remedies_names!A98</f>
        <v>R097</v>
      </c>
      <c r="B99" t="str">
        <f t="shared" si="2"/>
        <v>Q097</v>
      </c>
      <c r="C99" t="str">
        <f t="shared" si="3"/>
        <v xml:space="preserve">req.body.Q097 , </v>
      </c>
    </row>
    <row r="100" spans="1:3">
      <c r="A100" t="str">
        <f>remedies_names!A99</f>
        <v>R098</v>
      </c>
      <c r="B100" t="str">
        <f t="shared" si="2"/>
        <v>Q098</v>
      </c>
      <c r="C100" t="str">
        <f t="shared" si="3"/>
        <v xml:space="preserve">req.body.Q098 , </v>
      </c>
    </row>
    <row r="101" spans="1:3">
      <c r="A101" t="str">
        <f>remedies_names!A100</f>
        <v>R099</v>
      </c>
      <c r="B101" t="str">
        <f t="shared" si="2"/>
        <v>Q099</v>
      </c>
      <c r="C101" t="str">
        <f t="shared" si="3"/>
        <v xml:space="preserve">req.body.Q099 , </v>
      </c>
    </row>
    <row r="102" spans="1:3">
      <c r="A102" t="str">
        <f>remedies_names!A101</f>
        <v>R100</v>
      </c>
      <c r="B102" t="str">
        <f t="shared" si="2"/>
        <v>Q100</v>
      </c>
      <c r="C102" t="str">
        <f t="shared" si="3"/>
        <v xml:space="preserve">req.body.Q100 , </v>
      </c>
    </row>
    <row r="103" spans="1:3">
      <c r="A103" t="str">
        <f>remedies_names!A102</f>
        <v>R101</v>
      </c>
      <c r="B103" t="str">
        <f t="shared" si="2"/>
        <v>Q101</v>
      </c>
      <c r="C103" t="str">
        <f t="shared" si="3"/>
        <v xml:space="preserve">req.body.Q101 , </v>
      </c>
    </row>
    <row r="104" spans="1:3">
      <c r="A104" t="str">
        <f>remedies_names!A103</f>
        <v>R102</v>
      </c>
      <c r="B104" t="str">
        <f t="shared" si="2"/>
        <v>Q102</v>
      </c>
      <c r="C104" t="str">
        <f t="shared" si="3"/>
        <v xml:space="preserve">req.body.Q102 , </v>
      </c>
    </row>
    <row r="105" spans="1:3">
      <c r="A105" t="str">
        <f>remedies_names!A104</f>
        <v>R103</v>
      </c>
      <c r="B105" t="str">
        <f t="shared" si="2"/>
        <v>Q103</v>
      </c>
      <c r="C105" t="str">
        <f t="shared" si="3"/>
        <v xml:space="preserve">req.body.Q103 , </v>
      </c>
    </row>
    <row r="106" spans="1:3">
      <c r="A106" t="str">
        <f>remedies_names!A105</f>
        <v>R104</v>
      </c>
      <c r="B106" t="str">
        <f t="shared" si="2"/>
        <v>Q104</v>
      </c>
      <c r="C106" t="str">
        <f t="shared" si="3"/>
        <v xml:space="preserve">req.body.Q104 , </v>
      </c>
    </row>
    <row r="107" spans="1:3">
      <c r="A107" t="str">
        <f>remedies_names!A106</f>
        <v>R105</v>
      </c>
      <c r="B107" t="str">
        <f t="shared" si="2"/>
        <v>Q105</v>
      </c>
      <c r="C107" t="str">
        <f t="shared" si="3"/>
        <v xml:space="preserve">req.body.Q105 , </v>
      </c>
    </row>
    <row r="108" spans="1:3">
      <c r="A108" t="str">
        <f>remedies_names!A107</f>
        <v>R106</v>
      </c>
      <c r="B108" t="str">
        <f t="shared" si="2"/>
        <v>Q106</v>
      </c>
      <c r="C108" t="str">
        <f t="shared" si="3"/>
        <v xml:space="preserve">req.body.Q106 , </v>
      </c>
    </row>
    <row r="109" spans="1:3">
      <c r="A109" t="str">
        <f>remedies_names!A108</f>
        <v>R107</v>
      </c>
      <c r="B109" t="str">
        <f t="shared" si="2"/>
        <v>Q107</v>
      </c>
      <c r="C109" t="str">
        <f t="shared" si="3"/>
        <v xml:space="preserve">req.body.Q107 , </v>
      </c>
    </row>
    <row r="110" spans="1:3">
      <c r="A110" t="str">
        <f>remedies_names!A109</f>
        <v>R108</v>
      </c>
      <c r="B110" t="str">
        <f t="shared" si="2"/>
        <v>Q108</v>
      </c>
      <c r="C110" t="str">
        <f t="shared" si="3"/>
        <v xml:space="preserve">req.body.Q108 , </v>
      </c>
    </row>
    <row r="111" spans="1:3">
      <c r="A111" t="str">
        <f>remedies_names!A110</f>
        <v>R109</v>
      </c>
      <c r="B111" t="str">
        <f t="shared" si="2"/>
        <v>Q109</v>
      </c>
      <c r="C111" t="str">
        <f t="shared" si="3"/>
        <v xml:space="preserve">req.body.Q109 , </v>
      </c>
    </row>
    <row r="112" spans="1:3">
      <c r="A112" t="str">
        <f>remedies_names!A111</f>
        <v>R110</v>
      </c>
      <c r="B112" t="str">
        <f t="shared" si="2"/>
        <v>Q110</v>
      </c>
      <c r="C112" t="str">
        <f t="shared" si="3"/>
        <v xml:space="preserve">req.body.Q110 , </v>
      </c>
    </row>
    <row r="113" spans="1:3">
      <c r="A113" t="str">
        <f>remedies_names!A112</f>
        <v>R111</v>
      </c>
      <c r="B113" t="str">
        <f t="shared" si="2"/>
        <v>Q111</v>
      </c>
      <c r="C113" t="str">
        <f t="shared" si="3"/>
        <v xml:space="preserve">req.body.Q111 , </v>
      </c>
    </row>
    <row r="114" spans="1:3">
      <c r="A114" t="str">
        <f>remedies_names!A113</f>
        <v>R112</v>
      </c>
      <c r="B114" t="str">
        <f t="shared" si="2"/>
        <v>Q112</v>
      </c>
      <c r="C114" t="str">
        <f t="shared" si="3"/>
        <v xml:space="preserve">req.body.Q112 , </v>
      </c>
    </row>
    <row r="115" spans="1:3">
      <c r="A115" t="str">
        <f>remedies_names!A114</f>
        <v>R113</v>
      </c>
      <c r="B115" t="str">
        <f t="shared" si="2"/>
        <v>Q113</v>
      </c>
      <c r="C115" t="str">
        <f t="shared" si="3"/>
        <v xml:space="preserve">req.body.Q113 , </v>
      </c>
    </row>
    <row r="116" spans="1:3">
      <c r="A116" t="str">
        <f>remedies_names!A115</f>
        <v>R114</v>
      </c>
      <c r="B116" t="str">
        <f t="shared" si="2"/>
        <v>Q114</v>
      </c>
      <c r="C116" t="str">
        <f t="shared" si="3"/>
        <v xml:space="preserve">req.body.Q114 , </v>
      </c>
    </row>
    <row r="117" spans="1:3">
      <c r="A117" t="str">
        <f>remedies_names!A116</f>
        <v>R115</v>
      </c>
      <c r="B117" t="str">
        <f t="shared" si="2"/>
        <v>Q115</v>
      </c>
      <c r="C117" t="str">
        <f t="shared" si="3"/>
        <v xml:space="preserve">req.body.Q115 , </v>
      </c>
    </row>
    <row r="118" spans="1:3">
      <c r="A118" t="str">
        <f>remedies_names!A117</f>
        <v>R116</v>
      </c>
      <c r="B118" t="str">
        <f t="shared" si="2"/>
        <v>Q116</v>
      </c>
      <c r="C118" t="str">
        <f t="shared" si="3"/>
        <v xml:space="preserve">req.body.Q116 , </v>
      </c>
    </row>
    <row r="119" spans="1:3">
      <c r="A119" t="str">
        <f>remedies_names!A118</f>
        <v>R117</v>
      </c>
      <c r="B119" t="str">
        <f t="shared" si="2"/>
        <v>Q117</v>
      </c>
      <c r="C119" t="str">
        <f t="shared" si="3"/>
        <v xml:space="preserve">req.body.Q117 , </v>
      </c>
    </row>
    <row r="120" spans="1:3">
      <c r="A120" t="str">
        <f>remedies_names!A119</f>
        <v>R118</v>
      </c>
      <c r="B120" t="str">
        <f t="shared" si="2"/>
        <v>Q118</v>
      </c>
      <c r="C120" t="str">
        <f t="shared" si="3"/>
        <v xml:space="preserve">req.body.Q118 , </v>
      </c>
    </row>
    <row r="121" spans="1:3">
      <c r="A121" t="str">
        <f>remedies_names!A120</f>
        <v>R119</v>
      </c>
      <c r="B121" t="str">
        <f t="shared" si="2"/>
        <v>Q119</v>
      </c>
      <c r="C121" t="str">
        <f t="shared" si="3"/>
        <v xml:space="preserve">req.body.Q119 , </v>
      </c>
    </row>
    <row r="122" spans="1:3">
      <c r="A122" t="str">
        <f>remedies_names!A121</f>
        <v>R120</v>
      </c>
      <c r="B122" t="str">
        <f t="shared" si="2"/>
        <v>Q120</v>
      </c>
      <c r="C122" t="str">
        <f t="shared" si="3"/>
        <v xml:space="preserve">req.body.Q120 , </v>
      </c>
    </row>
    <row r="123" spans="1:3">
      <c r="A123" t="str">
        <f>remedies_names!A122</f>
        <v>R121</v>
      </c>
      <c r="B123" t="str">
        <f t="shared" si="2"/>
        <v>Q121</v>
      </c>
      <c r="C123" t="str">
        <f t="shared" si="3"/>
        <v xml:space="preserve">req.body.Q121 , </v>
      </c>
    </row>
    <row r="124" spans="1:3">
      <c r="A124" t="str">
        <f>remedies_names!A123</f>
        <v>R122</v>
      </c>
      <c r="B124" t="str">
        <f t="shared" si="2"/>
        <v>Q122</v>
      </c>
      <c r="C124" t="str">
        <f t="shared" si="3"/>
        <v xml:space="preserve">req.body.Q122 , </v>
      </c>
    </row>
    <row r="125" spans="1:3">
      <c r="A125" t="str">
        <f>remedies_names!A124</f>
        <v>R123</v>
      </c>
      <c r="B125" t="str">
        <f t="shared" si="2"/>
        <v>Q123</v>
      </c>
      <c r="C125" t="str">
        <f t="shared" si="3"/>
        <v xml:space="preserve">req.body.Q123 , </v>
      </c>
    </row>
    <row r="126" spans="1:3">
      <c r="A126" t="str">
        <f>remedies_names!A125</f>
        <v>R124</v>
      </c>
      <c r="B126" t="str">
        <f t="shared" si="2"/>
        <v>Q124</v>
      </c>
      <c r="C126" t="str">
        <f t="shared" si="3"/>
        <v xml:space="preserve">req.body.Q124 , </v>
      </c>
    </row>
    <row r="127" spans="1:3">
      <c r="A127" t="str">
        <f>remedies_names!A126</f>
        <v>R125</v>
      </c>
      <c r="B127" t="str">
        <f t="shared" si="2"/>
        <v>Q125</v>
      </c>
      <c r="C127" t="str">
        <f t="shared" si="3"/>
        <v xml:space="preserve">req.body.Q125 , </v>
      </c>
    </row>
    <row r="128" spans="1:3">
      <c r="A128" t="str">
        <f>remedies_names!A127</f>
        <v>R126</v>
      </c>
      <c r="B128" t="str">
        <f t="shared" si="2"/>
        <v>Q126</v>
      </c>
      <c r="C128" t="str">
        <f t="shared" si="3"/>
        <v xml:space="preserve">req.body.Q126 , </v>
      </c>
    </row>
    <row r="129" spans="1:3">
      <c r="A129" t="str">
        <f>remedies_names!A128</f>
        <v>R127</v>
      </c>
      <c r="B129" t="str">
        <f t="shared" si="2"/>
        <v>Q127</v>
      </c>
      <c r="C129" t="str">
        <f t="shared" si="3"/>
        <v xml:space="preserve">req.body.Q127 , </v>
      </c>
    </row>
    <row r="130" spans="1:3">
      <c r="A130" t="str">
        <f>remedies_names!A129</f>
        <v>R128</v>
      </c>
      <c r="B130" t="str">
        <f t="shared" si="2"/>
        <v>Q128</v>
      </c>
      <c r="C130" t="str">
        <f t="shared" si="3"/>
        <v xml:space="preserve">req.body.Q128 , </v>
      </c>
    </row>
    <row r="131" spans="1:3">
      <c r="A131" t="str">
        <f>remedies_names!A130</f>
        <v>R129</v>
      </c>
      <c r="B131" t="str">
        <f t="shared" si="2"/>
        <v>Q129</v>
      </c>
      <c r="C131" t="str">
        <f t="shared" si="3"/>
        <v xml:space="preserve">req.body.Q129 , </v>
      </c>
    </row>
    <row r="132" spans="1:3">
      <c r="A132" t="str">
        <f>remedies_names!A131</f>
        <v>R130</v>
      </c>
      <c r="B132" t="str">
        <f t="shared" ref="B132:B195" si="4">REPLACE(A132,1,1,"Q")</f>
        <v>Q130</v>
      </c>
      <c r="C132" t="str">
        <f t="shared" ref="C132:C195" si="5">CONCATENATE("req.body.",B132, " , ")</f>
        <v xml:space="preserve">req.body.Q130 , </v>
      </c>
    </row>
    <row r="133" spans="1:3">
      <c r="A133" t="str">
        <f>remedies_names!A132</f>
        <v>R131</v>
      </c>
      <c r="B133" t="str">
        <f t="shared" si="4"/>
        <v>Q131</v>
      </c>
      <c r="C133" t="str">
        <f t="shared" si="5"/>
        <v xml:space="preserve">req.body.Q131 , </v>
      </c>
    </row>
    <row r="134" spans="1:3">
      <c r="A134" t="str">
        <f>remedies_names!A133</f>
        <v>R132</v>
      </c>
      <c r="B134" t="str">
        <f t="shared" si="4"/>
        <v>Q132</v>
      </c>
      <c r="C134" t="str">
        <f t="shared" si="5"/>
        <v xml:space="preserve">req.body.Q132 , </v>
      </c>
    </row>
    <row r="135" spans="1:3">
      <c r="A135" t="str">
        <f>remedies_names!A134</f>
        <v>R133</v>
      </c>
      <c r="B135" t="str">
        <f t="shared" si="4"/>
        <v>Q133</v>
      </c>
      <c r="C135" t="str">
        <f t="shared" si="5"/>
        <v xml:space="preserve">req.body.Q133 , </v>
      </c>
    </row>
    <row r="136" spans="1:3">
      <c r="A136" t="str">
        <f>remedies_names!A135</f>
        <v>R134</v>
      </c>
      <c r="B136" t="str">
        <f t="shared" si="4"/>
        <v>Q134</v>
      </c>
      <c r="C136" t="str">
        <f t="shared" si="5"/>
        <v xml:space="preserve">req.body.Q134 , </v>
      </c>
    </row>
    <row r="137" spans="1:3">
      <c r="A137" t="str">
        <f>remedies_names!A136</f>
        <v>R135</v>
      </c>
      <c r="B137" t="str">
        <f t="shared" si="4"/>
        <v>Q135</v>
      </c>
      <c r="C137" t="str">
        <f t="shared" si="5"/>
        <v xml:space="preserve">req.body.Q135 , </v>
      </c>
    </row>
    <row r="138" spans="1:3">
      <c r="A138" t="str">
        <f>remedies_names!A137</f>
        <v>R136</v>
      </c>
      <c r="B138" t="str">
        <f t="shared" si="4"/>
        <v>Q136</v>
      </c>
      <c r="C138" t="str">
        <f t="shared" si="5"/>
        <v xml:space="preserve">req.body.Q136 , </v>
      </c>
    </row>
    <row r="139" spans="1:3">
      <c r="A139" t="str">
        <f>remedies_names!A138</f>
        <v>R137</v>
      </c>
      <c r="B139" t="str">
        <f t="shared" si="4"/>
        <v>Q137</v>
      </c>
      <c r="C139" t="str">
        <f t="shared" si="5"/>
        <v xml:space="preserve">req.body.Q137 , </v>
      </c>
    </row>
    <row r="140" spans="1:3">
      <c r="A140" t="str">
        <f>remedies_names!A139</f>
        <v>R138</v>
      </c>
      <c r="B140" t="str">
        <f t="shared" si="4"/>
        <v>Q138</v>
      </c>
      <c r="C140" t="str">
        <f t="shared" si="5"/>
        <v xml:space="preserve">req.body.Q138 , </v>
      </c>
    </row>
    <row r="141" spans="1:3">
      <c r="A141" t="str">
        <f>remedies_names!A140</f>
        <v>R139</v>
      </c>
      <c r="B141" t="str">
        <f t="shared" si="4"/>
        <v>Q139</v>
      </c>
      <c r="C141" t="str">
        <f t="shared" si="5"/>
        <v xml:space="preserve">req.body.Q139 , </v>
      </c>
    </row>
    <row r="142" spans="1:3">
      <c r="A142" t="str">
        <f>remedies_names!A141</f>
        <v>R140</v>
      </c>
      <c r="B142" t="str">
        <f t="shared" si="4"/>
        <v>Q140</v>
      </c>
      <c r="C142" t="str">
        <f t="shared" si="5"/>
        <v xml:space="preserve">req.body.Q140 , </v>
      </c>
    </row>
    <row r="143" spans="1:3">
      <c r="A143" t="str">
        <f>remedies_names!A142</f>
        <v>R141</v>
      </c>
      <c r="B143" t="str">
        <f t="shared" si="4"/>
        <v>Q141</v>
      </c>
      <c r="C143" t="str">
        <f t="shared" si="5"/>
        <v xml:space="preserve">req.body.Q141 , </v>
      </c>
    </row>
    <row r="144" spans="1:3">
      <c r="A144" t="str">
        <f>remedies_names!A143</f>
        <v>R142</v>
      </c>
      <c r="B144" t="str">
        <f t="shared" si="4"/>
        <v>Q142</v>
      </c>
      <c r="C144" t="str">
        <f t="shared" si="5"/>
        <v xml:space="preserve">req.body.Q142 , </v>
      </c>
    </row>
    <row r="145" spans="1:3">
      <c r="A145" t="str">
        <f>remedies_names!A144</f>
        <v>R143</v>
      </c>
      <c r="B145" t="str">
        <f t="shared" si="4"/>
        <v>Q143</v>
      </c>
      <c r="C145" t="str">
        <f t="shared" si="5"/>
        <v xml:space="preserve">req.body.Q143 , </v>
      </c>
    </row>
    <row r="146" spans="1:3">
      <c r="A146" t="str">
        <f>remedies_names!A145</f>
        <v>R144</v>
      </c>
      <c r="B146" t="str">
        <f t="shared" si="4"/>
        <v>Q144</v>
      </c>
      <c r="C146" t="str">
        <f t="shared" si="5"/>
        <v xml:space="preserve">req.body.Q144 , </v>
      </c>
    </row>
    <row r="147" spans="1:3">
      <c r="A147" t="str">
        <f>remedies_names!A146</f>
        <v>R145</v>
      </c>
      <c r="B147" t="str">
        <f t="shared" si="4"/>
        <v>Q145</v>
      </c>
      <c r="C147" t="str">
        <f t="shared" si="5"/>
        <v xml:space="preserve">req.body.Q145 , </v>
      </c>
    </row>
    <row r="148" spans="1:3">
      <c r="A148" t="str">
        <f>remedies_names!A147</f>
        <v>R146</v>
      </c>
      <c r="B148" t="str">
        <f t="shared" si="4"/>
        <v>Q146</v>
      </c>
      <c r="C148" t="str">
        <f t="shared" si="5"/>
        <v xml:space="preserve">req.body.Q146 , </v>
      </c>
    </row>
    <row r="149" spans="1:3">
      <c r="A149" t="str">
        <f>remedies_names!A148</f>
        <v>R147</v>
      </c>
      <c r="B149" t="str">
        <f t="shared" si="4"/>
        <v>Q147</v>
      </c>
      <c r="C149" t="str">
        <f t="shared" si="5"/>
        <v xml:space="preserve">req.body.Q147 , </v>
      </c>
    </row>
    <row r="150" spans="1:3">
      <c r="A150" t="str">
        <f>remedies_names!A149</f>
        <v>R148</v>
      </c>
      <c r="B150" t="str">
        <f t="shared" si="4"/>
        <v>Q148</v>
      </c>
      <c r="C150" t="str">
        <f t="shared" si="5"/>
        <v xml:space="preserve">req.body.Q148 , </v>
      </c>
    </row>
    <row r="151" spans="1:3">
      <c r="A151" t="str">
        <f>remedies_names!A150</f>
        <v>R149</v>
      </c>
      <c r="B151" t="str">
        <f t="shared" si="4"/>
        <v>Q149</v>
      </c>
      <c r="C151" t="str">
        <f t="shared" si="5"/>
        <v xml:space="preserve">req.body.Q149 , </v>
      </c>
    </row>
    <row r="152" spans="1:3">
      <c r="A152" t="str">
        <f>remedies_names!A151</f>
        <v>R150</v>
      </c>
      <c r="B152" t="str">
        <f t="shared" si="4"/>
        <v>Q150</v>
      </c>
      <c r="C152" t="str">
        <f t="shared" si="5"/>
        <v xml:space="preserve">req.body.Q150 , </v>
      </c>
    </row>
    <row r="153" spans="1:3">
      <c r="A153" t="str">
        <f>remedies_names!A152</f>
        <v>R151</v>
      </c>
      <c r="B153" t="str">
        <f t="shared" si="4"/>
        <v>Q151</v>
      </c>
      <c r="C153" t="str">
        <f t="shared" si="5"/>
        <v xml:space="preserve">req.body.Q151 , </v>
      </c>
    </row>
    <row r="154" spans="1:3">
      <c r="A154" t="str">
        <f>remedies_names!A153</f>
        <v>R152</v>
      </c>
      <c r="B154" t="str">
        <f t="shared" si="4"/>
        <v>Q152</v>
      </c>
      <c r="C154" t="str">
        <f t="shared" si="5"/>
        <v xml:space="preserve">req.body.Q152 , </v>
      </c>
    </row>
    <row r="155" spans="1:3">
      <c r="A155" t="str">
        <f>remedies_names!A154</f>
        <v>R153</v>
      </c>
      <c r="B155" t="str">
        <f t="shared" si="4"/>
        <v>Q153</v>
      </c>
      <c r="C155" t="str">
        <f t="shared" si="5"/>
        <v xml:space="preserve">req.body.Q153 , </v>
      </c>
    </row>
    <row r="156" spans="1:3">
      <c r="A156" t="str">
        <f>remedies_names!A155</f>
        <v>R154</v>
      </c>
      <c r="B156" t="str">
        <f t="shared" si="4"/>
        <v>Q154</v>
      </c>
      <c r="C156" t="str">
        <f t="shared" si="5"/>
        <v xml:space="preserve">req.body.Q154 , </v>
      </c>
    </row>
    <row r="157" spans="1:3">
      <c r="A157" t="str">
        <f>remedies_names!A156</f>
        <v>R155</v>
      </c>
      <c r="B157" t="str">
        <f t="shared" si="4"/>
        <v>Q155</v>
      </c>
      <c r="C157" t="str">
        <f t="shared" si="5"/>
        <v xml:space="preserve">req.body.Q155 , </v>
      </c>
    </row>
    <row r="158" spans="1:3">
      <c r="A158" t="str">
        <f>remedies_names!A157</f>
        <v>R156</v>
      </c>
      <c r="B158" t="str">
        <f t="shared" si="4"/>
        <v>Q156</v>
      </c>
      <c r="C158" t="str">
        <f t="shared" si="5"/>
        <v xml:space="preserve">req.body.Q156 , </v>
      </c>
    </row>
    <row r="159" spans="1:3">
      <c r="A159" t="str">
        <f>remedies_names!A158</f>
        <v>R157</v>
      </c>
      <c r="B159" t="str">
        <f t="shared" si="4"/>
        <v>Q157</v>
      </c>
      <c r="C159" t="str">
        <f t="shared" si="5"/>
        <v xml:space="preserve">req.body.Q157 , </v>
      </c>
    </row>
    <row r="160" spans="1:3">
      <c r="A160" t="str">
        <f>remedies_names!A159</f>
        <v>R158</v>
      </c>
      <c r="B160" t="str">
        <f t="shared" si="4"/>
        <v>Q158</v>
      </c>
      <c r="C160" t="str">
        <f t="shared" si="5"/>
        <v xml:space="preserve">req.body.Q158 , </v>
      </c>
    </row>
    <row r="161" spans="1:3">
      <c r="A161" t="str">
        <f>remedies_names!A160</f>
        <v>R159</v>
      </c>
      <c r="B161" t="str">
        <f t="shared" si="4"/>
        <v>Q159</v>
      </c>
      <c r="C161" t="str">
        <f t="shared" si="5"/>
        <v xml:space="preserve">req.body.Q159 , </v>
      </c>
    </row>
    <row r="162" spans="1:3">
      <c r="A162" t="str">
        <f>remedies_names!A161</f>
        <v>R160</v>
      </c>
      <c r="B162" t="str">
        <f t="shared" si="4"/>
        <v>Q160</v>
      </c>
      <c r="C162" t="str">
        <f t="shared" si="5"/>
        <v xml:space="preserve">req.body.Q160 , </v>
      </c>
    </row>
    <row r="163" spans="1:3">
      <c r="A163" t="str">
        <f>remedies_names!A162</f>
        <v>R161</v>
      </c>
      <c r="B163" t="str">
        <f t="shared" si="4"/>
        <v>Q161</v>
      </c>
      <c r="C163" t="str">
        <f t="shared" si="5"/>
        <v xml:space="preserve">req.body.Q161 , </v>
      </c>
    </row>
    <row r="164" spans="1:3">
      <c r="A164" t="str">
        <f>remedies_names!A163</f>
        <v>R162</v>
      </c>
      <c r="B164" t="str">
        <f t="shared" si="4"/>
        <v>Q162</v>
      </c>
      <c r="C164" t="str">
        <f t="shared" si="5"/>
        <v xml:space="preserve">req.body.Q162 , </v>
      </c>
    </row>
    <row r="165" spans="1:3">
      <c r="A165" t="str">
        <f>remedies_names!A164</f>
        <v>R163</v>
      </c>
      <c r="B165" t="str">
        <f t="shared" si="4"/>
        <v>Q163</v>
      </c>
      <c r="C165" t="str">
        <f t="shared" si="5"/>
        <v xml:space="preserve">req.body.Q163 , </v>
      </c>
    </row>
    <row r="166" spans="1:3">
      <c r="A166" t="str">
        <f>remedies_names!A165</f>
        <v>R164</v>
      </c>
      <c r="B166" t="str">
        <f t="shared" si="4"/>
        <v>Q164</v>
      </c>
      <c r="C166" t="str">
        <f t="shared" si="5"/>
        <v xml:space="preserve">req.body.Q164 , </v>
      </c>
    </row>
    <row r="167" spans="1:3">
      <c r="A167" t="str">
        <f>remedies_names!A166</f>
        <v>R165</v>
      </c>
      <c r="B167" t="str">
        <f t="shared" si="4"/>
        <v>Q165</v>
      </c>
      <c r="C167" t="str">
        <f t="shared" si="5"/>
        <v xml:space="preserve">req.body.Q165 , </v>
      </c>
    </row>
    <row r="168" spans="1:3">
      <c r="A168" t="str">
        <f>remedies_names!A167</f>
        <v>R166</v>
      </c>
      <c r="B168" t="str">
        <f t="shared" si="4"/>
        <v>Q166</v>
      </c>
      <c r="C168" t="str">
        <f t="shared" si="5"/>
        <v xml:space="preserve">req.body.Q166 , </v>
      </c>
    </row>
    <row r="169" spans="1:3">
      <c r="A169" t="str">
        <f>remedies_names!A168</f>
        <v>R167</v>
      </c>
      <c r="B169" t="str">
        <f t="shared" si="4"/>
        <v>Q167</v>
      </c>
      <c r="C169" t="str">
        <f t="shared" si="5"/>
        <v xml:space="preserve">req.body.Q167 , </v>
      </c>
    </row>
    <row r="170" spans="1:3">
      <c r="A170" t="str">
        <f>remedies_names!A169</f>
        <v>R168</v>
      </c>
      <c r="B170" t="str">
        <f t="shared" si="4"/>
        <v>Q168</v>
      </c>
      <c r="C170" t="str">
        <f t="shared" si="5"/>
        <v xml:space="preserve">req.body.Q168 , </v>
      </c>
    </row>
    <row r="171" spans="1:3">
      <c r="A171" t="str">
        <f>remedies_names!A170</f>
        <v>R169</v>
      </c>
      <c r="B171" t="str">
        <f t="shared" si="4"/>
        <v>Q169</v>
      </c>
      <c r="C171" t="str">
        <f t="shared" si="5"/>
        <v xml:space="preserve">req.body.Q169 , </v>
      </c>
    </row>
    <row r="172" spans="1:3">
      <c r="A172" t="str">
        <f>remedies_names!A171</f>
        <v>R170</v>
      </c>
      <c r="B172" t="str">
        <f t="shared" si="4"/>
        <v>Q170</v>
      </c>
      <c r="C172" t="str">
        <f t="shared" si="5"/>
        <v xml:space="preserve">req.body.Q170 , </v>
      </c>
    </row>
    <row r="173" spans="1:3">
      <c r="A173" t="str">
        <f>remedies_names!A172</f>
        <v>R171</v>
      </c>
      <c r="B173" t="str">
        <f t="shared" si="4"/>
        <v>Q171</v>
      </c>
      <c r="C173" t="str">
        <f t="shared" si="5"/>
        <v xml:space="preserve">req.body.Q171 , </v>
      </c>
    </row>
    <row r="174" spans="1:3">
      <c r="A174" t="str">
        <f>remedies_names!A173</f>
        <v>R172</v>
      </c>
      <c r="B174" t="str">
        <f t="shared" si="4"/>
        <v>Q172</v>
      </c>
      <c r="C174" t="str">
        <f t="shared" si="5"/>
        <v xml:space="preserve">req.body.Q172 , </v>
      </c>
    </row>
    <row r="175" spans="1:3">
      <c r="A175" t="str">
        <f>remedies_names!A174</f>
        <v>R173</v>
      </c>
      <c r="B175" t="str">
        <f t="shared" si="4"/>
        <v>Q173</v>
      </c>
      <c r="C175" t="str">
        <f t="shared" si="5"/>
        <v xml:space="preserve">req.body.Q173 , </v>
      </c>
    </row>
    <row r="176" spans="1:3">
      <c r="A176" t="str">
        <f>remedies_names!A175</f>
        <v>R174</v>
      </c>
      <c r="B176" t="str">
        <f t="shared" si="4"/>
        <v>Q174</v>
      </c>
      <c r="C176" t="str">
        <f t="shared" si="5"/>
        <v xml:space="preserve">req.body.Q174 , </v>
      </c>
    </row>
    <row r="177" spans="1:3">
      <c r="A177" t="str">
        <f>remedies_names!A176</f>
        <v>R175</v>
      </c>
      <c r="B177" t="str">
        <f t="shared" si="4"/>
        <v>Q175</v>
      </c>
      <c r="C177" t="str">
        <f t="shared" si="5"/>
        <v xml:space="preserve">req.body.Q175 , </v>
      </c>
    </row>
    <row r="178" spans="1:3">
      <c r="A178" t="str">
        <f>remedies_names!A177</f>
        <v>R176</v>
      </c>
      <c r="B178" t="str">
        <f t="shared" si="4"/>
        <v>Q176</v>
      </c>
      <c r="C178" t="str">
        <f t="shared" si="5"/>
        <v xml:space="preserve">req.body.Q176 , </v>
      </c>
    </row>
    <row r="179" spans="1:3">
      <c r="A179" t="str">
        <f>remedies_names!A178</f>
        <v>R177</v>
      </c>
      <c r="B179" t="str">
        <f t="shared" si="4"/>
        <v>Q177</v>
      </c>
      <c r="C179" t="str">
        <f t="shared" si="5"/>
        <v xml:space="preserve">req.body.Q177 , </v>
      </c>
    </row>
    <row r="180" spans="1:3">
      <c r="A180" t="str">
        <f>remedies_names!A179</f>
        <v>R178</v>
      </c>
      <c r="B180" t="str">
        <f t="shared" si="4"/>
        <v>Q178</v>
      </c>
      <c r="C180" t="str">
        <f t="shared" si="5"/>
        <v xml:space="preserve">req.body.Q178 , </v>
      </c>
    </row>
    <row r="181" spans="1:3">
      <c r="A181" t="str">
        <f>remedies_names!A180</f>
        <v>R179</v>
      </c>
      <c r="B181" t="str">
        <f t="shared" si="4"/>
        <v>Q179</v>
      </c>
      <c r="C181" t="str">
        <f t="shared" si="5"/>
        <v xml:space="preserve">req.body.Q179 , </v>
      </c>
    </row>
    <row r="182" spans="1:3">
      <c r="A182" t="str">
        <f>remedies_names!A181</f>
        <v>R180</v>
      </c>
      <c r="B182" t="str">
        <f t="shared" si="4"/>
        <v>Q180</v>
      </c>
      <c r="C182" t="str">
        <f t="shared" si="5"/>
        <v xml:space="preserve">req.body.Q180 , </v>
      </c>
    </row>
    <row r="183" spans="1:3">
      <c r="A183" t="str">
        <f>remedies_names!A182</f>
        <v>R181</v>
      </c>
      <c r="B183" t="str">
        <f t="shared" si="4"/>
        <v>Q181</v>
      </c>
      <c r="C183" t="str">
        <f t="shared" si="5"/>
        <v xml:space="preserve">req.body.Q181 , </v>
      </c>
    </row>
    <row r="184" spans="1:3">
      <c r="A184" t="str">
        <f>remedies_names!A183</f>
        <v>R182</v>
      </c>
      <c r="B184" t="str">
        <f t="shared" si="4"/>
        <v>Q182</v>
      </c>
      <c r="C184" t="str">
        <f t="shared" si="5"/>
        <v xml:space="preserve">req.body.Q182 , </v>
      </c>
    </row>
    <row r="185" spans="1:3">
      <c r="A185" t="str">
        <f>remedies_names!A184</f>
        <v>R183</v>
      </c>
      <c r="B185" t="str">
        <f t="shared" si="4"/>
        <v>Q183</v>
      </c>
      <c r="C185" t="str">
        <f t="shared" si="5"/>
        <v xml:space="preserve">req.body.Q183 , </v>
      </c>
    </row>
    <row r="186" spans="1:3">
      <c r="A186" t="str">
        <f>remedies_names!A185</f>
        <v>R184</v>
      </c>
      <c r="B186" t="str">
        <f t="shared" si="4"/>
        <v>Q184</v>
      </c>
      <c r="C186" t="str">
        <f t="shared" si="5"/>
        <v xml:space="preserve">req.body.Q184 , </v>
      </c>
    </row>
    <row r="187" spans="1:3">
      <c r="A187" t="str">
        <f>remedies_names!A186</f>
        <v>R185</v>
      </c>
      <c r="B187" t="str">
        <f t="shared" si="4"/>
        <v>Q185</v>
      </c>
      <c r="C187" t="str">
        <f t="shared" si="5"/>
        <v xml:space="preserve">req.body.Q185 , </v>
      </c>
    </row>
    <row r="188" spans="1:3">
      <c r="A188" t="str">
        <f>remedies_names!A187</f>
        <v>R186</v>
      </c>
      <c r="B188" t="str">
        <f t="shared" si="4"/>
        <v>Q186</v>
      </c>
      <c r="C188" t="str">
        <f t="shared" si="5"/>
        <v xml:space="preserve">req.body.Q186 , </v>
      </c>
    </row>
    <row r="189" spans="1:3">
      <c r="A189" t="str">
        <f>remedies_names!A188</f>
        <v>R187</v>
      </c>
      <c r="B189" t="str">
        <f t="shared" si="4"/>
        <v>Q187</v>
      </c>
      <c r="C189" t="str">
        <f t="shared" si="5"/>
        <v xml:space="preserve">req.body.Q187 , </v>
      </c>
    </row>
    <row r="190" spans="1:3">
      <c r="A190" t="str">
        <f>remedies_names!A189</f>
        <v>R188</v>
      </c>
      <c r="B190" t="str">
        <f t="shared" si="4"/>
        <v>Q188</v>
      </c>
      <c r="C190" t="str">
        <f t="shared" si="5"/>
        <v xml:space="preserve">req.body.Q188 , </v>
      </c>
    </row>
    <row r="191" spans="1:3">
      <c r="A191" t="str">
        <f>remedies_names!A190</f>
        <v>R189</v>
      </c>
      <c r="B191" t="str">
        <f t="shared" si="4"/>
        <v>Q189</v>
      </c>
      <c r="C191" t="str">
        <f t="shared" si="5"/>
        <v xml:space="preserve">req.body.Q189 , </v>
      </c>
    </row>
    <row r="192" spans="1:3">
      <c r="A192" t="str">
        <f>remedies_names!A191</f>
        <v>R190</v>
      </c>
      <c r="B192" t="str">
        <f t="shared" si="4"/>
        <v>Q190</v>
      </c>
      <c r="C192" t="str">
        <f t="shared" si="5"/>
        <v xml:space="preserve">req.body.Q190 , </v>
      </c>
    </row>
    <row r="193" spans="1:3">
      <c r="A193" t="str">
        <f>remedies_names!A192</f>
        <v>R191</v>
      </c>
      <c r="B193" t="str">
        <f t="shared" si="4"/>
        <v>Q191</v>
      </c>
      <c r="C193" t="str">
        <f t="shared" si="5"/>
        <v xml:space="preserve">req.body.Q191 , </v>
      </c>
    </row>
    <row r="194" spans="1:3">
      <c r="A194" t="str">
        <f>remedies_names!A193</f>
        <v>R192</v>
      </c>
      <c r="B194" t="str">
        <f t="shared" si="4"/>
        <v>Q192</v>
      </c>
      <c r="C194" t="str">
        <f t="shared" si="5"/>
        <v xml:space="preserve">req.body.Q192 , </v>
      </c>
    </row>
    <row r="195" spans="1:3">
      <c r="A195" t="str">
        <f>remedies_names!A194</f>
        <v>R193</v>
      </c>
      <c r="B195" t="str">
        <f t="shared" si="4"/>
        <v>Q193</v>
      </c>
      <c r="C195" t="str">
        <f t="shared" si="5"/>
        <v xml:space="preserve">req.body.Q193 , </v>
      </c>
    </row>
    <row r="196" spans="1:3">
      <c r="A196" t="str">
        <f>remedies_names!A195</f>
        <v>R194</v>
      </c>
      <c r="B196" t="str">
        <f t="shared" ref="B196:B259" si="6">REPLACE(A196,1,1,"Q")</f>
        <v>Q194</v>
      </c>
      <c r="C196" t="str">
        <f t="shared" ref="C196:C259" si="7">CONCATENATE("req.body.",B196, " , ")</f>
        <v xml:space="preserve">req.body.Q194 , </v>
      </c>
    </row>
    <row r="197" spans="1:3">
      <c r="A197" t="str">
        <f>remedies_names!A196</f>
        <v>R195</v>
      </c>
      <c r="B197" t="str">
        <f t="shared" si="6"/>
        <v>Q195</v>
      </c>
      <c r="C197" t="str">
        <f t="shared" si="7"/>
        <v xml:space="preserve">req.body.Q195 , </v>
      </c>
    </row>
    <row r="198" spans="1:3">
      <c r="A198" t="str">
        <f>remedies_names!A197</f>
        <v>R196</v>
      </c>
      <c r="B198" t="str">
        <f t="shared" si="6"/>
        <v>Q196</v>
      </c>
      <c r="C198" t="str">
        <f t="shared" si="7"/>
        <v xml:space="preserve">req.body.Q196 , </v>
      </c>
    </row>
    <row r="199" spans="1:3">
      <c r="A199" t="str">
        <f>remedies_names!A198</f>
        <v>R197</v>
      </c>
      <c r="B199" t="str">
        <f t="shared" si="6"/>
        <v>Q197</v>
      </c>
      <c r="C199" t="str">
        <f t="shared" si="7"/>
        <v xml:space="preserve">req.body.Q197 , </v>
      </c>
    </row>
    <row r="200" spans="1:3">
      <c r="A200" t="str">
        <f>remedies_names!A199</f>
        <v>R198</v>
      </c>
      <c r="B200" t="str">
        <f t="shared" si="6"/>
        <v>Q198</v>
      </c>
      <c r="C200" t="str">
        <f t="shared" si="7"/>
        <v xml:space="preserve">req.body.Q198 , </v>
      </c>
    </row>
    <row r="201" spans="1:3">
      <c r="A201" t="str">
        <f>remedies_names!A200</f>
        <v>R199</v>
      </c>
      <c r="B201" t="str">
        <f t="shared" si="6"/>
        <v>Q199</v>
      </c>
      <c r="C201" t="str">
        <f t="shared" si="7"/>
        <v xml:space="preserve">req.body.Q199 , </v>
      </c>
    </row>
    <row r="202" spans="1:3">
      <c r="A202" t="str">
        <f>remedies_names!A201</f>
        <v>R200</v>
      </c>
      <c r="B202" t="str">
        <f t="shared" si="6"/>
        <v>Q200</v>
      </c>
      <c r="C202" t="str">
        <f t="shared" si="7"/>
        <v xml:space="preserve">req.body.Q200 , </v>
      </c>
    </row>
    <row r="203" spans="1:3">
      <c r="A203" t="str">
        <f>remedies_names!A202</f>
        <v>R201</v>
      </c>
      <c r="B203" t="str">
        <f t="shared" si="6"/>
        <v>Q201</v>
      </c>
      <c r="C203" t="str">
        <f t="shared" si="7"/>
        <v xml:space="preserve">req.body.Q201 , </v>
      </c>
    </row>
    <row r="204" spans="1:3">
      <c r="A204" t="str">
        <f>remedies_names!A203</f>
        <v>R202</v>
      </c>
      <c r="B204" t="str">
        <f t="shared" si="6"/>
        <v>Q202</v>
      </c>
      <c r="C204" t="str">
        <f t="shared" si="7"/>
        <v xml:space="preserve">req.body.Q202 , </v>
      </c>
    </row>
    <row r="205" spans="1:3">
      <c r="A205" t="str">
        <f>remedies_names!A204</f>
        <v>R203</v>
      </c>
      <c r="B205" t="str">
        <f t="shared" si="6"/>
        <v>Q203</v>
      </c>
      <c r="C205" t="str">
        <f t="shared" si="7"/>
        <v xml:space="preserve">req.body.Q203 , </v>
      </c>
    </row>
    <row r="206" spans="1:3">
      <c r="A206" t="str">
        <f>remedies_names!A205</f>
        <v>R204</v>
      </c>
      <c r="B206" t="str">
        <f t="shared" si="6"/>
        <v>Q204</v>
      </c>
      <c r="C206" t="str">
        <f t="shared" si="7"/>
        <v xml:space="preserve">req.body.Q204 , </v>
      </c>
    </row>
    <row r="207" spans="1:3">
      <c r="A207" t="str">
        <f>remedies_names!A206</f>
        <v>R205</v>
      </c>
      <c r="B207" t="str">
        <f t="shared" si="6"/>
        <v>Q205</v>
      </c>
      <c r="C207" t="str">
        <f t="shared" si="7"/>
        <v xml:space="preserve">req.body.Q205 , </v>
      </c>
    </row>
    <row r="208" spans="1:3">
      <c r="A208" t="str">
        <f>remedies_names!A207</f>
        <v>R206</v>
      </c>
      <c r="B208" t="str">
        <f t="shared" si="6"/>
        <v>Q206</v>
      </c>
      <c r="C208" t="str">
        <f t="shared" si="7"/>
        <v xml:space="preserve">req.body.Q206 , </v>
      </c>
    </row>
    <row r="209" spans="1:3">
      <c r="A209" t="str">
        <f>remedies_names!A208</f>
        <v>R207</v>
      </c>
      <c r="B209" t="str">
        <f t="shared" si="6"/>
        <v>Q207</v>
      </c>
      <c r="C209" t="str">
        <f t="shared" si="7"/>
        <v xml:space="preserve">req.body.Q207 , </v>
      </c>
    </row>
    <row r="210" spans="1:3">
      <c r="A210" t="str">
        <f>remedies_names!A209</f>
        <v>R208</v>
      </c>
      <c r="B210" t="str">
        <f t="shared" si="6"/>
        <v>Q208</v>
      </c>
      <c r="C210" t="str">
        <f t="shared" si="7"/>
        <v xml:space="preserve">req.body.Q208 , </v>
      </c>
    </row>
    <row r="211" spans="1:3">
      <c r="A211" t="str">
        <f>remedies_names!A210</f>
        <v>R209</v>
      </c>
      <c r="B211" t="str">
        <f t="shared" si="6"/>
        <v>Q209</v>
      </c>
      <c r="C211" t="str">
        <f t="shared" si="7"/>
        <v xml:space="preserve">req.body.Q209 , </v>
      </c>
    </row>
    <row r="212" spans="1:3">
      <c r="A212" t="str">
        <f>remedies_names!A211</f>
        <v>R210</v>
      </c>
      <c r="B212" t="str">
        <f t="shared" si="6"/>
        <v>Q210</v>
      </c>
      <c r="C212" t="str">
        <f t="shared" si="7"/>
        <v xml:space="preserve">req.body.Q210 , </v>
      </c>
    </row>
    <row r="213" spans="1:3">
      <c r="A213" t="str">
        <f>remedies_names!A212</f>
        <v>R211</v>
      </c>
      <c r="B213" t="str">
        <f t="shared" si="6"/>
        <v>Q211</v>
      </c>
      <c r="C213" t="str">
        <f t="shared" si="7"/>
        <v xml:space="preserve">req.body.Q211 , </v>
      </c>
    </row>
    <row r="214" spans="1:3">
      <c r="A214" t="str">
        <f>remedies_names!A213</f>
        <v>R212</v>
      </c>
      <c r="B214" t="str">
        <f t="shared" si="6"/>
        <v>Q212</v>
      </c>
      <c r="C214" t="str">
        <f t="shared" si="7"/>
        <v xml:space="preserve">req.body.Q212 , </v>
      </c>
    </row>
    <row r="215" spans="1:3">
      <c r="A215" t="str">
        <f>remedies_names!A214</f>
        <v>R213</v>
      </c>
      <c r="B215" t="str">
        <f t="shared" si="6"/>
        <v>Q213</v>
      </c>
      <c r="C215" t="str">
        <f t="shared" si="7"/>
        <v xml:space="preserve">req.body.Q213 , </v>
      </c>
    </row>
    <row r="216" spans="1:3">
      <c r="A216" t="str">
        <f>remedies_names!A215</f>
        <v>R214</v>
      </c>
      <c r="B216" t="str">
        <f t="shared" si="6"/>
        <v>Q214</v>
      </c>
      <c r="C216" t="str">
        <f t="shared" si="7"/>
        <v xml:space="preserve">req.body.Q214 , </v>
      </c>
    </row>
    <row r="217" spans="1:3">
      <c r="A217" t="str">
        <f>remedies_names!A216</f>
        <v>R215</v>
      </c>
      <c r="B217" t="str">
        <f t="shared" si="6"/>
        <v>Q215</v>
      </c>
      <c r="C217" t="str">
        <f t="shared" si="7"/>
        <v xml:space="preserve">req.body.Q215 , </v>
      </c>
    </row>
    <row r="218" spans="1:3">
      <c r="A218" t="str">
        <f>remedies_names!A217</f>
        <v>R216</v>
      </c>
      <c r="B218" t="str">
        <f t="shared" si="6"/>
        <v>Q216</v>
      </c>
      <c r="C218" t="str">
        <f t="shared" si="7"/>
        <v xml:space="preserve">req.body.Q216 , </v>
      </c>
    </row>
    <row r="219" spans="1:3">
      <c r="A219" t="str">
        <f>remedies_names!A218</f>
        <v>R217</v>
      </c>
      <c r="B219" t="str">
        <f t="shared" si="6"/>
        <v>Q217</v>
      </c>
      <c r="C219" t="str">
        <f t="shared" si="7"/>
        <v xml:space="preserve">req.body.Q217 , </v>
      </c>
    </row>
    <row r="220" spans="1:3">
      <c r="A220" t="str">
        <f>remedies_names!A219</f>
        <v>R218</v>
      </c>
      <c r="B220" t="str">
        <f t="shared" si="6"/>
        <v>Q218</v>
      </c>
      <c r="C220" t="str">
        <f t="shared" si="7"/>
        <v xml:space="preserve">req.body.Q218 , </v>
      </c>
    </row>
    <row r="221" spans="1:3">
      <c r="A221" t="str">
        <f>remedies_names!A220</f>
        <v>R219</v>
      </c>
      <c r="B221" t="str">
        <f t="shared" si="6"/>
        <v>Q219</v>
      </c>
      <c r="C221" t="str">
        <f t="shared" si="7"/>
        <v xml:space="preserve">req.body.Q219 , </v>
      </c>
    </row>
    <row r="222" spans="1:3">
      <c r="A222" t="str">
        <f>remedies_names!A221</f>
        <v>R220</v>
      </c>
      <c r="B222" t="str">
        <f t="shared" si="6"/>
        <v>Q220</v>
      </c>
      <c r="C222" t="str">
        <f t="shared" si="7"/>
        <v xml:space="preserve">req.body.Q220 , </v>
      </c>
    </row>
    <row r="223" spans="1:3">
      <c r="A223" t="str">
        <f>remedies_names!A222</f>
        <v>R221</v>
      </c>
      <c r="B223" t="str">
        <f t="shared" si="6"/>
        <v>Q221</v>
      </c>
      <c r="C223" t="str">
        <f t="shared" si="7"/>
        <v xml:space="preserve">req.body.Q221 , </v>
      </c>
    </row>
    <row r="224" spans="1:3">
      <c r="A224" t="str">
        <f>remedies_names!A223</f>
        <v>R222</v>
      </c>
      <c r="B224" t="str">
        <f t="shared" si="6"/>
        <v>Q222</v>
      </c>
      <c r="C224" t="str">
        <f t="shared" si="7"/>
        <v xml:space="preserve">req.body.Q222 , </v>
      </c>
    </row>
    <row r="225" spans="1:3">
      <c r="A225" t="str">
        <f>remedies_names!A224</f>
        <v>R223</v>
      </c>
      <c r="B225" t="str">
        <f t="shared" si="6"/>
        <v>Q223</v>
      </c>
      <c r="C225" t="str">
        <f t="shared" si="7"/>
        <v xml:space="preserve">req.body.Q223 , </v>
      </c>
    </row>
    <row r="226" spans="1:3">
      <c r="A226" t="str">
        <f>remedies_names!A225</f>
        <v>R224</v>
      </c>
      <c r="B226" t="str">
        <f t="shared" si="6"/>
        <v>Q224</v>
      </c>
      <c r="C226" t="str">
        <f t="shared" si="7"/>
        <v xml:space="preserve">req.body.Q224 , </v>
      </c>
    </row>
    <row r="227" spans="1:3">
      <c r="A227" t="str">
        <f>remedies_names!A226</f>
        <v>R225</v>
      </c>
      <c r="B227" t="str">
        <f t="shared" si="6"/>
        <v>Q225</v>
      </c>
      <c r="C227" t="str">
        <f t="shared" si="7"/>
        <v xml:space="preserve">req.body.Q225 , </v>
      </c>
    </row>
    <row r="228" spans="1:3">
      <c r="A228" t="str">
        <f>remedies_names!A227</f>
        <v>R226</v>
      </c>
      <c r="B228" t="str">
        <f t="shared" si="6"/>
        <v>Q226</v>
      </c>
      <c r="C228" t="str">
        <f t="shared" si="7"/>
        <v xml:space="preserve">req.body.Q226 , </v>
      </c>
    </row>
    <row r="229" spans="1:3">
      <c r="A229" t="str">
        <f>remedies_names!A228</f>
        <v>R227</v>
      </c>
      <c r="B229" t="str">
        <f t="shared" si="6"/>
        <v>Q227</v>
      </c>
      <c r="C229" t="str">
        <f t="shared" si="7"/>
        <v xml:space="preserve">req.body.Q227 , </v>
      </c>
    </row>
    <row r="230" spans="1:3">
      <c r="A230" t="str">
        <f>remedies_names!A229</f>
        <v>R228</v>
      </c>
      <c r="B230" t="str">
        <f t="shared" si="6"/>
        <v>Q228</v>
      </c>
      <c r="C230" t="str">
        <f t="shared" si="7"/>
        <v xml:space="preserve">req.body.Q228 , </v>
      </c>
    </row>
    <row r="231" spans="1:3">
      <c r="A231" t="str">
        <f>remedies_names!A230</f>
        <v>R229</v>
      </c>
      <c r="B231" t="str">
        <f t="shared" si="6"/>
        <v>Q229</v>
      </c>
      <c r="C231" t="str">
        <f t="shared" si="7"/>
        <v xml:space="preserve">req.body.Q229 , </v>
      </c>
    </row>
    <row r="232" spans="1:3">
      <c r="A232" t="str">
        <f>remedies_names!A231</f>
        <v>R230</v>
      </c>
      <c r="B232" t="str">
        <f t="shared" si="6"/>
        <v>Q230</v>
      </c>
      <c r="C232" t="str">
        <f t="shared" si="7"/>
        <v xml:space="preserve">req.body.Q230 , </v>
      </c>
    </row>
    <row r="233" spans="1:3">
      <c r="A233" t="str">
        <f>remedies_names!A232</f>
        <v>R231</v>
      </c>
      <c r="B233" t="str">
        <f t="shared" si="6"/>
        <v>Q231</v>
      </c>
      <c r="C233" t="str">
        <f t="shared" si="7"/>
        <v xml:space="preserve">req.body.Q231 , </v>
      </c>
    </row>
    <row r="234" spans="1:3">
      <c r="A234" t="str">
        <f>remedies_names!A233</f>
        <v>R232</v>
      </c>
      <c r="B234" t="str">
        <f t="shared" si="6"/>
        <v>Q232</v>
      </c>
      <c r="C234" t="str">
        <f t="shared" si="7"/>
        <v xml:space="preserve">req.body.Q232 , </v>
      </c>
    </row>
    <row r="235" spans="1:3">
      <c r="A235" t="str">
        <f>remedies_names!A234</f>
        <v>R233</v>
      </c>
      <c r="B235" t="str">
        <f t="shared" si="6"/>
        <v>Q233</v>
      </c>
      <c r="C235" t="str">
        <f t="shared" si="7"/>
        <v xml:space="preserve">req.body.Q233 , </v>
      </c>
    </row>
    <row r="236" spans="1:3">
      <c r="A236" t="str">
        <f>remedies_names!A235</f>
        <v>R234</v>
      </c>
      <c r="B236" t="str">
        <f t="shared" si="6"/>
        <v>Q234</v>
      </c>
      <c r="C236" t="str">
        <f t="shared" si="7"/>
        <v xml:space="preserve">req.body.Q234 , </v>
      </c>
    </row>
    <row r="237" spans="1:3">
      <c r="A237" t="str">
        <f>remedies_names!A236</f>
        <v>R235</v>
      </c>
      <c r="B237" t="str">
        <f t="shared" si="6"/>
        <v>Q235</v>
      </c>
      <c r="C237" t="str">
        <f t="shared" si="7"/>
        <v xml:space="preserve">req.body.Q235 , </v>
      </c>
    </row>
    <row r="238" spans="1:3">
      <c r="A238" t="str">
        <f>remedies_names!A237</f>
        <v>R236</v>
      </c>
      <c r="B238" t="str">
        <f t="shared" si="6"/>
        <v>Q236</v>
      </c>
      <c r="C238" t="str">
        <f t="shared" si="7"/>
        <v xml:space="preserve">req.body.Q236 , </v>
      </c>
    </row>
    <row r="239" spans="1:3">
      <c r="A239" t="str">
        <f>remedies_names!A238</f>
        <v>R237</v>
      </c>
      <c r="B239" t="str">
        <f t="shared" si="6"/>
        <v>Q237</v>
      </c>
      <c r="C239" t="str">
        <f t="shared" si="7"/>
        <v xml:space="preserve">req.body.Q237 , </v>
      </c>
    </row>
    <row r="240" spans="1:3">
      <c r="A240" t="str">
        <f>remedies_names!A239</f>
        <v>R238</v>
      </c>
      <c r="B240" t="str">
        <f t="shared" si="6"/>
        <v>Q238</v>
      </c>
      <c r="C240" t="str">
        <f t="shared" si="7"/>
        <v xml:space="preserve">req.body.Q238 , </v>
      </c>
    </row>
    <row r="241" spans="1:3">
      <c r="A241" t="str">
        <f>remedies_names!A240</f>
        <v>R239</v>
      </c>
      <c r="B241" t="str">
        <f t="shared" si="6"/>
        <v>Q239</v>
      </c>
      <c r="C241" t="str">
        <f t="shared" si="7"/>
        <v xml:space="preserve">req.body.Q239 , </v>
      </c>
    </row>
    <row r="242" spans="1:3">
      <c r="A242" t="str">
        <f>remedies_names!A241</f>
        <v>R240</v>
      </c>
      <c r="B242" t="str">
        <f t="shared" si="6"/>
        <v>Q240</v>
      </c>
      <c r="C242" t="str">
        <f t="shared" si="7"/>
        <v xml:space="preserve">req.body.Q240 , </v>
      </c>
    </row>
    <row r="243" spans="1:3">
      <c r="A243" t="str">
        <f>remedies_names!A242</f>
        <v>R241</v>
      </c>
      <c r="B243" t="str">
        <f t="shared" si="6"/>
        <v>Q241</v>
      </c>
      <c r="C243" t="str">
        <f t="shared" si="7"/>
        <v xml:space="preserve">req.body.Q241 , </v>
      </c>
    </row>
    <row r="244" spans="1:3">
      <c r="A244" t="str">
        <f>remedies_names!A243</f>
        <v>R242</v>
      </c>
      <c r="B244" t="str">
        <f t="shared" si="6"/>
        <v>Q242</v>
      </c>
      <c r="C244" t="str">
        <f t="shared" si="7"/>
        <v xml:space="preserve">req.body.Q242 , </v>
      </c>
    </row>
    <row r="245" spans="1:3">
      <c r="A245" t="str">
        <f>remedies_names!A244</f>
        <v>R243</v>
      </c>
      <c r="B245" t="str">
        <f t="shared" si="6"/>
        <v>Q243</v>
      </c>
      <c r="C245" t="str">
        <f t="shared" si="7"/>
        <v xml:space="preserve">req.body.Q243 , </v>
      </c>
    </row>
    <row r="246" spans="1:3">
      <c r="A246" t="str">
        <f>remedies_names!A245</f>
        <v>R244</v>
      </c>
      <c r="B246" t="str">
        <f t="shared" si="6"/>
        <v>Q244</v>
      </c>
      <c r="C246" t="str">
        <f t="shared" si="7"/>
        <v xml:space="preserve">req.body.Q244 , </v>
      </c>
    </row>
    <row r="247" spans="1:3">
      <c r="A247" t="str">
        <f>remedies_names!A246</f>
        <v>R245</v>
      </c>
      <c r="B247" t="str">
        <f t="shared" si="6"/>
        <v>Q245</v>
      </c>
      <c r="C247" t="str">
        <f t="shared" si="7"/>
        <v xml:space="preserve">req.body.Q245 , </v>
      </c>
    </row>
    <row r="248" spans="1:3">
      <c r="A248" t="str">
        <f>remedies_names!A247</f>
        <v>R246</v>
      </c>
      <c r="B248" t="str">
        <f t="shared" si="6"/>
        <v>Q246</v>
      </c>
      <c r="C248" t="str">
        <f t="shared" si="7"/>
        <v xml:space="preserve">req.body.Q246 , </v>
      </c>
    </row>
    <row r="249" spans="1:3">
      <c r="A249" t="str">
        <f>remedies_names!A248</f>
        <v>R247</v>
      </c>
      <c r="B249" t="str">
        <f t="shared" si="6"/>
        <v>Q247</v>
      </c>
      <c r="C249" t="str">
        <f t="shared" si="7"/>
        <v xml:space="preserve">req.body.Q247 , </v>
      </c>
    </row>
    <row r="250" spans="1:3">
      <c r="A250" t="str">
        <f>remedies_names!A249</f>
        <v>R248</v>
      </c>
      <c r="B250" t="str">
        <f t="shared" si="6"/>
        <v>Q248</v>
      </c>
      <c r="C250" t="str">
        <f t="shared" si="7"/>
        <v xml:space="preserve">req.body.Q248 , </v>
      </c>
    </row>
    <row r="251" spans="1:3">
      <c r="A251" t="str">
        <f>remedies_names!A250</f>
        <v>R249</v>
      </c>
      <c r="B251" t="str">
        <f t="shared" si="6"/>
        <v>Q249</v>
      </c>
      <c r="C251" t="str">
        <f t="shared" si="7"/>
        <v xml:space="preserve">req.body.Q249 , </v>
      </c>
    </row>
    <row r="252" spans="1:3">
      <c r="A252" t="str">
        <f>remedies_names!A251</f>
        <v>R250</v>
      </c>
      <c r="B252" t="str">
        <f t="shared" si="6"/>
        <v>Q250</v>
      </c>
      <c r="C252" t="str">
        <f t="shared" si="7"/>
        <v xml:space="preserve">req.body.Q250 , </v>
      </c>
    </row>
    <row r="253" spans="1:3">
      <c r="A253" t="str">
        <f>remedies_names!A252</f>
        <v>R251</v>
      </c>
      <c r="B253" t="str">
        <f t="shared" si="6"/>
        <v>Q251</v>
      </c>
      <c r="C253" t="str">
        <f t="shared" si="7"/>
        <v xml:space="preserve">req.body.Q251 , </v>
      </c>
    </row>
    <row r="254" spans="1:3">
      <c r="A254" t="str">
        <f>remedies_names!A253</f>
        <v>R252</v>
      </c>
      <c r="B254" t="str">
        <f t="shared" si="6"/>
        <v>Q252</v>
      </c>
      <c r="C254" t="str">
        <f t="shared" si="7"/>
        <v xml:space="preserve">req.body.Q252 , </v>
      </c>
    </row>
    <row r="255" spans="1:3">
      <c r="A255" t="str">
        <f>remedies_names!A254</f>
        <v>R253</v>
      </c>
      <c r="B255" t="str">
        <f t="shared" si="6"/>
        <v>Q253</v>
      </c>
      <c r="C255" t="str">
        <f t="shared" si="7"/>
        <v xml:space="preserve">req.body.Q253 , </v>
      </c>
    </row>
    <row r="256" spans="1:3">
      <c r="A256" t="str">
        <f>remedies_names!A255</f>
        <v>R254</v>
      </c>
      <c r="B256" t="str">
        <f t="shared" si="6"/>
        <v>Q254</v>
      </c>
      <c r="C256" t="str">
        <f t="shared" si="7"/>
        <v xml:space="preserve">req.body.Q254 , </v>
      </c>
    </row>
    <row r="257" spans="1:3">
      <c r="A257" t="str">
        <f>remedies_names!A256</f>
        <v>R255</v>
      </c>
      <c r="B257" t="str">
        <f t="shared" si="6"/>
        <v>Q255</v>
      </c>
      <c r="C257" t="str">
        <f t="shared" si="7"/>
        <v xml:space="preserve">req.body.Q255 , </v>
      </c>
    </row>
    <row r="258" spans="1:3">
      <c r="A258" t="str">
        <f>remedies_names!A257</f>
        <v>R256</v>
      </c>
      <c r="B258" t="str">
        <f t="shared" si="6"/>
        <v>Q256</v>
      </c>
      <c r="C258" t="str">
        <f t="shared" si="7"/>
        <v xml:space="preserve">req.body.Q256 , </v>
      </c>
    </row>
    <row r="259" spans="1:3">
      <c r="A259" t="str">
        <f>remedies_names!A258</f>
        <v>R257</v>
      </c>
      <c r="B259" t="str">
        <f t="shared" si="6"/>
        <v>Q257</v>
      </c>
      <c r="C259" t="str">
        <f t="shared" si="7"/>
        <v xml:space="preserve">req.body.Q257 , </v>
      </c>
    </row>
    <row r="260" spans="1:3">
      <c r="A260" t="str">
        <f>remedies_names!A259</f>
        <v>R258</v>
      </c>
      <c r="B260" t="str">
        <f t="shared" ref="B260:B280" si="8">REPLACE(A260,1,1,"Q")</f>
        <v>Q258</v>
      </c>
      <c r="C260" t="str">
        <f t="shared" ref="C260:C280" si="9">CONCATENATE("req.body.",B260, " , ")</f>
        <v xml:space="preserve">req.body.Q258 , </v>
      </c>
    </row>
    <row r="261" spans="1:3">
      <c r="A261" t="str">
        <f>remedies_names!A260</f>
        <v>R259</v>
      </c>
      <c r="B261" t="str">
        <f t="shared" si="8"/>
        <v>Q259</v>
      </c>
      <c r="C261" t="str">
        <f t="shared" si="9"/>
        <v xml:space="preserve">req.body.Q259 , </v>
      </c>
    </row>
    <row r="262" spans="1:3">
      <c r="A262" t="str">
        <f>remedies_names!A261</f>
        <v>R260</v>
      </c>
      <c r="B262" t="str">
        <f t="shared" si="8"/>
        <v>Q260</v>
      </c>
      <c r="C262" t="str">
        <f t="shared" si="9"/>
        <v xml:space="preserve">req.body.Q260 , </v>
      </c>
    </row>
    <row r="263" spans="1:3">
      <c r="A263" t="str">
        <f>remedies_names!A262</f>
        <v>R261</v>
      </c>
      <c r="B263" t="str">
        <f t="shared" si="8"/>
        <v>Q261</v>
      </c>
      <c r="C263" t="str">
        <f t="shared" si="9"/>
        <v xml:space="preserve">req.body.Q261 , </v>
      </c>
    </row>
    <row r="264" spans="1:3">
      <c r="A264" t="str">
        <f>remedies_names!A263</f>
        <v>R262</v>
      </c>
      <c r="B264" t="str">
        <f t="shared" si="8"/>
        <v>Q262</v>
      </c>
      <c r="C264" t="str">
        <f t="shared" si="9"/>
        <v xml:space="preserve">req.body.Q262 , </v>
      </c>
    </row>
    <row r="265" spans="1:3">
      <c r="A265" t="str">
        <f>remedies_names!A264</f>
        <v>R263</v>
      </c>
      <c r="B265" t="str">
        <f t="shared" si="8"/>
        <v>Q263</v>
      </c>
      <c r="C265" t="str">
        <f t="shared" si="9"/>
        <v xml:space="preserve">req.body.Q263 , </v>
      </c>
    </row>
    <row r="266" spans="1:3">
      <c r="A266" t="str">
        <f>remedies_names!A265</f>
        <v>R264</v>
      </c>
      <c r="B266" t="str">
        <f t="shared" si="8"/>
        <v>Q264</v>
      </c>
      <c r="C266" t="str">
        <f t="shared" si="9"/>
        <v xml:space="preserve">req.body.Q264 , </v>
      </c>
    </row>
    <row r="267" spans="1:3">
      <c r="A267" t="str">
        <f>remedies_names!A266</f>
        <v>R265</v>
      </c>
      <c r="B267" t="str">
        <f t="shared" si="8"/>
        <v>Q265</v>
      </c>
      <c r="C267" t="str">
        <f t="shared" si="9"/>
        <v xml:space="preserve">req.body.Q265 , </v>
      </c>
    </row>
    <row r="268" spans="1:3">
      <c r="A268" t="str">
        <f>remedies_names!A267</f>
        <v>R266</v>
      </c>
      <c r="B268" t="str">
        <f t="shared" si="8"/>
        <v>Q266</v>
      </c>
      <c r="C268" t="str">
        <f t="shared" si="9"/>
        <v xml:space="preserve">req.body.Q266 , </v>
      </c>
    </row>
    <row r="269" spans="1:3">
      <c r="A269" t="str">
        <f>remedies_names!A268</f>
        <v>R267</v>
      </c>
      <c r="B269" t="str">
        <f t="shared" si="8"/>
        <v>Q267</v>
      </c>
      <c r="C269" t="str">
        <f t="shared" si="9"/>
        <v xml:space="preserve">req.body.Q267 , </v>
      </c>
    </row>
    <row r="270" spans="1:3">
      <c r="A270" t="str">
        <f>remedies_names!A269</f>
        <v>R268</v>
      </c>
      <c r="B270" t="str">
        <f t="shared" si="8"/>
        <v>Q268</v>
      </c>
      <c r="C270" t="str">
        <f t="shared" si="9"/>
        <v xml:space="preserve">req.body.Q268 , </v>
      </c>
    </row>
    <row r="271" spans="1:3">
      <c r="A271" t="str">
        <f>remedies_names!A270</f>
        <v>R269</v>
      </c>
      <c r="B271" t="str">
        <f t="shared" si="8"/>
        <v>Q269</v>
      </c>
      <c r="C271" t="str">
        <f t="shared" si="9"/>
        <v xml:space="preserve">req.body.Q269 , </v>
      </c>
    </row>
    <row r="272" spans="1:3">
      <c r="A272" t="str">
        <f>remedies_names!A271</f>
        <v>R270</v>
      </c>
      <c r="B272" t="str">
        <f t="shared" si="8"/>
        <v>Q270</v>
      </c>
      <c r="C272" t="str">
        <f t="shared" si="9"/>
        <v xml:space="preserve">req.body.Q270 , </v>
      </c>
    </row>
    <row r="273" spans="1:3">
      <c r="A273" t="str">
        <f>remedies_names!A272</f>
        <v>R271</v>
      </c>
      <c r="B273" t="str">
        <f t="shared" si="8"/>
        <v>Q271</v>
      </c>
      <c r="C273" t="str">
        <f t="shared" si="9"/>
        <v xml:space="preserve">req.body.Q271 , </v>
      </c>
    </row>
    <row r="274" spans="1:3">
      <c r="A274" t="str">
        <f>remedies_names!A273</f>
        <v>R272</v>
      </c>
      <c r="B274" t="str">
        <f t="shared" si="8"/>
        <v>Q272</v>
      </c>
      <c r="C274" t="str">
        <f t="shared" si="9"/>
        <v xml:space="preserve">req.body.Q272 , </v>
      </c>
    </row>
    <row r="275" spans="1:3">
      <c r="A275" t="str">
        <f>remedies_names!A274</f>
        <v>R273</v>
      </c>
      <c r="B275" t="str">
        <f t="shared" si="8"/>
        <v>Q273</v>
      </c>
      <c r="C275" t="str">
        <f t="shared" si="9"/>
        <v xml:space="preserve">req.body.Q273 , </v>
      </c>
    </row>
    <row r="276" spans="1:3">
      <c r="A276" t="str">
        <f>remedies_names!A275</f>
        <v>R274</v>
      </c>
      <c r="B276" t="str">
        <f t="shared" si="8"/>
        <v>Q274</v>
      </c>
      <c r="C276" t="str">
        <f t="shared" si="9"/>
        <v xml:space="preserve">req.body.Q274 , </v>
      </c>
    </row>
    <row r="277" spans="1:3">
      <c r="A277" t="str">
        <f>remedies_names!A276</f>
        <v>R275</v>
      </c>
      <c r="B277" t="str">
        <f t="shared" si="8"/>
        <v>Q275</v>
      </c>
      <c r="C277" t="str">
        <f t="shared" si="9"/>
        <v xml:space="preserve">req.body.Q275 , </v>
      </c>
    </row>
    <row r="278" spans="1:3">
      <c r="A278" t="str">
        <f>remedies_names!A277</f>
        <v>R276</v>
      </c>
      <c r="B278" t="str">
        <f t="shared" si="8"/>
        <v>Q276</v>
      </c>
      <c r="C278" t="str">
        <f t="shared" si="9"/>
        <v xml:space="preserve">req.body.Q276 , </v>
      </c>
    </row>
    <row r="279" spans="1:3">
      <c r="A279" t="str">
        <f>remedies_names!A278</f>
        <v>R277</v>
      </c>
      <c r="B279" t="str">
        <f t="shared" si="8"/>
        <v>Q277</v>
      </c>
      <c r="C279" t="str">
        <f t="shared" si="9"/>
        <v xml:space="preserve">req.body.Q277 , </v>
      </c>
    </row>
    <row r="280" spans="1:3">
      <c r="A280" t="str">
        <f>remedies_names!A279</f>
        <v>R278</v>
      </c>
      <c r="B280" t="str">
        <f t="shared" si="8"/>
        <v>Q278</v>
      </c>
      <c r="C280" t="str">
        <f t="shared" si="9"/>
        <v xml:space="preserve">req.body.Q278 , </v>
      </c>
    </row>
    <row r="281" spans="1:3">
      <c r="C281" t="s">
        <v>812</v>
      </c>
    </row>
    <row r="282" spans="1:3">
      <c r="C282" t="s">
        <v>810</v>
      </c>
    </row>
    <row r="283" spans="1:3">
      <c r="C283" t="s">
        <v>809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symptom weights</vt:lpstr>
      <vt:lpstr>symptom factors</vt:lpstr>
      <vt:lpstr>remedies_names</vt:lpstr>
      <vt:lpstr>remedy_factors</vt:lpstr>
      <vt:lpstr>symptom factor js</vt:lpstr>
      <vt:lpstr>symptom_weights_js</vt:lpstr>
      <vt:lpstr>remedies_names.js</vt:lpstr>
      <vt:lpstr>remedy_factors.js</vt:lpstr>
      <vt:lpstr>demo symptoms</vt:lpstr>
      <vt:lpstr>demo_symptoms.js</vt:lpstr>
      <vt:lpstr>reply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hoertlehner</dc:creator>
  <cp:lastModifiedBy>-</cp:lastModifiedBy>
  <cp:revision>0</cp:revision>
  <dcterms:created xsi:type="dcterms:W3CDTF">2015-01-24T11:04:57Z</dcterms:created>
  <dcterms:modified xsi:type="dcterms:W3CDTF">2015-01-24T22:51:23Z</dcterms:modified>
  <dc:language>en-US</dc:language>
</cp:coreProperties>
</file>